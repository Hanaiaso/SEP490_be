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19440" windowHeight="13920" tabRatio="500" firstSheet="1" activeTab="1" autoFilterDateGrouping="1"/>
  </bookViews>
  <sheets>
    <sheet name="Introduction" sheetId="1" state="visible" r:id="rId1"/>
    <sheet name="TestCase List" sheetId="2" state="visible" r:id="rId2"/>
    <sheet name="L2-Infrastructure" sheetId="3" state="visible" r:id="rId3"/>
    <sheet name="L2-OrderPayment" sheetId="4" state="visible" r:id="rId4"/>
    <sheet name="L2-OrderFulfilment" sheetId="5" state="visible" r:id="rId5"/>
    <sheet name="L2-Quotation" sheetId="6" state="visible" r:id="rId6"/>
    <sheet name="L2-Purchasing" sheetId="7" state="visible" r:id="rId7"/>
    <sheet name="L2-InventoryTransfer" sheetId="8" state="visible" r:id="rId8"/>
    <sheet name="L2-AuthFlow" sheetId="9" state="visible" r:id="rId9"/>
    <sheet name="L2-Workflows" sheetId="10" state="visible" r:id="rId10"/>
    <sheet name="L2-ScheduledJobs" sheetId="11" state="visible" r:id="rId11"/>
    <sheet name="L2-AfterSalesReturn" sheetId="12" state="visible" r:id="rId12"/>
    <sheet name="L2-AdminConfigAudit" sheetId="13" state="visible" r:id="rId13"/>
  </sheets>
  <definedNames/>
  <calcPr calcId="191029" fullCalcOnLoad="1" iterateDelta="0.0001"/>
</workbook>
</file>

<file path=xl/styles.xml><?xml version="1.0" encoding="utf-8"?>
<styleSheet xmlns="http://schemas.openxmlformats.org/spreadsheetml/2006/main">
  <numFmts count="0"/>
  <fonts count="26">
    <font>
      <name val="Calibri"/>
      <charset val="1"/>
      <family val="2"/>
      <color theme="1"/>
      <sz val="11"/>
    </font>
    <font>
      <name val="Arial"/>
      <charset val="1"/>
      <family val="2"/>
      <b val="1"/>
      <color rgb="FFFFFFFF"/>
      <sz val="16"/>
    </font>
    <font>
      <name val="Arial"/>
      <charset val="1"/>
      <family val="2"/>
      <i val="1"/>
      <color rgb="FF595959"/>
      <sz val="9"/>
    </font>
    <font>
      <name val="Arial"/>
      <charset val="1"/>
      <family val="2"/>
      <b val="1"/>
      <color rgb="FFFFFFFF"/>
      <sz val="10"/>
    </font>
    <font>
      <name val="Arial"/>
      <charset val="1"/>
      <family val="2"/>
      <color rgb="FF000000"/>
      <sz val="9"/>
    </font>
    <font>
      <name val="Arial"/>
      <charset val="1"/>
      <family val="2"/>
      <b val="1"/>
      <color rgb="FF1F6B75"/>
      <sz val="9"/>
    </font>
    <font>
      <name val="Arial"/>
      <charset val="1"/>
      <family val="2"/>
      <b val="1"/>
      <color rgb="FFFFFFFF"/>
      <sz val="9"/>
    </font>
    <font>
      <name val="Arial"/>
      <charset val="1"/>
      <family val="2"/>
      <b val="1"/>
      <color rgb="FF595959"/>
      <sz val="9"/>
    </font>
    <font>
      <name val="Arial"/>
      <charset val="1"/>
      <family val="2"/>
      <b val="1"/>
      <color rgb="FF375623"/>
      <sz val="9"/>
    </font>
    <font>
      <name val="Arial"/>
      <charset val="1"/>
      <family val="2"/>
      <b val="1"/>
      <color rgb="FFC00000"/>
      <sz val="9"/>
    </font>
    <font>
      <name val="Arial"/>
      <charset val="1"/>
      <family val="2"/>
      <b val="1"/>
      <color rgb="FF7F6000"/>
      <sz val="9"/>
    </font>
    <font>
      <name val="Arial"/>
      <charset val="1"/>
      <family val="2"/>
      <b val="1"/>
      <color rgb="FF5C3292"/>
      <sz val="9"/>
    </font>
    <font>
      <name val="Arial"/>
      <charset val="1"/>
      <b val="1"/>
      <color rgb="FFFFFFFF"/>
      <sz val="12"/>
    </font>
    <font>
      <name val="Arial"/>
      <charset val="1"/>
      <b val="1"/>
      <color rgb="FF1F6B75"/>
      <sz val="9"/>
    </font>
    <font>
      <name val="Arial"/>
      <charset val="1"/>
      <b val="1"/>
      <color rgb="FF000000"/>
      <sz val="10"/>
    </font>
    <font>
      <name val="Arial"/>
      <charset val="1"/>
      <b val="1"/>
      <color rgb="FFFFFFFF"/>
      <sz val="10"/>
    </font>
    <font>
      <name val="Arial"/>
      <charset val="1"/>
      <color rgb="FF000000"/>
      <sz val="9"/>
    </font>
    <font>
      <name val="Arial"/>
      <charset val="1"/>
      <b val="1"/>
      <color rgb="FFC00000"/>
      <sz val="9"/>
    </font>
    <font>
      <name val="Arial"/>
      <charset val="1"/>
      <color rgb="FF2E7D32"/>
      <sz val="9"/>
    </font>
    <font>
      <name val="Arial"/>
      <charset val="1"/>
      <b val="1"/>
      <color rgb="FF806000"/>
      <sz val="9"/>
    </font>
    <font>
      <name val="Arial"/>
      <charset val="1"/>
      <color rgb="FF1F6B75"/>
      <sz val="9"/>
    </font>
    <font>
      <name val="Arial"/>
      <charset val="1"/>
      <b val="1"/>
      <color rgb="FF2E7D32"/>
      <sz val="9"/>
    </font>
    <font>
      <name val="Arial"/>
      <charset val="1"/>
      <color rgb="FFC00000"/>
      <sz val="9"/>
    </font>
    <font>
      <name val="Arial"/>
      <charset val="1"/>
      <color rgb="FF595959"/>
      <sz val="9"/>
    </font>
    <font>
      <name val="Arial"/>
      <family val="2"/>
      <sz val="9"/>
    </font>
    <font>
      <name val="Arial"/>
      <family val="2"/>
      <color rgb="FFC00000"/>
      <sz val="9"/>
    </font>
  </fonts>
  <fills count="16">
    <fill>
      <patternFill/>
    </fill>
    <fill>
      <patternFill patternType="gray125"/>
    </fill>
    <fill>
      <patternFill patternType="solid">
        <fgColor rgb="FF1F6B75"/>
        <bgColor rgb="FF008080"/>
      </patternFill>
    </fill>
    <fill>
      <patternFill patternType="solid">
        <fgColor rgb="FFF2F2F2"/>
        <bgColor rgb="FFE0F0F2"/>
      </patternFill>
    </fill>
    <fill>
      <patternFill patternType="solid">
        <fgColor rgb="FFD6EEF0"/>
        <bgColor rgb="FFDEEAF1"/>
      </patternFill>
    </fill>
    <fill>
      <patternFill patternType="solid">
        <fgColor rgb="FFFFFFFF"/>
        <bgColor rgb="FFF2F2F2"/>
      </patternFill>
    </fill>
    <fill>
      <patternFill patternType="solid">
        <fgColor rgb="FF1F3864"/>
        <bgColor rgb="FF375623"/>
      </patternFill>
    </fill>
    <fill>
      <patternFill patternType="solid">
        <fgColor rgb="FFDEEAF1"/>
        <bgColor rgb="FFE0F0F2"/>
      </patternFill>
    </fill>
    <fill>
      <patternFill patternType="solid">
        <fgColor rgb="FFC00000"/>
        <bgColor rgb="FF800000"/>
      </patternFill>
    </fill>
    <fill>
      <patternFill patternType="solid">
        <fgColor rgb="FF7F6000"/>
        <bgColor rgb="FF806000"/>
      </patternFill>
    </fill>
    <fill>
      <patternFill patternType="solid">
        <fgColor rgb="FF2E75B6"/>
        <bgColor rgb="FF1F6B75"/>
      </patternFill>
    </fill>
    <fill>
      <patternFill patternType="solid">
        <fgColor rgb="FFE2EFDA"/>
        <bgColor rgb="FFE0F0F2"/>
      </patternFill>
    </fill>
    <fill>
      <patternFill patternType="solid">
        <fgColor rgb="FFFCE4D6"/>
        <bgColor rgb="FFFFF2CC"/>
      </patternFill>
    </fill>
    <fill>
      <patternFill patternType="solid">
        <fgColor rgb="FFFFF2CC"/>
        <bgColor rgb="FFFCE4D6"/>
      </patternFill>
    </fill>
    <fill>
      <patternFill patternType="solid">
        <fgColor rgb="FFEBE2F5"/>
        <bgColor rgb="FFDEEAF1"/>
      </patternFill>
    </fill>
    <fill>
      <patternFill patternType="solid">
        <fgColor rgb="FFE0F0F2"/>
        <bgColor rgb="FFDEEAF1"/>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BE3E6"/>
      </left>
      <right style="thin">
        <color rgb="FFCBE3E6"/>
      </right>
      <top style="thin">
        <color rgb="FFCBE3E6"/>
      </top>
      <bottom style="thin">
        <color rgb="FFCBE3E6"/>
      </bottom>
      <diagonal/>
    </border>
    <border>
      <left/>
      <right/>
      <top style="thin">
        <color rgb="FFCCCCCC"/>
      </top>
      <bottom/>
      <diagonal/>
    </border>
    <border>
      <left/>
      <right style="thin">
        <color rgb="FFCCCCCC"/>
      </right>
      <top style="thin">
        <color rgb="FFCCCCCC"/>
      </top>
      <bottom/>
      <diagonal/>
    </border>
    <border>
      <left/>
      <right style="thin">
        <color rgb="FFCCCCCC"/>
      </right>
      <top style="thin">
        <color rgb="FFCCCCCC"/>
      </top>
      <bottom style="thin">
        <color rgb="FFCCCCCC"/>
      </bottom>
      <diagonal/>
    </border>
  </borders>
  <cellStyleXfs count="1">
    <xf numFmtId="0" fontId="0" fillId="0" borderId="0"/>
  </cellStyleXfs>
  <cellXfs count="65">
    <xf numFmtId="0" fontId="0" fillId="0" borderId="0" pivotButton="0" quotePrefix="0" xfId="0"/>
    <xf numFmtId="0" fontId="12" fillId="2" borderId="0" applyAlignment="1" pivotButton="0" quotePrefix="0" xfId="0">
      <alignment vertical="center" wrapText="1"/>
    </xf>
    <xf numFmtId="0" fontId="12" fillId="2" borderId="0" applyAlignment="1" pivotButton="0" quotePrefix="0" xfId="0">
      <alignment vertical="center"/>
    </xf>
    <xf numFmtId="0" fontId="4" fillId="0" borderId="1" applyAlignment="1" pivotButton="0" quotePrefix="0" xfId="0">
      <alignment horizontal="left" vertical="center"/>
    </xf>
    <xf numFmtId="0" fontId="4" fillId="7" borderId="0" applyAlignment="1" pivotButton="0" quotePrefix="0" xfId="0">
      <alignment horizontal="left" vertical="top" wrapText="1"/>
    </xf>
    <xf numFmtId="0" fontId="4" fillId="5" borderId="0" applyAlignment="1" pivotButton="0" quotePrefix="0" xfId="0">
      <alignment horizontal="left" vertical="top" wrapText="1"/>
    </xf>
    <xf numFmtId="0" fontId="3" fillId="6" borderId="0" applyAlignment="1" pivotButton="0" quotePrefix="0" xfId="0">
      <alignment horizontal="left" vertical="center"/>
    </xf>
    <xf numFmtId="0" fontId="4" fillId="3" borderId="1" applyAlignment="1" pivotButton="0" quotePrefix="0" xfId="0">
      <alignment horizontal="left" vertical="top" wrapText="1"/>
    </xf>
    <xf numFmtId="0" fontId="4" fillId="5" borderId="1" applyAlignment="1" pivotButton="0" quotePrefix="0" xfId="0">
      <alignment horizontal="left" vertical="top" wrapText="1"/>
    </xf>
    <xf numFmtId="0" fontId="4" fillId="4" borderId="0" applyAlignment="1" pivotButton="0" quotePrefix="0" xfId="0">
      <alignment horizontal="left" vertical="top" wrapText="1"/>
    </xf>
    <xf numFmtId="0" fontId="3" fillId="2" borderId="0" applyAlignment="1" pivotButton="0" quotePrefix="0" xfId="0">
      <alignment horizontal="left" vertical="center"/>
    </xf>
    <xf numFmtId="0" fontId="2" fillId="3" borderId="0" applyAlignment="1" pivotButton="0" quotePrefix="0" xfId="0">
      <alignment horizontal="left" vertical="center"/>
    </xf>
    <xf numFmtId="0" fontId="1" fillId="2" borderId="0" applyAlignment="1" pivotButton="0" quotePrefix="0" xfId="0">
      <alignment horizontal="left" vertical="center"/>
    </xf>
    <xf numFmtId="0" fontId="5" fillId="4" borderId="1" applyAlignment="1" pivotButton="0" quotePrefix="0" xfId="0">
      <alignment horizontal="left" vertical="top" wrapText="1"/>
    </xf>
    <xf numFmtId="0" fontId="6" fillId="8" borderId="1" applyAlignment="1" pivotButton="0" quotePrefix="0" xfId="0">
      <alignment horizontal="center" vertical="center"/>
    </xf>
    <xf numFmtId="0" fontId="6" fillId="9" borderId="1" applyAlignment="1" pivotButton="0" quotePrefix="0" xfId="0">
      <alignment horizontal="center" vertical="center"/>
    </xf>
    <xf numFmtId="0" fontId="6" fillId="10" borderId="1" applyAlignment="1" pivotButton="0" quotePrefix="0" xfId="0">
      <alignment horizontal="center" vertical="center"/>
    </xf>
    <xf numFmtId="0" fontId="7" fillId="3" borderId="1" applyAlignment="1" pivotButton="0" quotePrefix="0" xfId="0">
      <alignment horizontal="center" vertical="center"/>
    </xf>
    <xf numFmtId="0" fontId="8" fillId="11" borderId="1" applyAlignment="1" pivotButton="0" quotePrefix="0" xfId="0">
      <alignment horizontal="center" vertical="center"/>
    </xf>
    <xf numFmtId="0" fontId="9" fillId="12" borderId="1" applyAlignment="1" pivotButton="0" quotePrefix="0" xfId="0">
      <alignment horizontal="center" vertical="center"/>
    </xf>
    <xf numFmtId="0" fontId="10" fillId="13" borderId="1" applyAlignment="1" pivotButton="0" quotePrefix="0" xfId="0">
      <alignment horizontal="center" vertical="center"/>
    </xf>
    <xf numFmtId="0" fontId="11" fillId="14" borderId="1" applyAlignment="1" pivotButton="0" quotePrefix="0" xfId="0">
      <alignment horizontal="center" vertical="center"/>
    </xf>
    <xf numFmtId="0" fontId="13" fillId="15" borderId="2" pivotButton="0" quotePrefix="0" xfId="0"/>
    <xf numFmtId="0" fontId="14" fillId="0" borderId="2" pivotButton="0" quotePrefix="0" xfId="0"/>
    <xf numFmtId="0" fontId="15" fillId="2" borderId="2" applyAlignment="1" pivotButton="0" quotePrefix="0" xfId="0">
      <alignment vertical="center" wrapText="1"/>
    </xf>
    <xf numFmtId="0" fontId="13" fillId="15" borderId="2" applyAlignment="1" pivotButton="0" quotePrefix="0" xfId="0">
      <alignment vertical="top" wrapText="1"/>
    </xf>
    <xf numFmtId="0" fontId="16" fillId="15" borderId="2" applyAlignment="1" pivotButton="0" quotePrefix="0" xfId="0">
      <alignment vertical="top" wrapText="1"/>
    </xf>
    <xf numFmtId="0" fontId="17" fillId="12" borderId="2" applyAlignment="1" pivotButton="0" quotePrefix="0" xfId="0">
      <alignment vertical="top" wrapText="1"/>
    </xf>
    <xf numFmtId="0" fontId="18" fillId="15" borderId="2" applyAlignment="1" pivotButton="0" quotePrefix="0" xfId="0">
      <alignment vertical="top" wrapText="1"/>
    </xf>
    <xf numFmtId="0" fontId="13" fillId="5" borderId="2" applyAlignment="1" pivotButton="0" quotePrefix="0" xfId="0">
      <alignment vertical="top" wrapText="1"/>
    </xf>
    <xf numFmtId="0" fontId="16" fillId="5" borderId="2" applyAlignment="1" pivotButton="0" quotePrefix="0" xfId="0">
      <alignment vertical="top" wrapText="1"/>
    </xf>
    <xf numFmtId="0" fontId="17" fillId="5" borderId="2" applyAlignment="1" pivotButton="0" quotePrefix="0" xfId="0">
      <alignment vertical="top" wrapText="1"/>
    </xf>
    <xf numFmtId="0" fontId="18" fillId="5" borderId="2" applyAlignment="1" pivotButton="0" quotePrefix="0" xfId="0">
      <alignment vertical="top" wrapText="1"/>
    </xf>
    <xf numFmtId="0" fontId="17" fillId="15" borderId="2" applyAlignment="1" pivotButton="0" quotePrefix="0" xfId="0">
      <alignment vertical="top" wrapText="1"/>
    </xf>
    <xf numFmtId="0" fontId="19" fillId="15" borderId="2" applyAlignment="1" pivotButton="0" quotePrefix="0" xfId="0">
      <alignment vertical="top" wrapText="1"/>
    </xf>
    <xf numFmtId="0" fontId="19" fillId="5" borderId="2" applyAlignment="1" pivotButton="0" quotePrefix="0" xfId="0">
      <alignment vertical="top" wrapText="1"/>
    </xf>
    <xf numFmtId="0" fontId="16" fillId="13" borderId="2" applyAlignment="1" pivotButton="0" quotePrefix="0" xfId="0">
      <alignment vertical="top" wrapText="1"/>
    </xf>
    <xf numFmtId="0" fontId="21" fillId="3" borderId="2" applyAlignment="1" pivotButton="0" quotePrefix="0" xfId="0">
      <alignment vertical="top" wrapText="1"/>
    </xf>
    <xf numFmtId="0" fontId="22" fillId="15" borderId="2" applyAlignment="1" pivotButton="0" quotePrefix="0" xfId="0">
      <alignment vertical="top" wrapText="1"/>
    </xf>
    <xf numFmtId="0" fontId="17" fillId="3" borderId="2" applyAlignment="1" pivotButton="0" quotePrefix="0" xfId="0">
      <alignment vertical="top" wrapText="1"/>
    </xf>
    <xf numFmtId="0" fontId="23" fillId="3" borderId="2" applyAlignment="1" pivotButton="0" quotePrefix="0" xfId="0">
      <alignment vertical="top" wrapText="1"/>
    </xf>
    <xf numFmtId="0" fontId="22" fillId="5" borderId="2" applyAlignment="1" pivotButton="0" quotePrefix="0" xfId="0">
      <alignment vertical="top" wrapText="1"/>
    </xf>
    <xf numFmtId="0" fontId="15" fillId="2" borderId="1" applyAlignment="1" pivotButton="0" quotePrefix="0" xfId="0">
      <alignment vertical="center" wrapText="1"/>
    </xf>
    <xf numFmtId="0" fontId="13" fillId="15" borderId="1" applyAlignment="1" pivotButton="0" quotePrefix="0" xfId="0">
      <alignment vertical="top" wrapText="1"/>
    </xf>
    <xf numFmtId="0" fontId="16" fillId="13" borderId="1" applyAlignment="1" pivotButton="0" quotePrefix="0" xfId="0">
      <alignment vertical="top" wrapText="1"/>
    </xf>
    <xf numFmtId="0" fontId="16" fillId="15" borderId="1" applyAlignment="1" pivotButton="0" quotePrefix="0" xfId="0">
      <alignment vertical="top" wrapText="1"/>
    </xf>
    <xf numFmtId="0" fontId="17" fillId="12" borderId="1" applyAlignment="1" pivotButton="0" quotePrefix="0" xfId="0">
      <alignment vertical="top" wrapText="1"/>
    </xf>
    <xf numFmtId="0" fontId="21" fillId="3" borderId="1" applyAlignment="1" pivotButton="0" quotePrefix="0" xfId="0">
      <alignment vertical="top" wrapText="1"/>
    </xf>
    <xf numFmtId="0" fontId="18" fillId="15" borderId="1" applyAlignment="1" pivotButton="0" quotePrefix="0" xfId="0">
      <alignment vertical="top" wrapText="1"/>
    </xf>
    <xf numFmtId="0" fontId="13" fillId="5" borderId="1" applyAlignment="1" pivotButton="0" quotePrefix="0" xfId="0">
      <alignment vertical="top" wrapText="1"/>
    </xf>
    <xf numFmtId="0" fontId="16" fillId="5" borderId="1" applyAlignment="1" pivotButton="0" quotePrefix="0" xfId="0">
      <alignment vertical="top" wrapText="1"/>
    </xf>
    <xf numFmtId="0" fontId="17" fillId="5" borderId="1" applyAlignment="1" pivotButton="0" quotePrefix="0" xfId="0">
      <alignment vertical="top" wrapText="1"/>
    </xf>
    <xf numFmtId="0" fontId="18" fillId="5" borderId="1" applyAlignment="1" pivotButton="0" quotePrefix="0" xfId="0">
      <alignment vertical="top" wrapText="1"/>
    </xf>
    <xf numFmtId="0" fontId="17" fillId="15" borderId="1" applyAlignment="1" pivotButton="0" quotePrefix="0" xfId="0">
      <alignment vertical="top" wrapText="1"/>
    </xf>
    <xf numFmtId="0" fontId="17" fillId="3" borderId="1" applyAlignment="1" pivotButton="0" quotePrefix="0" xfId="0">
      <alignment vertical="top" wrapText="1"/>
    </xf>
    <xf numFmtId="0" fontId="22" fillId="15" borderId="1" applyAlignment="1" pivotButton="0" quotePrefix="0" xfId="0">
      <alignment vertical="top" wrapText="1"/>
    </xf>
    <xf numFmtId="0" fontId="22" fillId="5" borderId="1" applyAlignment="1" pivotButton="0" quotePrefix="0" xfId="0">
      <alignment vertical="top" wrapText="1"/>
    </xf>
    <xf numFmtId="0" fontId="19" fillId="5" borderId="1" applyAlignment="1" pivotButton="0" quotePrefix="0" xfId="0">
      <alignment vertical="top" wrapText="1"/>
    </xf>
    <xf numFmtId="0" fontId="20" fillId="15" borderId="0" applyAlignment="1" pivotButton="0" quotePrefix="0" xfId="0">
      <alignment vertical="center"/>
    </xf>
    <xf numFmtId="0" fontId="15" fillId="2" borderId="0" applyAlignment="1" pivotButton="0" quotePrefix="0" xfId="0">
      <alignment vertical="center"/>
    </xf>
    <xf numFmtId="0" fontId="15" fillId="2" borderId="0" pivotButton="0" quotePrefix="0" xfId="0"/>
    <xf numFmtId="0" fontId="24" fillId="15" borderId="2" applyAlignment="1" pivotButton="0" quotePrefix="0" xfId="0">
      <alignment vertical="top" wrapText="1"/>
    </xf>
    <xf numFmtId="0" fontId="25" fillId="15" borderId="1" applyAlignment="1" pivotButton="0" quotePrefix="0" xfId="0">
      <alignment vertical="top" wrapText="1"/>
    </xf>
    <xf numFmtId="0" fontId="0" fillId="0" borderId="5" pivotButton="0" quotePrefix="0" xfId="0"/>
    <xf numFmtId="0" fontId="18"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6000"/>
      <rgbColor rgb="FF800080"/>
      <rgbColor rgb="FF1F6B75"/>
      <rgbColor rgb="FFCCCCCC"/>
      <rgbColor rgb="FF808080"/>
      <rgbColor rgb="FF9999FF"/>
      <rgbColor rgb="FF993366"/>
      <rgbColor rgb="FFFFF2CC"/>
      <rgbColor rgb="FFD6EEF0"/>
      <rgbColor rgb="FF660066"/>
      <rgbColor rgb="FFFF8080"/>
      <rgbColor rgb="FF0066CC"/>
      <rgbColor rgb="FFCBE3E6"/>
      <rgbColor rgb="FF000080"/>
      <rgbColor rgb="FFFF00FF"/>
      <rgbColor rgb="FFFFFF00"/>
      <rgbColor rgb="FF00FFFF"/>
      <rgbColor rgb="FF800080"/>
      <rgbColor rgb="FF800000"/>
      <rgbColor rgb="FF008080"/>
      <rgbColor rgb="FF0000FF"/>
      <rgbColor rgb="FF00CCFF"/>
      <rgbColor rgb="FFE0F0F2"/>
      <rgbColor rgb="FFE2EFDA"/>
      <rgbColor rgb="FFF2F2F2"/>
      <rgbColor rgb="FFDEEAF1"/>
      <rgbColor rgb="FFFF99CC"/>
      <rgbColor rgb="FFEBE2F5"/>
      <rgbColor rgb="FFFCE4D6"/>
      <rgbColor rgb="FF2E75B6"/>
      <rgbColor rgb="FF33CCCC"/>
      <rgbColor rgb="FF99CC00"/>
      <rgbColor rgb="FFFFCC00"/>
      <rgbColor rgb="FFFF9900"/>
      <rgbColor rgb="FFFF6600"/>
      <rgbColor rgb="FF595959"/>
      <rgbColor rgb="FF969696"/>
      <rgbColor rgb="FF1F3864"/>
      <rgbColor rgb="FF2E7D32"/>
      <rgbColor rgb="FF003300"/>
      <rgbColor rgb="FF333300"/>
      <rgbColor rgb="FF7F6000"/>
      <rgbColor rgb="FF993366"/>
      <rgbColor rgb="FF5C3292"/>
      <rgbColor rgb="FF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6B75"/>
    <outlinePr summaryBelow="1" summaryRight="1"/>
    <pageSetUpPr/>
  </sheetPr>
  <dimension ref="B1:D55"/>
  <sheetViews>
    <sheetView showGridLines="0" zoomScaleNormal="100" workbookViewId="0">
      <pane ySplit="1" topLeftCell="A38" activePane="bottomLeft" state="frozen"/>
      <selection pane="bottomLeft" activeCell="G8" sqref="G8"/>
    </sheetView>
  </sheetViews>
  <sheetFormatPr baseColWidth="8" defaultColWidth="8.7109375" defaultRowHeight="15"/>
  <cols>
    <col width="2" customWidth="1" min="1" max="1"/>
    <col width="28" customWidth="1" min="2" max="2"/>
    <col width="60" customWidth="1" min="3" max="3"/>
    <col width="28" customWidth="1" min="4" max="4"/>
    <col width="2" customWidth="1" min="5" max="5"/>
  </cols>
  <sheetData>
    <row r="1" ht="39.75" customHeight="1">
      <c r="B1" s="12" t="inlineStr">
        <is>
          <t>Level 2 — Integration Test  |  Test Case Specification Template</t>
        </is>
      </c>
    </row>
    <row r="2" ht="15.75" customHeight="1">
      <c r="B2" s="11" t="inlineStr">
        <is>
          <t>Primary tool: xUnit + WebApplicationFactory&lt;Program&gt; (Microsoft.AspNetCore.Mvc.Testing) + Testcontainers.MsSql (SQL Server 2022) + Respawn (reset DB giữa các test) + WireMock.Net (HTTP ngoài) + mail-sink container (bắt SMTP) + SignalR test client + gọi TRỰC TIẾP IScheduledJob.RunAsync(ct) cho job nền</t>
        </is>
      </c>
    </row>
    <row r="4" ht="19.5" customHeight="1">
      <c r="B4" s="10" t="inlineStr">
        <is>
          <t>🎯  Purpose — What does this test level verify?</t>
        </is>
      </c>
    </row>
    <row r="5" ht="51" customHeight="1">
      <c r="B5" s="9" t="inlineStr">
        <is>
          <t>Verify that the VietTien.API monolith works correctly against its real dependencies — SQL Server (EF Core), background jobs, SignalR hubs — including transaction boundaries, idempotent webhook handling, and concurrency safety.    Key question: 'Do the service contracts hold when connected to a real database and real HTTP pipeline?'</t>
        </is>
      </c>
    </row>
    <row r="7" ht="19.5" customHeight="1">
      <c r="B7" s="10" t="inlineStr">
        <is>
          <t>✅  In Scope</t>
        </is>
      </c>
    </row>
    <row r="8" ht="84" customHeight="1">
      <c r="B8" s="9" t="inlineStr">
        <is>
          <t>• One API + real SQL Server 2022 via Testcontainers.MsSql (EF Core migrations applied)  • HTTP end-to-end through WebApplicationFactory incl. SePay webhook endpoint  • Transaction boundary: atomic commit / full rollback verification  • Idempotency: same webhook txn id twice -&gt; no duplicate  • Concurrency: two parallel requests on shared stock/payment -&gt; exactly-once  • ScheduledJobRunnerBackgroundService / hosted background jobs (payment timeout, SLA) triggered directly  • SignalR hub notifications observed via test client  • Cross-module workflows on the monolith (payment -&gt; fulfilment -&gt; delivery -&gt; debt)</t>
        </is>
      </c>
    </row>
    <row r="10" ht="19.5" customHeight="1">
      <c r="B10" s="10" t="inlineStr">
        <is>
          <t>❌  Out of Scope</t>
        </is>
      </c>
    </row>
    <row r="11" ht="69.75" customHeight="1">
      <c r="B11" s="9" t="inlineStr">
        <is>
          <t>• Internal logic with mocked deps (-&gt; L1 Unit)  • Browser UI (-&gt; L4 / Vitest component tests are L1-FE)  • Real SePay / eSMS / Cloudinary production endpoints (replaced by config token, WireMock.Net, or fakes)  • Performance/load (-&gt; JMeter, Report 5.x System)  • Security scanning (-&gt; OWASP ZAP)</t>
        </is>
      </c>
    </row>
    <row r="13" ht="19.5" customHeight="1">
      <c r="B13" s="10" t="inlineStr">
        <is>
          <t>🔬  Coverage Techniques</t>
        </is>
      </c>
    </row>
    <row r="14" ht="181.5" customHeight="1">
      <c r="B14" s="9" t="inlineStr">
        <is>
          <t>Happy Path: primary success flow — DB state + notifications + response correct.    Error Path: failure scenario — full rollback, no partial state.    BVA: SRS boundaries at integration level (15-min payment window, ±1 VND amount, 24h cart, 168h VAT).    Idempotency: same SePay txn id / receipt posted twice -&gt; second is a no-op. Mandatory for the webhook endpoint and every 'Post' action.    Transaction Boundary: multi-row updates commit atomically or roll back together.    Concurrency: two parallel requests on the same stock/payment -&gt; exactly-once semantics (never negative stock, never double-Paid).    Workflow: full business transaction across modules — verify state at every hop.</t>
        </is>
      </c>
    </row>
    <row r="16" ht="19.5" customHeight="1">
      <c r="B16" s="10" t="inlineStr">
        <is>
          <t>🛠️  Primary Tool</t>
        </is>
      </c>
    </row>
    <row r="17" ht="27.75" customHeight="1">
      <c r="B17" s="9" t="inlineStr">
        <is>
          <t>xUnit + WebApplicationFactory&lt;Program&gt; (Microsoft.AspNetCore.Mvc.Testing) + Testcontainers.MsSql (SQL Server 2022) + Respawn (DB reset between tests) + WireMock.Net (eSMS / external HTTP) + smtp4dev container (SMTP capture) + SignalR test client + gọi trực tiếp IScheduledJob.RunAsync(ct)</t>
        </is>
      </c>
    </row>
    <row r="19" ht="19.5" customHeight="1">
      <c r="B19" s="10" t="inlineStr">
        <is>
          <t>📋  Column Definitions — How to fill each column</t>
        </is>
      </c>
    </row>
    <row r="20" ht="39" customHeight="1">
      <c r="B20" s="13" t="inlineStr">
        <is>
          <t>Test ID</t>
        </is>
      </c>
      <c r="C20" s="8" t="inlineStr">
        <is>
          <t>Format: L2-[ServiceAbbr]-[NN]
Example: L2-ORD-01, L2-INV-03, L2-FLOW-02
Numbering resets per sheet.</t>
        </is>
      </c>
      <c r="D20" s="63" t="n"/>
    </row>
    <row r="21" ht="18" customHeight="1">
      <c r="B21" s="13" t="inlineStr">
        <is>
          <t>Coverage Technique</t>
        </is>
      </c>
      <c r="C21" s="7" t="inlineStr">
        <is>
          <t>Values: Happy Path, Error Path, BVA, Idempotency, Transaction Boundary, Concurrency, Compensation, Workflow</t>
        </is>
      </c>
      <c r="D21" s="63" t="n"/>
    </row>
    <row r="22" ht="18" customHeight="1">
      <c r="B22" s="13" t="inlineStr">
        <is>
          <t>SRS Reference</t>
        </is>
      </c>
      <c r="C22" s="8" t="inlineStr">
        <is>
          <t>AC-xx, NAC-xx, BV-xx, DC-xx, BR-xx from SRS v2.0 (Part 3 + RTW Sheet 3/6/7)</t>
        </is>
      </c>
      <c r="D22" s="63" t="n"/>
    </row>
    <row r="23" ht="39" customHeight="1">
      <c r="B23" s="13" t="inlineStr">
        <is>
          <t>Services Involved</t>
        </is>
      </c>
      <c r="C23" s="7" t="inlineStr">
        <is>
          <t>Modules under test within VietTien.API + infra.  Example: VietTien.API (WebApplicationFactory) + SQL Server  Add "+ SignalR" when hub assertions are made</t>
        </is>
      </c>
      <c r="D23" s="63" t="n"/>
    </row>
    <row r="24" ht="51.75" customHeight="1">
      <c r="B24" s="13" t="inlineStr">
        <is>
          <t>Infrastructure (Testcontainers)</t>
        </is>
      </c>
      <c r="C24" s="8" t="inlineStr">
        <is>
          <t>List containers needed:  SQL Server 2022 (Testcontainers.MsSql)  smtp4dev (SMTP capture)  — KHÔNG có message broker và KHÔNG có SignalR trong kiến trúc này — job nền là hosted service tự viết</t>
        </is>
      </c>
      <c r="D24" s="63" t="n"/>
    </row>
    <row r="25" ht="39" customHeight="1">
      <c r="B25" s="13" t="inlineStr">
        <is>
          <t>External Mocks (WireMock)</t>
        </is>
      </c>
      <c r="C25" s="7" t="inlineStr">
        <is>
          <t>External APIs replaced by WireMock.Net / fakes.  Example: eSMS API -&gt; 200 OK  Example: SMTP -&gt; smtp4dev container  None if no external calls</t>
        </is>
      </c>
      <c r="D25" s="63" t="n"/>
    </row>
    <row r="26" ht="39" customHeight="1">
      <c r="B26" s="13" t="inlineStr">
        <is>
          <t>Given (DB State / Setup)</t>
        </is>
      </c>
      <c r="C26" s="8" t="inlineStr">
        <is>
          <t>Database state before the test.
SQL inserts or repository saves.
List explicitly: order ORD-001 in AwaitingPayment; stock=5</t>
        </is>
      </c>
      <c r="D26" s="63" t="n"/>
    </row>
    <row r="27" ht="51.75" customHeight="1">
      <c r="B27" s="13" t="inlineStr">
        <is>
          <t>When (Action / HTTP Call)</t>
        </is>
      </c>
      <c r="C27" s="7" t="inlineStr">
        <is>
          <t>The trigger action.
For HTTP: POST /api/webhooks/sepay-callback {payload}
For direct: orderService.confirmOrder(orderId, event)
For async: trigger IScheduledJob.RunAsync(ct) trực tiếp</t>
        </is>
      </c>
      <c r="D27" s="63" t="n"/>
    </row>
    <row r="28" ht="78" customHeight="1">
      <c r="B28" s="13" t="inlineStr">
        <is>
          <t>Then (Expected DB State + Events + Response)</t>
        </is>
      </c>
      <c r="C28" s="8" t="inlineStr">
        <is>
          <t>ALL expected outcomes:
• DB state: orders.status = Confirmed
• Stock: stock.quantity decremented
• Events: SignalR: SalesHub nhận thông báo
• Response: HTTP 200 / 409 / etc.
• Negative: save() NEVER called; không phát SignalR notification</t>
        </is>
      </c>
      <c r="D28" s="63" t="n"/>
    </row>
    <row r="29" ht="18" customHeight="1">
      <c r="B29" s="13" t="inlineStr">
        <is>
          <t>Negative?</t>
        </is>
      </c>
      <c r="C29" s="7" t="inlineStr">
        <is>
          <t>Yes = test expects failure, rollback, or rejection.</t>
        </is>
      </c>
      <c r="D29" s="63" t="n"/>
    </row>
    <row r="30" ht="18" customHeight="1">
      <c r="B30" s="13" t="inlineStr">
        <is>
          <t>Status</t>
        </is>
      </c>
      <c r="C30" s="8" t="inlineStr">
        <is>
          <t>Not Run / Pass / Fail / Blocked / Skip</t>
        </is>
      </c>
      <c r="D30" s="63" t="n"/>
    </row>
    <row r="31" ht="18" customHeight="1">
      <c r="B31" s="13" t="inlineStr">
        <is>
          <t>Defect ID</t>
        </is>
      </c>
      <c r="C31" s="7" t="inlineStr">
        <is>
          <t>Issue tracker reference when Status = Fail.</t>
        </is>
      </c>
      <c r="D31" s="63" t="n"/>
    </row>
    <row r="32" ht="18" customHeight="1">
      <c r="B32" s="13" t="inlineStr">
        <is>
          <t>Notes</t>
        </is>
      </c>
      <c r="C32" s="8" t="inlineStr">
        <is>
          <t>Test dataset file, timing notes, ghi chú job nền chạy 1 lần / 1 chu kỳ.</t>
        </is>
      </c>
      <c r="D32" s="63" t="n"/>
    </row>
    <row r="34" ht="19.5" customHeight="1">
      <c r="B34" s="6" t="inlineStr">
        <is>
          <t>📝  How to Fill — Step by step</t>
        </is>
      </c>
    </row>
    <row r="35" ht="15.75" customHeight="1">
      <c r="B35" s="5" t="inlineStr">
        <is>
          <t>1. Identify the SERVICE under test → one sheet per service.</t>
        </is>
      </c>
    </row>
    <row r="36" ht="15.75" customHeight="1">
      <c r="B36" s="4" t="inlineStr">
        <is>
          <t>2. Identify each METHOD that has non-trivial DB or queue interaction → one block per method.</t>
        </is>
      </c>
    </row>
    <row r="37" ht="15.75" customHeight="1">
      <c r="B37" s="5" t="inlineStr">
        <is>
          <t>3. For each method: write Happy Path first (verify DB state + events published).</t>
        </is>
      </c>
    </row>
    <row r="38" ht="15.75" customHeight="1">
      <c r="B38" s="4" t="inlineStr">
        <is>
          <t>4. Write Error Path: simulate failure (WireMock returns 500, stock=0, trùng PaymentTransaction.TransactionId).</t>
        </is>
      </c>
    </row>
    <row r="39" ht="15.75" customHeight="1">
      <c r="B39" s="5" t="inlineStr">
        <is>
          <t>5. For the SePay webhook endpoint and every Post-action (receipt, goods issue): write Idempotency test (same txn/id twice → no duplicate).</t>
        </is>
      </c>
    </row>
    <row r="40" ht="15.75" customHeight="1">
      <c r="B40" s="4" t="inlineStr">
        <is>
          <t>6. For method dùng DbContext.Database.BeginTransactionAsync() (cập nhật nhiều bảng): write Transaction Boundary test.</t>
        </is>
      </c>
    </row>
    <row r="41" ht="15.75" customHeight="1">
      <c r="B41" s="5" t="inlineStr">
        <is>
          <t>7. For shared resources (order lock, stock decrement): write Concurrency test with two threads.</t>
        </is>
      </c>
    </row>
    <row r="42" ht="15.75" customHeight="1">
      <c r="B42" s="4" t="inlineStr">
        <is>
          <t>8. For cross-service flows: add to L2-Workflows sheet, one block per FLOW-xx.</t>
        </is>
      </c>
    </row>
    <row r="43" ht="15.75" customHeight="1">
      <c r="B43" s="5" t="inlineStr">
        <is>
          <t>9. Specify Testcontainers and WireMock setup explicitly — another developer must be able to run this.</t>
        </is>
      </c>
    </row>
    <row r="44" ht="15.75" customHeight="1">
      <c r="B44" s="4" t="inlineStr">
        <is>
          <t>10. Run tests → update Status → add Defect ID if Fail.</t>
        </is>
      </c>
    </row>
    <row r="46" ht="18" customHeight="1">
      <c r="B46" s="6" t="inlineStr">
        <is>
          <t>🎨  Priority &amp; Status Legend</t>
        </is>
      </c>
    </row>
    <row r="47" ht="18" customHeight="1">
      <c r="B47" s="14" t="inlineStr">
        <is>
          <t>P1 — Critical</t>
        </is>
      </c>
      <c r="C47" s="3" t="inlineStr">
        <is>
          <t>Must pass before any release. Blocking.</t>
        </is>
      </c>
      <c r="D47" s="63" t="n"/>
    </row>
    <row r="48" ht="18" customHeight="1">
      <c r="B48" s="15" t="inlineStr">
        <is>
          <t>P2 — High</t>
        </is>
      </c>
      <c r="C48" s="3" t="inlineStr">
        <is>
          <t>Should pass. Non-blocking but important.</t>
        </is>
      </c>
      <c r="D48" s="63" t="n"/>
    </row>
    <row r="49" ht="18" customHeight="1">
      <c r="B49" s="16" t="inlineStr">
        <is>
          <t>P3 — Medium</t>
        </is>
      </c>
      <c r="C49" s="3" t="inlineStr">
        <is>
          <t>Nice to have in this cycle.</t>
        </is>
      </c>
      <c r="D49" s="63" t="n"/>
    </row>
    <row r="51" ht="18" customHeight="1">
      <c r="B51" s="17" t="inlineStr">
        <is>
          <t>Not Run</t>
        </is>
      </c>
    </row>
    <row r="52" ht="18" customHeight="1">
      <c r="B52" s="18" t="inlineStr">
        <is>
          <t>Pass</t>
        </is>
      </c>
    </row>
    <row r="53" ht="18" customHeight="1">
      <c r="B53" s="19" t="inlineStr">
        <is>
          <t>Fail</t>
        </is>
      </c>
    </row>
    <row r="54" ht="18" customHeight="1">
      <c r="B54" s="20" t="inlineStr">
        <is>
          <t>Blocked</t>
        </is>
      </c>
    </row>
    <row r="55" ht="18" customHeight="1">
      <c r="B55" s="21" t="inlineStr">
        <is>
          <t>Skip</t>
        </is>
      </c>
    </row>
  </sheetData>
  <mergeCells count="41">
    <mergeCell ref="B42:D42"/>
    <mergeCell ref="B11:D11"/>
    <mergeCell ref="B14:D14"/>
    <mergeCell ref="C24:D24"/>
    <mergeCell ref="C30:D30"/>
    <mergeCell ref="B1:D1"/>
    <mergeCell ref="B8:D8"/>
    <mergeCell ref="B17:D17"/>
    <mergeCell ref="B13:D13"/>
    <mergeCell ref="B44:D44"/>
    <mergeCell ref="C26:D26"/>
    <mergeCell ref="B38:D38"/>
    <mergeCell ref="B34:D34"/>
    <mergeCell ref="B10:D10"/>
    <mergeCell ref="C20:D20"/>
    <mergeCell ref="B19:D19"/>
    <mergeCell ref="B37:D37"/>
    <mergeCell ref="C47:D47"/>
    <mergeCell ref="C29:D29"/>
    <mergeCell ref="C25:D25"/>
    <mergeCell ref="B40:D40"/>
    <mergeCell ref="C22:D22"/>
    <mergeCell ref="C31:D31"/>
    <mergeCell ref="B36:D36"/>
    <mergeCell ref="B5:D5"/>
    <mergeCell ref="C21:D21"/>
    <mergeCell ref="B41:D41"/>
    <mergeCell ref="B35:D35"/>
    <mergeCell ref="C27:D27"/>
    <mergeCell ref="B4:D4"/>
    <mergeCell ref="C48:D48"/>
    <mergeCell ref="C23:D23"/>
    <mergeCell ref="B7:D7"/>
    <mergeCell ref="B16:D16"/>
    <mergeCell ref="C32:D32"/>
    <mergeCell ref="B46:D46"/>
    <mergeCell ref="C28:D28"/>
    <mergeCell ref="B43:D43"/>
    <mergeCell ref="B39:D39"/>
    <mergeCell ref="B2:D2"/>
    <mergeCell ref="C49:D49"/>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I83"/>
  <sheetViews>
    <sheetView showGridLines="0" tabSelected="1" zoomScaleNormal="100" workbookViewId="0">
      <pane ySplit="6" topLeftCell="A7" activePane="bottomLeft" state="frozen"/>
      <selection pane="bottomLeft" activeCell="I18" sqref="I18"/>
    </sheetView>
  </sheetViews>
  <sheetFormatPr baseColWidth="8" defaultColWidth="8.7109375" defaultRowHeight="15"/>
  <cols>
    <col width="15.42578125" customWidth="1" min="1" max="1"/>
    <col width="24" customWidth="1" min="2" max="2"/>
    <col width="34" customWidth="1" min="3" max="3"/>
    <col width="26" customWidth="1" min="4" max="4"/>
    <col width="9" customWidth="1" min="5" max="5"/>
    <col width="10" customWidth="1" min="6" max="6"/>
    <col width="14" customWidth="1" min="7" max="8"/>
    <col width="55" customWidth="1" min="9" max="9"/>
  </cols>
  <sheetData>
    <row r="1" ht="24" customHeight="1">
      <c r="A1" s="2" t="inlineStr">
        <is>
          <t>TestCase List  |  L2 Integration Test</t>
        </is>
      </c>
    </row>
    <row r="3" ht="15" customHeight="1">
      <c r="A3" s="22" t="inlineStr">
        <is>
          <t>Total test cases</t>
        </is>
      </c>
      <c r="B3" s="23">
        <f>COUNTA(A7:A394)</f>
        <v/>
      </c>
      <c r="C3" s="22" t="inlineStr">
        <is>
          <t>P1</t>
        </is>
      </c>
      <c r="D3" s="23">
        <f>COUNTIF(E7:E394,"P1")</f>
        <v/>
      </c>
      <c r="E3" s="22" t="inlineStr">
        <is>
          <t>P2</t>
        </is>
      </c>
      <c r="F3" s="23">
        <f>COUNTIF(E7:E394,"P2")</f>
        <v/>
      </c>
      <c r="G3" s="22" t="inlineStr">
        <is>
          <t>P3</t>
        </is>
      </c>
      <c r="H3" s="23">
        <f>COUNTIF(E7:E394,"P3")</f>
        <v/>
      </c>
    </row>
    <row r="4" ht="15" customHeight="1">
      <c r="A4" s="22" t="inlineStr">
        <is>
          <t>Negative tests</t>
        </is>
      </c>
      <c r="B4" s="23">
        <f>COUNTIF(F7:F394,"Yes")</f>
        <v/>
      </c>
      <c r="C4" s="22" t="inlineStr">
        <is>
          <t>Pass</t>
        </is>
      </c>
      <c r="D4" s="23">
        <f>COUNTIF(G7:G394,"Pass")</f>
        <v/>
      </c>
      <c r="E4" s="22" t="inlineStr">
        <is>
          <t>Fail</t>
        </is>
      </c>
      <c r="F4" s="23">
        <f>COUNTIF(G7:G394,"Fail")</f>
        <v/>
      </c>
      <c r="G4" s="22" t="inlineStr">
        <is>
          <t>Not Run</t>
        </is>
      </c>
      <c r="H4" s="23">
        <f>COUNTIF(M6:M393,"Not Run")</f>
        <v/>
      </c>
    </row>
    <row r="6" ht="23.25" customHeight="1">
      <c r="A6" s="24" t="inlineStr">
        <is>
          <t>Test ID</t>
        </is>
      </c>
      <c r="B6" s="24" t="inlineStr">
        <is>
          <t>Sheet</t>
        </is>
      </c>
      <c r="C6" s="24" t="inlineStr">
        <is>
          <t>Nhóm / Block</t>
        </is>
      </c>
      <c r="D6" s="24" t="inlineStr">
        <is>
          <t>SRS Reference</t>
        </is>
      </c>
      <c r="E6" s="24" t="inlineStr">
        <is>
          <t>Priority</t>
        </is>
      </c>
      <c r="F6" s="24" t="inlineStr">
        <is>
          <t>Negative?</t>
        </is>
      </c>
      <c r="G6" s="24" t="inlineStr">
        <is>
          <t>Status (live link)</t>
        </is>
      </c>
      <c r="H6" s="24" t="inlineStr">
        <is>
          <t>Defect ID (live link)</t>
        </is>
      </c>
      <c r="I6" s="24" t="inlineStr">
        <is>
          <t>Fix Status (live link)</t>
        </is>
      </c>
    </row>
    <row r="7" ht="15" customHeight="1">
      <c r="A7" s="25" t="inlineStr">
        <is>
          <t>L2-INFRA-01</t>
        </is>
      </c>
      <c r="B7" s="26" t="inlineStr">
        <is>
          <t>L2-Infrastructure</t>
        </is>
      </c>
      <c r="C7" s="26" t="inlineStr">
        <is>
          <t>Hàng rào hạ tầng</t>
        </is>
      </c>
      <c r="D7" s="26" t="inlineStr">
        <is>
          <t>NFR-M02; vận hành</t>
        </is>
      </c>
      <c r="E7" s="27" t="inlineStr">
        <is>
          <t>P1</t>
        </is>
      </c>
      <c r="F7" s="26" t="inlineStr">
        <is>
          <t>No</t>
        </is>
      </c>
      <c r="G7" s="28">
        <f>'L2-Infrastructure'!M6</f>
        <v/>
      </c>
      <c r="H7" s="28">
        <f>'L2-Infrastructure'!N6</f>
        <v/>
      </c>
      <c r="I7" s="64">
        <f>'L2-Infrastructure'!P6</f>
        <v/>
      </c>
    </row>
    <row r="8" ht="15" customHeight="1">
      <c r="A8" s="29" t="inlineStr">
        <is>
          <t>L2-INFRA-02</t>
        </is>
      </c>
      <c r="B8" s="30" t="inlineStr">
        <is>
          <t>L2-Infrastructure</t>
        </is>
      </c>
      <c r="C8" s="30" t="inlineStr">
        <is>
          <t>Hàng rào hạ tầng</t>
        </is>
      </c>
      <c r="D8" s="30" t="inlineStr">
        <is>
          <t>NFR-SEC06; NFR-A02</t>
        </is>
      </c>
      <c r="E8" s="27" t="inlineStr">
        <is>
          <t>P1</t>
        </is>
      </c>
      <c r="F8" s="31" t="inlineStr">
        <is>
          <t>Yes</t>
        </is>
      </c>
      <c r="G8" s="32">
        <f>'L2-Infrastructure'!M7</f>
        <v/>
      </c>
      <c r="H8" s="32" t="n"/>
      <c r="I8" s="64">
        <f>'L2-Infrastructure'!P7</f>
        <v/>
      </c>
    </row>
    <row r="9" ht="15" customHeight="1">
      <c r="A9" s="25" t="inlineStr">
        <is>
          <t>L2-INFRA-03</t>
        </is>
      </c>
      <c r="B9" s="26" t="inlineStr">
        <is>
          <t>L2-Infrastructure</t>
        </is>
      </c>
      <c r="C9" s="26" t="inlineStr">
        <is>
          <t>Hàng rào hạ tầng</t>
        </is>
      </c>
      <c r="D9" s="26" t="inlineStr">
        <is>
          <t>NFR-SEC06</t>
        </is>
      </c>
      <c r="E9" s="27" t="inlineStr">
        <is>
          <t>P1</t>
        </is>
      </c>
      <c r="F9" s="33" t="inlineStr">
        <is>
          <t>Yes</t>
        </is>
      </c>
      <c r="G9" s="28">
        <f>'L2-Infrastructure'!M8</f>
        <v/>
      </c>
      <c r="H9" s="28" t="n"/>
      <c r="I9" s="64">
        <f>'L2-Infrastructure'!P8</f>
        <v/>
      </c>
    </row>
    <row r="10" ht="21.75" customHeight="1">
      <c r="A10" s="29" t="inlineStr">
        <is>
          <t>L2-PAY-01</t>
        </is>
      </c>
      <c r="B10" s="30" t="inlineStr">
        <is>
          <t>L2-OrderPayment</t>
        </is>
      </c>
      <c r="C10" s="30" t="inlineStr">
        <is>
          <t>ProcessSePayWebhook — HTTP end-to-end</t>
        </is>
      </c>
      <c r="D10" s="30" t="inlineStr">
        <is>
          <t>FT-03 AC-01; AC-02; BR-009; NFR-SEC05</t>
        </is>
      </c>
      <c r="E10" s="27" t="inlineStr">
        <is>
          <t>P1</t>
        </is>
      </c>
      <c r="F10" s="30" t="inlineStr">
        <is>
          <t>No</t>
        </is>
      </c>
      <c r="G10" s="32">
        <f>'L2-OrderPayment'!M6</f>
        <v/>
      </c>
      <c r="H10" s="32" t="n"/>
      <c r="I10" s="64">
        <f>'L2-OrderPayment'!P6</f>
        <v/>
      </c>
    </row>
    <row r="11" ht="15" customHeight="1">
      <c r="A11" s="25" t="inlineStr">
        <is>
          <t>L2-PAY-02</t>
        </is>
      </c>
      <c r="B11" s="26" t="inlineStr">
        <is>
          <t>L2-OrderPayment</t>
        </is>
      </c>
      <c r="C11" s="26" t="inlineStr">
        <is>
          <t>ProcessSePayWebhook — HTTP end-to-end</t>
        </is>
      </c>
      <c r="D11" s="26" t="inlineStr">
        <is>
          <t>FT-03 NAC-01; NFR-SEC05</t>
        </is>
      </c>
      <c r="E11" s="27" t="inlineStr">
        <is>
          <t>P1</t>
        </is>
      </c>
      <c r="F11" s="33" t="inlineStr">
        <is>
          <t>Yes</t>
        </is>
      </c>
      <c r="G11" s="28">
        <f>'L2-OrderPayment'!M7</f>
        <v/>
      </c>
      <c r="H11" s="28" t="n"/>
      <c r="I11" s="64">
        <f>'L2-OrderPayment'!P7</f>
        <v/>
      </c>
    </row>
    <row r="12" ht="15" customHeight="1">
      <c r="A12" s="29" t="inlineStr">
        <is>
          <t>L2-PAY-03</t>
        </is>
      </c>
      <c r="B12" s="30" t="inlineStr">
        <is>
          <t>L2-OrderPayment</t>
        </is>
      </c>
      <c r="C12" s="30" t="inlineStr">
        <is>
          <t>ProcessSePayWebhook — HTTP end-to-end</t>
        </is>
      </c>
      <c r="D12" s="30" t="inlineStr">
        <is>
          <t>FT-03 NAC-01; BV-01</t>
        </is>
      </c>
      <c r="E12" s="27" t="inlineStr">
        <is>
          <t>P1</t>
        </is>
      </c>
      <c r="F12" s="31" t="inlineStr">
        <is>
          <t>Yes</t>
        </is>
      </c>
      <c r="G12" s="32">
        <f>'L2-OrderPayment'!M8</f>
        <v/>
      </c>
      <c r="H12" s="32" t="n"/>
      <c r="I12" s="64">
        <f>'L2-OrderPayment'!P8</f>
        <v/>
      </c>
    </row>
    <row r="13" ht="15" customHeight="1">
      <c r="A13" s="25" t="inlineStr">
        <is>
          <t>L2-PAY-04</t>
        </is>
      </c>
      <c r="B13" s="26" t="inlineStr">
        <is>
          <t>L2-OrderPayment</t>
        </is>
      </c>
      <c r="C13" s="26" t="inlineStr">
        <is>
          <t>ProcessSePayWebhook — HTTP end-to-end</t>
        </is>
      </c>
      <c r="D13" s="26" t="inlineStr">
        <is>
          <t>FT-03 NAC-02; BR-029</t>
        </is>
      </c>
      <c r="E13" s="27" t="inlineStr">
        <is>
          <t>P1</t>
        </is>
      </c>
      <c r="F13" s="26" t="inlineStr">
        <is>
          <t>No</t>
        </is>
      </c>
      <c r="G13" s="28">
        <f>'L2-OrderPayment'!M9</f>
        <v/>
      </c>
      <c r="H13" s="28" t="n"/>
      <c r="I13" s="64">
        <f>'L2-OrderPayment'!P9</f>
        <v/>
      </c>
    </row>
    <row r="14" ht="21.75" customHeight="1">
      <c r="A14" s="29" t="inlineStr">
        <is>
          <t>L2-PAY-05</t>
        </is>
      </c>
      <c r="B14" s="30" t="inlineStr">
        <is>
          <t>L2-OrderPayment</t>
        </is>
      </c>
      <c r="C14" s="30" t="inlineStr">
        <is>
          <t>Payment timeout — 15-min boundary</t>
        </is>
      </c>
      <c r="D14" s="30" t="inlineStr">
        <is>
          <t>FT-03 NAC-03; BV-01; BR-008; BR-033</t>
        </is>
      </c>
      <c r="E14" s="27" t="inlineStr">
        <is>
          <t>P1</t>
        </is>
      </c>
      <c r="F14" s="30" t="inlineStr">
        <is>
          <t>No</t>
        </is>
      </c>
      <c r="G14" s="32">
        <f>'L2-OrderPayment'!M11</f>
        <v/>
      </c>
      <c r="H14" s="32" t="n"/>
      <c r="I14" s="64">
        <f>'L2-OrderPayment'!P11</f>
        <v/>
      </c>
    </row>
    <row r="15" ht="15" customHeight="1">
      <c r="A15" s="25" t="inlineStr">
        <is>
          <t>L2-PAY-06</t>
        </is>
      </c>
      <c r="B15" s="26" t="inlineStr">
        <is>
          <t>L2-OrderPayment</t>
        </is>
      </c>
      <c r="C15" s="26" t="inlineStr">
        <is>
          <t>Payment timeout — 15-min boundary</t>
        </is>
      </c>
      <c r="D15" s="26" t="inlineStr">
        <is>
          <t>FT-03 BV-01; BR-008</t>
        </is>
      </c>
      <c r="E15" s="27" t="inlineStr">
        <is>
          <t>P1</t>
        </is>
      </c>
      <c r="F15" s="26" t="inlineStr">
        <is>
          <t>No</t>
        </is>
      </c>
      <c r="G15" s="28">
        <f>'L2-OrderPayment'!M12</f>
        <v/>
      </c>
      <c r="H15" s="28" t="n"/>
      <c r="I15" s="64">
        <f>'L2-OrderPayment'!P12</f>
        <v/>
      </c>
    </row>
    <row r="16" ht="15" customHeight="1">
      <c r="A16" s="29" t="inlineStr">
        <is>
          <t>L2-PAY-07</t>
        </is>
      </c>
      <c r="B16" s="30" t="inlineStr">
        <is>
          <t>L2-OrderPayment</t>
        </is>
      </c>
      <c r="C16" s="30" t="inlineStr">
        <is>
          <t>ManualConfirm — fallback</t>
        </is>
      </c>
      <c r="D16" s="30" t="inlineStr">
        <is>
          <t>FT-03 AC-05; NAC-03; BR-016</t>
        </is>
      </c>
      <c r="E16" s="27" t="inlineStr">
        <is>
          <t>P1</t>
        </is>
      </c>
      <c r="F16" s="30" t="inlineStr">
        <is>
          <t>No</t>
        </is>
      </c>
      <c r="G16" s="32">
        <f>'L2-OrderPayment'!M14</f>
        <v/>
      </c>
      <c r="H16" s="32" t="n"/>
      <c r="I16" s="64">
        <f>'L2-OrderPayment'!P14</f>
        <v/>
      </c>
    </row>
    <row r="17" ht="15" customHeight="1">
      <c r="A17" s="25" t="inlineStr">
        <is>
          <t>L2-PAY-08</t>
        </is>
      </c>
      <c r="B17" s="26" t="inlineStr">
        <is>
          <t>L2-OrderPayment</t>
        </is>
      </c>
      <c r="C17" s="26" t="inlineStr">
        <is>
          <t>ManualConfirm — fallback</t>
        </is>
      </c>
      <c r="D17" s="26" t="inlineStr">
        <is>
          <t>FT-03 NAC-04</t>
        </is>
      </c>
      <c r="E17" s="27" t="inlineStr">
        <is>
          <t>P1</t>
        </is>
      </c>
      <c r="F17" s="33" t="inlineStr">
        <is>
          <t>Yes</t>
        </is>
      </c>
      <c r="G17" s="28">
        <f>'L2-OrderPayment'!M15</f>
        <v/>
      </c>
      <c r="H17" s="28" t="n"/>
      <c r="I17" s="64">
        <f>'L2-OrderPayment'!P15</f>
        <v/>
      </c>
    </row>
    <row r="18" ht="15" customHeight="1">
      <c r="A18" s="29" t="inlineStr">
        <is>
          <t>L2-PAY-09</t>
        </is>
      </c>
      <c r="B18" s="30" t="inlineStr">
        <is>
          <t>L2-OrderPayment</t>
        </is>
      </c>
      <c r="C18" s="30" t="inlineStr">
        <is>
          <t>ManualConfirm — fallback</t>
        </is>
      </c>
      <c r="D18" s="30" t="inlineStr">
        <is>
          <t>FT-03 NAC-02; BR-029; NFR-A05</t>
        </is>
      </c>
      <c r="E18" s="27" t="inlineStr">
        <is>
          <t>P1</t>
        </is>
      </c>
      <c r="F18" s="30" t="inlineStr">
        <is>
          <t>No</t>
        </is>
      </c>
      <c r="G18" s="32">
        <f>'L2-OrderPayment'!M16</f>
        <v/>
      </c>
      <c r="H18" s="32">
        <f>'L2-OrderPayment'!N16</f>
        <v/>
      </c>
      <c r="I18" s="64">
        <f>'L2-OrderPayment'!P16</f>
        <v/>
      </c>
    </row>
    <row r="19" ht="21.75" customHeight="1">
      <c r="A19" s="25" t="inlineStr">
        <is>
          <t>L2-FUL-01</t>
        </is>
      </c>
      <c r="B19" s="26" t="inlineStr">
        <is>
          <t>L2-OrderFulfilment</t>
        </is>
      </c>
      <c r="C19" s="26" t="inlineStr">
        <is>
          <t>PlaceOrderAsync — checkout with real DB</t>
        </is>
      </c>
      <c r="D19" s="26" t="inlineStr">
        <is>
          <t>FT-01 AC-05; FT-03 AC-04; BR-030</t>
        </is>
      </c>
      <c r="E19" s="27" t="inlineStr">
        <is>
          <t>P1</t>
        </is>
      </c>
      <c r="F19" s="26" t="inlineStr">
        <is>
          <t>No</t>
        </is>
      </c>
      <c r="G19" s="28">
        <f>'L2-OrderFulfilment'!M6</f>
        <v/>
      </c>
      <c r="H19" s="28" t="n"/>
      <c r="I19" s="64">
        <f>'L2-OrderFulfilment'!P6</f>
        <v/>
      </c>
    </row>
    <row r="20" ht="15" customHeight="1">
      <c r="A20" s="29" t="inlineStr">
        <is>
          <t>L2-FUL-02</t>
        </is>
      </c>
      <c r="B20" s="30" t="inlineStr">
        <is>
          <t>L2-OrderFulfilment</t>
        </is>
      </c>
      <c r="C20" s="30" t="inlineStr">
        <is>
          <t>PlaceOrderAsync — checkout with real DB</t>
        </is>
      </c>
      <c r="D20" s="30" t="inlineStr">
        <is>
          <t>FT-01 NAC-03; FT-05 NAC-01</t>
        </is>
      </c>
      <c r="E20" s="27" t="inlineStr">
        <is>
          <t>P1</t>
        </is>
      </c>
      <c r="F20" s="31" t="inlineStr">
        <is>
          <t>Yes</t>
        </is>
      </c>
      <c r="G20" s="32">
        <f>'L2-OrderFulfilment'!M7</f>
        <v/>
      </c>
      <c r="H20" s="32" t="n"/>
      <c r="I20" s="64">
        <f>'L2-OrderFulfilment'!P7</f>
        <v/>
      </c>
    </row>
    <row r="21" ht="15" customHeight="1">
      <c r="A21" s="25" t="inlineStr">
        <is>
          <t>L2-FUL-03</t>
        </is>
      </c>
      <c r="B21" s="26" t="inlineStr">
        <is>
          <t>L2-OrderFulfilment</t>
        </is>
      </c>
      <c r="C21" s="26" t="inlineStr">
        <is>
          <t>PlaceOrderAsync — checkout with real DB</t>
        </is>
      </c>
      <c r="D21" s="26" t="inlineStr">
        <is>
          <t>FT-01 NAC-03; BV-01; BR-025</t>
        </is>
      </c>
      <c r="E21" s="27" t="inlineStr">
        <is>
          <t>P1</t>
        </is>
      </c>
      <c r="F21" s="33" t="inlineStr">
        <is>
          <t>Yes</t>
        </is>
      </c>
      <c r="G21" s="28">
        <f>'L2-OrderFulfilment'!M8</f>
        <v/>
      </c>
      <c r="H21" s="28">
        <f>'L2-OrderFulfilment'!N8</f>
        <v/>
      </c>
      <c r="I21" s="64">
        <f>'L2-OrderFulfilment'!P8</f>
        <v/>
      </c>
    </row>
    <row r="22" ht="15" customHeight="1">
      <c r="A22" s="29" t="inlineStr">
        <is>
          <t>L2-FUL-04</t>
        </is>
      </c>
      <c r="B22" s="30" t="inlineStr">
        <is>
          <t>L2-OrderFulfilment</t>
        </is>
      </c>
      <c r="C22" s="30" t="inlineStr">
        <is>
          <t>PlaceOrderAsync — checkout with real DB</t>
        </is>
      </c>
      <c r="D22" s="30" t="inlineStr">
        <is>
          <t>FT-02 NAC-01; BR-005</t>
        </is>
      </c>
      <c r="E22" s="27" t="inlineStr">
        <is>
          <t>P1</t>
        </is>
      </c>
      <c r="F22" s="31" t="inlineStr">
        <is>
          <t>Yes</t>
        </is>
      </c>
      <c r="G22" s="32">
        <f>'L2-OrderFulfilment'!M9</f>
        <v/>
      </c>
      <c r="H22" s="32" t="n"/>
      <c r="I22" s="64">
        <f>'L2-OrderFulfilment'!P9</f>
        <v/>
      </c>
    </row>
    <row r="23" ht="21.75" customHeight="1">
      <c r="A23" s="25" t="inlineStr">
        <is>
          <t>L2-FUL-05</t>
        </is>
      </c>
      <c r="B23" s="26" t="inlineStr">
        <is>
          <t>L2-OrderFulfilment</t>
        </is>
      </c>
      <c r="C23" s="26" t="inlineStr">
        <is>
          <t>Confirm -&gt; FIFO queue -&gt; Warehouse accept</t>
        </is>
      </c>
      <c r="D23" s="26" t="inlineStr">
        <is>
          <t>FT-05 AC-01; BR-011</t>
        </is>
      </c>
      <c r="E23" s="27" t="inlineStr">
        <is>
          <t>P1</t>
        </is>
      </c>
      <c r="F23" s="26" t="inlineStr">
        <is>
          <t>No</t>
        </is>
      </c>
      <c r="G23" s="28">
        <f>'L2-OrderFulfilment'!M11</f>
        <v/>
      </c>
      <c r="H23" s="28" t="n"/>
      <c r="I23" s="64">
        <f>'L2-OrderFulfilment'!P11</f>
        <v/>
      </c>
    </row>
    <row r="24" ht="21.75" customHeight="1">
      <c r="A24" s="29" t="inlineStr">
        <is>
          <t>L2-FUL-06</t>
        </is>
      </c>
      <c r="B24" s="30" t="inlineStr">
        <is>
          <t>L2-OrderFulfilment</t>
        </is>
      </c>
      <c r="C24" s="30" t="inlineStr">
        <is>
          <t>Confirm -&gt; FIFO queue -&gt; Warehouse accept</t>
        </is>
      </c>
      <c r="D24" s="30" t="inlineStr">
        <is>
          <t>FT-05 NAC-05</t>
        </is>
      </c>
      <c r="E24" s="27" t="inlineStr">
        <is>
          <t>P1</t>
        </is>
      </c>
      <c r="F24" s="31" t="inlineStr">
        <is>
          <t>Yes</t>
        </is>
      </c>
      <c r="G24" s="32">
        <f>'L2-OrderFulfilment'!M12</f>
        <v/>
      </c>
      <c r="H24" s="32">
        <f>'L2-OrderFulfilment'!N12</f>
        <v/>
      </c>
      <c r="I24" s="64">
        <f>'L2-OrderFulfilment'!P12</f>
        <v/>
      </c>
    </row>
    <row r="25" ht="21.75" customHeight="1">
      <c r="A25" s="25" t="inlineStr">
        <is>
          <t>L2-FUL-07</t>
        </is>
      </c>
      <c r="B25" s="26" t="inlineStr">
        <is>
          <t>L2-OrderFulfilment</t>
        </is>
      </c>
      <c r="C25" s="26" t="inlineStr">
        <is>
          <t>Goods issue &amp; walk-in — atomic stock</t>
        </is>
      </c>
      <c r="D25" s="26" t="inlineStr">
        <is>
          <t>FT-05 AC-05; BV-02; BR-032; BR-034</t>
        </is>
      </c>
      <c r="E25" s="27" t="inlineStr">
        <is>
          <t>P1</t>
        </is>
      </c>
      <c r="F25" s="26" t="inlineStr">
        <is>
          <t>No</t>
        </is>
      </c>
      <c r="G25" s="28">
        <f>'L2-OrderFulfilment'!M14</f>
        <v/>
      </c>
      <c r="H25" s="28" t="n"/>
      <c r="I25" s="64">
        <f>'L2-OrderFulfilment'!P14</f>
        <v/>
      </c>
    </row>
    <row r="26" ht="21.75" customHeight="1">
      <c r="A26" s="29" t="inlineStr">
        <is>
          <t>L2-FUL-08</t>
        </is>
      </c>
      <c r="B26" s="30" t="inlineStr">
        <is>
          <t>L2-OrderFulfilment</t>
        </is>
      </c>
      <c r="C26" s="30" t="inlineStr">
        <is>
          <t>Goods issue &amp; walk-in — atomic stock</t>
        </is>
      </c>
      <c r="D26" s="30" t="inlineStr">
        <is>
          <t>FT-05 NAC-01; BV-01; BR-032; NFR-A05</t>
        </is>
      </c>
      <c r="E26" s="27" t="inlineStr">
        <is>
          <t>P1</t>
        </is>
      </c>
      <c r="F26" s="30" t="inlineStr">
        <is>
          <t>No</t>
        </is>
      </c>
      <c r="G26" s="32">
        <f>'L2-OrderFulfilment'!M15</f>
        <v/>
      </c>
      <c r="H26" s="32" t="n"/>
      <c r="I26" s="64">
        <f>'L2-OrderFulfilment'!P15</f>
        <v/>
      </c>
    </row>
    <row r="27" ht="15" customHeight="1">
      <c r="A27" s="25" t="inlineStr">
        <is>
          <t>L2-QUO-01</t>
        </is>
      </c>
      <c r="B27" s="26" t="inlineStr">
        <is>
          <t>L2-Quotation</t>
        </is>
      </c>
      <c r="C27" s="26" t="inlineStr">
        <is>
          <t>Full approval chain</t>
        </is>
      </c>
      <c r="D27" s="26" t="inlineStr">
        <is>
          <t>FT-02 AC-04; AC-05; BR-027</t>
        </is>
      </c>
      <c r="E27" s="27" t="inlineStr">
        <is>
          <t>P1</t>
        </is>
      </c>
      <c r="F27" s="26" t="inlineStr">
        <is>
          <t>No</t>
        </is>
      </c>
      <c r="G27" s="28">
        <f>'L2-Quotation'!M6</f>
        <v/>
      </c>
      <c r="H27" s="28" t="n"/>
      <c r="I27" s="64">
        <f>'L2-Quotation'!P6</f>
        <v/>
      </c>
    </row>
    <row r="28" ht="15" customHeight="1">
      <c r="A28" s="29" t="inlineStr">
        <is>
          <t>L2-QUO-02</t>
        </is>
      </c>
      <c r="B28" s="30" t="inlineStr">
        <is>
          <t>L2-Quotation</t>
        </is>
      </c>
      <c r="C28" s="30" t="inlineStr">
        <is>
          <t>Full approval chain</t>
        </is>
      </c>
      <c r="D28" s="30" t="inlineStr">
        <is>
          <t>FT-02 NAC-05; NFR-SEC03</t>
        </is>
      </c>
      <c r="E28" s="27" t="inlineStr">
        <is>
          <t>P1</t>
        </is>
      </c>
      <c r="F28" s="31" t="inlineStr">
        <is>
          <t>Yes</t>
        </is>
      </c>
      <c r="G28" s="32">
        <f>'L2-Quotation'!M7</f>
        <v/>
      </c>
      <c r="H28" s="32" t="n"/>
      <c r="I28" s="64">
        <f>'L2-Quotation'!P7</f>
        <v/>
      </c>
    </row>
    <row r="29" ht="15" customHeight="1">
      <c r="A29" s="25" t="inlineStr">
        <is>
          <t>L2-QUO-03</t>
        </is>
      </c>
      <c r="B29" s="26" t="inlineStr">
        <is>
          <t>L2-Quotation</t>
        </is>
      </c>
      <c r="C29" s="26" t="inlineStr">
        <is>
          <t>Full approval chain</t>
        </is>
      </c>
      <c r="D29" s="26" t="inlineStr">
        <is>
          <t>FT-02 NAC-04</t>
        </is>
      </c>
      <c r="E29" s="27" t="inlineStr">
        <is>
          <t>P1</t>
        </is>
      </c>
      <c r="F29" s="33" t="inlineStr">
        <is>
          <t>Yes</t>
        </is>
      </c>
      <c r="G29" s="28">
        <f>'L2-Quotation'!M8</f>
        <v/>
      </c>
      <c r="H29" s="28" t="n"/>
      <c r="I29" s="64">
        <f>'L2-Quotation'!P8</f>
        <v/>
      </c>
    </row>
    <row r="30" ht="21.75" customHeight="1">
      <c r="A30" s="29" t="inlineStr">
        <is>
          <t>L2-QUO-04</t>
        </is>
      </c>
      <c r="B30" s="30" t="inlineStr">
        <is>
          <t>L2-Quotation</t>
        </is>
      </c>
      <c r="C30" s="30" t="inlineStr">
        <is>
          <t>Full approval chain</t>
        </is>
      </c>
      <c r="D30" s="30" t="inlineStr">
        <is>
          <t>FT-02 AC-05; NAC-02; BV-01; BR-026</t>
        </is>
      </c>
      <c r="E30" s="27" t="inlineStr">
        <is>
          <t>P1</t>
        </is>
      </c>
      <c r="F30" s="30" t="inlineStr">
        <is>
          <t>No</t>
        </is>
      </c>
      <c r="G30" s="32">
        <f>'L2-Quotation'!M9</f>
        <v/>
      </c>
      <c r="H30" s="32" t="n"/>
      <c r="I30" s="64">
        <f>'L2-Quotation'!P9</f>
        <v/>
      </c>
    </row>
    <row r="31" ht="15" customHeight="1">
      <c r="A31" s="25" t="inlineStr">
        <is>
          <t>L2-QUO-05</t>
        </is>
      </c>
      <c r="B31" s="26" t="inlineStr">
        <is>
          <t>L2-Quotation</t>
        </is>
      </c>
      <c r="C31" s="26" t="inlineStr">
        <is>
          <t>Negotiation chat</t>
        </is>
      </c>
      <c r="D31" s="26" t="inlineStr">
        <is>
          <t>FT-02 AC-04; BR-020; NFR-P04</t>
        </is>
      </c>
      <c r="E31" s="34" t="inlineStr">
        <is>
          <t>P2</t>
        </is>
      </c>
      <c r="F31" s="26" t="inlineStr">
        <is>
          <t>No</t>
        </is>
      </c>
      <c r="G31" s="28">
        <f>'L2-Quotation'!M11</f>
        <v/>
      </c>
      <c r="H31" s="28" t="n"/>
      <c r="I31" s="64">
        <f>'L2-Quotation'!P11</f>
        <v/>
      </c>
    </row>
    <row r="32" ht="15" customHeight="1">
      <c r="A32" s="29" t="inlineStr">
        <is>
          <t>L2-QUO-06</t>
        </is>
      </c>
      <c r="B32" s="30" t="inlineStr">
        <is>
          <t>L2-Quotation</t>
        </is>
      </c>
      <c r="C32" s="30" t="inlineStr">
        <is>
          <t>Negotiation chat</t>
        </is>
      </c>
      <c r="D32" s="30" t="inlineStr">
        <is>
          <t>FT-02 NAC-05; NFR-SEC03</t>
        </is>
      </c>
      <c r="E32" s="27" t="inlineStr">
        <is>
          <t>P1</t>
        </is>
      </c>
      <c r="F32" s="31" t="inlineStr">
        <is>
          <t>Yes</t>
        </is>
      </c>
      <c r="G32" s="32">
        <f>'L2-Quotation'!M12</f>
        <v/>
      </c>
      <c r="H32" s="32" t="n"/>
      <c r="I32" s="64">
        <f>'L2-Quotation'!P12</f>
        <v/>
      </c>
    </row>
    <row r="33" ht="15" customHeight="1">
      <c r="A33" s="25" t="inlineStr">
        <is>
          <t>L2-PUR-01</t>
        </is>
      </c>
      <c r="B33" s="26" t="inlineStr">
        <is>
          <t>L2-Purchasing</t>
        </is>
      </c>
      <c r="C33" s="26" t="inlineStr">
        <is>
          <t>PO lifecycle + receipt posting</t>
        </is>
      </c>
      <c r="D33" s="26" t="inlineStr">
        <is>
          <t>FT-06 AC-01; AC-03; BR-014</t>
        </is>
      </c>
      <c r="E33" s="27" t="inlineStr">
        <is>
          <t>P1</t>
        </is>
      </c>
      <c r="F33" s="26" t="inlineStr">
        <is>
          <t>No</t>
        </is>
      </c>
      <c r="G33" s="28">
        <f>'L2-Purchasing'!M6</f>
        <v/>
      </c>
      <c r="H33" s="28" t="n"/>
      <c r="I33" s="64">
        <f>'L2-Purchasing'!P6</f>
        <v/>
      </c>
    </row>
    <row r="34" ht="15" customHeight="1">
      <c r="A34" s="29" t="inlineStr">
        <is>
          <t>L2-PUR-02</t>
        </is>
      </c>
      <c r="B34" s="30" t="inlineStr">
        <is>
          <t>L2-Purchasing</t>
        </is>
      </c>
      <c r="C34" s="30" t="inlineStr">
        <is>
          <t>PO lifecycle + receipt posting</t>
        </is>
      </c>
      <c r="D34" s="30" t="inlineStr">
        <is>
          <t>FT-06 NAC-01; BR-014</t>
        </is>
      </c>
      <c r="E34" s="27" t="inlineStr">
        <is>
          <t>P1</t>
        </is>
      </c>
      <c r="F34" s="31" t="inlineStr">
        <is>
          <t>Yes</t>
        </is>
      </c>
      <c r="G34" s="32">
        <f>'L2-Purchasing'!M7</f>
        <v/>
      </c>
      <c r="H34" s="32" t="n"/>
      <c r="I34" s="64">
        <f>'L2-Purchasing'!P7</f>
        <v/>
      </c>
    </row>
    <row r="35" ht="15" customHeight="1">
      <c r="A35" s="25" t="inlineStr">
        <is>
          <t>L2-PUR-03</t>
        </is>
      </c>
      <c r="B35" s="26" t="inlineStr">
        <is>
          <t>L2-Purchasing</t>
        </is>
      </c>
      <c r="C35" s="26" t="inlineStr">
        <is>
          <t>PO lifecycle + receipt posting</t>
        </is>
      </c>
      <c r="D35" s="26" t="inlineStr">
        <is>
          <t>FT-06 NAC-05; BR-029</t>
        </is>
      </c>
      <c r="E35" s="27" t="inlineStr">
        <is>
          <t>P1</t>
        </is>
      </c>
      <c r="F35" s="33" t="inlineStr">
        <is>
          <t>Yes</t>
        </is>
      </c>
      <c r="G35" s="28">
        <f>'L2-Purchasing'!M8</f>
        <v/>
      </c>
      <c r="H35" s="28" t="n"/>
      <c r="I35" s="64">
        <f>'L2-Purchasing'!P8</f>
        <v/>
      </c>
    </row>
    <row r="36" ht="15" customHeight="1">
      <c r="A36" s="29" t="inlineStr">
        <is>
          <t>L2-PUR-04</t>
        </is>
      </c>
      <c r="B36" s="30" t="inlineStr">
        <is>
          <t>L2-Purchasing</t>
        </is>
      </c>
      <c r="C36" s="30" t="inlineStr">
        <is>
          <t>PO lifecycle + receipt posting</t>
        </is>
      </c>
      <c r="D36" s="30" t="inlineStr">
        <is>
          <t>FT-06 AC-05; NAC-03; BR-036</t>
        </is>
      </c>
      <c r="E36" s="27" t="inlineStr">
        <is>
          <t>P1</t>
        </is>
      </c>
      <c r="F36" s="31" t="inlineStr">
        <is>
          <t>Yes</t>
        </is>
      </c>
      <c r="G36" s="32">
        <f>'L2-Purchasing'!M9</f>
        <v/>
      </c>
      <c r="H36" s="32">
        <f>'L2-Purchasing'!N9</f>
        <v/>
      </c>
      <c r="I36" s="64">
        <f>'L2-Purchasing'!P9</f>
        <v/>
      </c>
    </row>
    <row r="37" ht="21.75" customHeight="1">
      <c r="A37" s="25" t="inlineStr">
        <is>
          <t>L2-PUR-05</t>
        </is>
      </c>
      <c r="B37" s="26" t="inlineStr">
        <is>
          <t>L2-Purchasing</t>
        </is>
      </c>
      <c r="C37" s="26" t="inlineStr">
        <is>
          <t>PO lifecycle + receipt posting</t>
        </is>
      </c>
      <c r="D37" s="26" t="inlineStr">
        <is>
          <t>FT-06 AC-02; NAC-02; BV-03; BR-015</t>
        </is>
      </c>
      <c r="E37" s="34" t="inlineStr">
        <is>
          <t>P2</t>
        </is>
      </c>
      <c r="F37" s="26" t="inlineStr">
        <is>
          <t>No</t>
        </is>
      </c>
      <c r="G37" s="28">
        <f>'L2-Purchasing'!M10</f>
        <v/>
      </c>
      <c r="H37" s="28">
        <f>'L2-Purchasing'!N10</f>
        <v/>
      </c>
      <c r="I37" s="64">
        <f>'L2-Purchasing'!P10</f>
        <v/>
      </c>
    </row>
    <row r="38" ht="21.75" customHeight="1">
      <c r="A38" s="29" t="inlineStr">
        <is>
          <t>L2-TRF-01</t>
        </is>
      </c>
      <c r="B38" s="30" t="inlineStr">
        <is>
          <t>L2-InventoryTransfer</t>
        </is>
      </c>
      <c r="C38" s="30" t="inlineStr">
        <is>
          <t>StockTransfer dispatch/receive</t>
        </is>
      </c>
      <c r="D38" s="30" t="inlineStr">
        <is>
          <t>FT-11 AC-01; AC-02; BV-02; BR-035</t>
        </is>
      </c>
      <c r="E38" s="27" t="inlineStr">
        <is>
          <t>P1</t>
        </is>
      </c>
      <c r="F38" s="30" t="inlineStr">
        <is>
          <t>No</t>
        </is>
      </c>
      <c r="G38" s="32">
        <f>'L2-InventoryTransfer'!M6</f>
        <v/>
      </c>
      <c r="H38" s="32">
        <f>'L2-InventoryTransfer'!N6</f>
        <v/>
      </c>
      <c r="I38" s="64">
        <f>'L2-InventoryTransfer'!P6</f>
        <v/>
      </c>
    </row>
    <row r="39" ht="15" customHeight="1">
      <c r="A39" s="25" t="inlineStr">
        <is>
          <t>L2-TRF-02</t>
        </is>
      </c>
      <c r="B39" s="26" t="inlineStr">
        <is>
          <t>L2-InventoryTransfer</t>
        </is>
      </c>
      <c r="C39" s="26" t="inlineStr">
        <is>
          <t>StockTransfer dispatch/receive</t>
        </is>
      </c>
      <c r="D39" s="26" t="inlineStr">
        <is>
          <t>FT-11 NAC-03; BV-02</t>
        </is>
      </c>
      <c r="E39" s="27" t="inlineStr">
        <is>
          <t>P1</t>
        </is>
      </c>
      <c r="F39" s="33" t="inlineStr">
        <is>
          <t>Yes</t>
        </is>
      </c>
      <c r="G39" s="28">
        <f>'L2-InventoryTransfer'!M7</f>
        <v/>
      </c>
      <c r="H39" s="28" t="n"/>
      <c r="I39" s="64">
        <f>'L2-InventoryTransfer'!P7</f>
        <v/>
      </c>
    </row>
    <row r="40" ht="21.75" customHeight="1">
      <c r="A40" s="29" t="inlineStr">
        <is>
          <t>L2-TRF-03</t>
        </is>
      </c>
      <c r="B40" s="30" t="inlineStr">
        <is>
          <t>L2-InventoryTransfer</t>
        </is>
      </c>
      <c r="C40" s="30" t="inlineStr">
        <is>
          <t>StockTransfer dispatch/receive</t>
        </is>
      </c>
      <c r="D40" s="30" t="inlineStr">
        <is>
          <t>FT-11 NAC-02; BR-032; NFR-A05; NFR-D01</t>
        </is>
      </c>
      <c r="E40" s="27" t="inlineStr">
        <is>
          <t>P1</t>
        </is>
      </c>
      <c r="F40" s="30" t="inlineStr">
        <is>
          <t>No</t>
        </is>
      </c>
      <c r="G40" s="32">
        <f>'L2-InventoryTransfer'!M8</f>
        <v/>
      </c>
      <c r="H40" s="32" t="n"/>
      <c r="I40" s="64">
        <f>'L2-InventoryTransfer'!P8</f>
        <v/>
      </c>
    </row>
    <row r="41" ht="15" customHeight="1">
      <c r="A41" s="25" t="inlineStr">
        <is>
          <t>L2-TRF-04</t>
        </is>
      </c>
      <c r="B41" s="26" t="inlineStr">
        <is>
          <t>L2-InventoryTransfer</t>
        </is>
      </c>
      <c r="C41" s="26" t="inlineStr">
        <is>
          <t>Inventory adjustment audit</t>
        </is>
      </c>
      <c r="D41" s="26" t="inlineStr">
        <is>
          <t>FT-12 AC-03; BR-044; BR-022</t>
        </is>
      </c>
      <c r="E41" s="27" t="inlineStr">
        <is>
          <t>P1</t>
        </is>
      </c>
      <c r="F41" s="26" t="inlineStr">
        <is>
          <t>No</t>
        </is>
      </c>
      <c r="G41" s="28">
        <f>'L2-InventoryTransfer'!M10</f>
        <v/>
      </c>
      <c r="H41" s="28">
        <f>'L2-InventoryTransfer'!N10</f>
        <v/>
      </c>
      <c r="I41" s="64">
        <f>'L2-InventoryTransfer'!P10</f>
        <v/>
      </c>
    </row>
    <row r="42" ht="15" customHeight="1">
      <c r="A42" s="29" t="inlineStr">
        <is>
          <t>L2-TRF-05</t>
        </is>
      </c>
      <c r="B42" s="30" t="inlineStr">
        <is>
          <t>L2-InventoryTransfer</t>
        </is>
      </c>
      <c r="C42" s="30" t="inlineStr">
        <is>
          <t>Inventory adjustment audit</t>
        </is>
      </c>
      <c r="D42" s="30" t="inlineStr">
        <is>
          <t>FT-12 NAC-03; BV-01; BR-032</t>
        </is>
      </c>
      <c r="E42" s="27" t="inlineStr">
        <is>
          <t>P1</t>
        </is>
      </c>
      <c r="F42" s="31" t="inlineStr">
        <is>
          <t>Yes</t>
        </is>
      </c>
      <c r="G42" s="32">
        <f>'L2-InventoryTransfer'!M11</f>
        <v/>
      </c>
      <c r="H42" s="32" t="n"/>
      <c r="I42" s="64">
        <f>'L2-InventoryTransfer'!P11</f>
        <v/>
      </c>
    </row>
    <row r="43" ht="21.75" customHeight="1">
      <c r="A43" s="25" t="inlineStr">
        <is>
          <t>L2-AUTH-01</t>
        </is>
      </c>
      <c r="B43" s="26" t="inlineStr">
        <is>
          <t>L2-AuthFlow</t>
        </is>
      </c>
      <c r="C43" s="26" t="inlineStr">
        <is>
          <t>Register -&gt; verify -&gt; login E2E</t>
        </is>
      </c>
      <c r="D43" s="26" t="inlineStr">
        <is>
          <t>FT-01 AC-02; AC-04; BR-023; BR-024; NFR-SEC04</t>
        </is>
      </c>
      <c r="E43" s="27" t="inlineStr">
        <is>
          <t>P1</t>
        </is>
      </c>
      <c r="F43" s="26" t="inlineStr">
        <is>
          <t>No</t>
        </is>
      </c>
      <c r="G43" s="28">
        <f>'L2-AuthFlow'!M6</f>
        <v/>
      </c>
      <c r="H43" s="28" t="n"/>
      <c r="I43" s="64">
        <f>'L2-AuthFlow'!P6</f>
        <v/>
      </c>
    </row>
    <row r="44" ht="15" customHeight="1">
      <c r="A44" s="29" t="inlineStr">
        <is>
          <t>L2-AUTH-02</t>
        </is>
      </c>
      <c r="B44" s="30" t="inlineStr">
        <is>
          <t>L2-AuthFlow</t>
        </is>
      </c>
      <c r="C44" s="30" t="inlineStr">
        <is>
          <t>Register -&gt; verify -&gt; login E2E</t>
        </is>
      </c>
      <c r="D44" s="30" t="inlineStr">
        <is>
          <t>NFR-SEC02</t>
        </is>
      </c>
      <c r="E44" s="27" t="inlineStr">
        <is>
          <t>P1</t>
        </is>
      </c>
      <c r="F44" s="31" t="inlineStr">
        <is>
          <t>Yes</t>
        </is>
      </c>
      <c r="G44" s="32">
        <f>'L2-AuthFlow'!M7</f>
        <v/>
      </c>
      <c r="H44" s="32" t="n"/>
      <c r="I44" s="64">
        <f>'L2-AuthFlow'!P7</f>
        <v/>
      </c>
    </row>
    <row r="45" ht="15" customHeight="1">
      <c r="A45" s="25" t="inlineStr">
        <is>
          <t>L2-AUTH-03</t>
        </is>
      </c>
      <c r="B45" s="26" t="inlineStr">
        <is>
          <t>L2-AuthFlow</t>
        </is>
      </c>
      <c r="C45" s="26" t="inlineStr">
        <is>
          <t>Refresh rotation + logout</t>
        </is>
      </c>
      <c r="D45" s="26" t="inlineStr">
        <is>
          <t>NFR-SEC02</t>
        </is>
      </c>
      <c r="E45" s="27" t="inlineStr">
        <is>
          <t>P1</t>
        </is>
      </c>
      <c r="F45" s="33" t="inlineStr">
        <is>
          <t>Yes</t>
        </is>
      </c>
      <c r="G45" s="28">
        <f>'L2-AuthFlow'!M9</f>
        <v/>
      </c>
      <c r="H45" s="28" t="n"/>
      <c r="I45" s="64">
        <f>'L2-AuthFlow'!P9</f>
        <v/>
      </c>
    </row>
    <row r="46" ht="15" customHeight="1">
      <c r="A46" s="29" t="inlineStr">
        <is>
          <t>L2-AUTH-04</t>
        </is>
      </c>
      <c r="B46" s="30" t="inlineStr">
        <is>
          <t>L2-AuthFlow</t>
        </is>
      </c>
      <c r="C46" s="30" t="inlineStr">
        <is>
          <t>Refresh rotation + logout</t>
        </is>
      </c>
      <c r="D46" s="30" t="inlineStr">
        <is>
          <t>NFR-SEC02</t>
        </is>
      </c>
      <c r="E46" s="35" t="inlineStr">
        <is>
          <t>P2</t>
        </is>
      </c>
      <c r="F46" s="31" t="inlineStr">
        <is>
          <t>Yes</t>
        </is>
      </c>
      <c r="G46" s="32">
        <f>'L2-AuthFlow'!M10</f>
        <v/>
      </c>
      <c r="H46" s="32" t="n"/>
      <c r="I46" s="64">
        <f>'L2-AuthFlow'!P10</f>
        <v/>
      </c>
    </row>
    <row r="47" ht="21.75" customHeight="1">
      <c r="A47" s="25" t="inlineStr">
        <is>
          <t>L2-FLOW-01</t>
        </is>
      </c>
      <c r="B47" s="26" t="inlineStr">
        <is>
          <t>L2-Workflows</t>
        </is>
      </c>
      <c r="C47" s="26" t="inlineStr">
        <is>
          <t>FLOW-01: SePay payment -&gt; fulfilment eligibility</t>
        </is>
      </c>
      <c r="D47" s="26" t="inlineStr">
        <is>
          <t>FT-03 AC-02; FT-05 AC-01; BR-009; BR-011</t>
        </is>
      </c>
      <c r="E47" s="27" t="inlineStr">
        <is>
          <t>P1</t>
        </is>
      </c>
      <c r="F47" s="26" t="inlineStr">
        <is>
          <t>No</t>
        </is>
      </c>
      <c r="G47" s="28">
        <f>'L2-Workflows'!M6</f>
        <v/>
      </c>
      <c r="H47" s="28" t="n"/>
      <c r="I47" s="64">
        <f>'L2-Workflows'!P6</f>
        <v/>
      </c>
    </row>
    <row r="48" ht="32.25" customHeight="1">
      <c r="A48" s="29" t="inlineStr">
        <is>
          <t>L2-FLOW-02</t>
        </is>
      </c>
      <c r="B48" s="30" t="inlineStr">
        <is>
          <t>L2-Workflows</t>
        </is>
      </c>
      <c r="C48" s="30" t="inlineStr">
        <is>
          <t>FLOW-02: Full order lifecycle to COD delivery + debt ledger</t>
        </is>
      </c>
      <c r="D48" s="30" t="inlineStr">
        <is>
          <t>FT-05 AC-05; FT-07 AC-01; AC-03; AC-04; BR-034; BR-038; BR-039</t>
        </is>
      </c>
      <c r="E48" s="27" t="inlineStr">
        <is>
          <t>P1</t>
        </is>
      </c>
      <c r="F48" s="30" t="inlineStr">
        <is>
          <t>No</t>
        </is>
      </c>
      <c r="G48" s="32">
        <f>'L2-Workflows'!M8</f>
        <v/>
      </c>
      <c r="H48" s="32">
        <f>'L2-Workflows'!N8</f>
        <v/>
      </c>
      <c r="I48" s="64">
        <f>'L2-Workflows'!P8</f>
        <v/>
      </c>
    </row>
    <row r="49" ht="21.75" customHeight="1">
      <c r="A49" s="25" t="inlineStr">
        <is>
          <t>L2-FLOW-03</t>
        </is>
      </c>
      <c r="B49" s="26" t="inlineStr">
        <is>
          <t>L2-Workflows</t>
        </is>
      </c>
      <c r="C49" s="26" t="inlineStr">
        <is>
          <t>FLOW-03: Purchasing chain PO -&gt; receipt -&gt; sellable stock</t>
        </is>
      </c>
      <c r="D49" s="26" t="inlineStr">
        <is>
          <t>FT-06 AC-03; FT-01 AC-01; BR-014</t>
        </is>
      </c>
      <c r="E49" s="27" t="inlineStr">
        <is>
          <t>P1</t>
        </is>
      </c>
      <c r="F49" s="26" t="inlineStr">
        <is>
          <t>No</t>
        </is>
      </c>
      <c r="G49" s="28">
        <f>'L2-Workflows'!M10</f>
        <v/>
      </c>
      <c r="H49" s="28" t="n"/>
      <c r="I49" s="64">
        <f>'L2-Workflows'!P10</f>
        <v/>
      </c>
    </row>
    <row r="50" ht="21.75" customHeight="1">
      <c r="A50" s="29" t="inlineStr">
        <is>
          <t>L2-FLOW-04</t>
        </is>
      </c>
      <c r="B50" s="30" t="inlineStr">
        <is>
          <t>L2-Workflows</t>
        </is>
      </c>
      <c r="C50" s="30" t="inlineStr">
        <is>
          <t>FLOW-04: Shortage -&gt; notify -&gt; restock -&gt; requeue</t>
        </is>
      </c>
      <c r="D50" s="30" t="inlineStr">
        <is>
          <t>FT-05 NAC-04; AC-04</t>
        </is>
      </c>
      <c r="E50" s="27" t="inlineStr">
        <is>
          <t>P1</t>
        </is>
      </c>
      <c r="F50" s="30" t="inlineStr">
        <is>
          <t>No</t>
        </is>
      </c>
      <c r="G50" s="32">
        <f>'L2-Workflows'!M12</f>
        <v/>
      </c>
      <c r="H50" s="32" t="n"/>
      <c r="I50" s="64">
        <f>'L2-Workflows'!P12</f>
        <v/>
      </c>
    </row>
    <row r="51" ht="21.75" customHeight="1">
      <c r="A51" s="25" t="inlineStr">
        <is>
          <t>L2-FLOW-05</t>
        </is>
      </c>
      <c r="B51" s="26" t="inlineStr">
        <is>
          <t>L2-Workflows</t>
        </is>
      </c>
      <c r="C51" s="26" t="inlineStr">
        <is>
          <t>FLOW-05: Cancel PAID order -&gt; replacement (no refund)</t>
        </is>
      </c>
      <c r="D51" s="26" t="inlineStr">
        <is>
          <t>FT-08 AC-01; AC-02; AC-03; BR-017; BR-041; BR-042</t>
        </is>
      </c>
      <c r="E51" s="27" t="inlineStr">
        <is>
          <t>P1</t>
        </is>
      </c>
      <c r="F51" s="26" t="inlineStr">
        <is>
          <t>No</t>
        </is>
      </c>
      <c r="G51" s="28">
        <f>'L2-Workflows'!M14</f>
        <v/>
      </c>
      <c r="H51" s="28" t="n"/>
      <c r="I51" s="64">
        <f>'L2-Workflows'!P14</f>
        <v/>
      </c>
    </row>
    <row r="52" ht="21.75" customHeight="1">
      <c r="A52" s="29" t="inlineStr">
        <is>
          <t>L2-FLOW-06</t>
        </is>
      </c>
      <c r="B52" s="30" t="inlineStr">
        <is>
          <t>L2-Workflows</t>
        </is>
      </c>
      <c r="C52" s="30" t="inlineStr">
        <is>
          <t>FLOW-06: Quotation accepted price applied at next checkout</t>
        </is>
      </c>
      <c r="D52" s="30" t="inlineStr">
        <is>
          <t>FT-02 AC-05; BR-026</t>
        </is>
      </c>
      <c r="E52" s="27" t="inlineStr">
        <is>
          <t>P1</t>
        </is>
      </c>
      <c r="F52" s="30" t="inlineStr">
        <is>
          <t>No</t>
        </is>
      </c>
      <c r="G52" s="32">
        <f>'L2-Workflows'!M16</f>
        <v/>
      </c>
      <c r="H52" s="32">
        <f>'L2-Workflows'!N16</f>
        <v/>
      </c>
      <c r="I52" s="64">
        <f>'L2-Workflows'!P16</f>
        <v/>
      </c>
    </row>
    <row r="53" ht="15" customHeight="1">
      <c r="A53" s="25" t="inlineStr">
        <is>
          <t>L2-SJOB-01</t>
        </is>
      </c>
      <c r="B53" s="26" t="inlineStr">
        <is>
          <t>L2-ScheduledJobs</t>
        </is>
      </c>
      <c r="C53" s="26" t="inlineStr">
        <is>
          <t>Job hết hạn giữ tồn &amp; SLA COD</t>
        </is>
      </c>
      <c r="D53" s="26" t="inlineStr">
        <is>
          <t>FT-03 BV-01; BR-033</t>
        </is>
      </c>
      <c r="E53" s="27" t="inlineStr">
        <is>
          <t>P1</t>
        </is>
      </c>
      <c r="F53" s="26" t="inlineStr">
        <is>
          <t>No</t>
        </is>
      </c>
      <c r="G53" s="28">
        <f>'L2-ScheduledJobs'!M6</f>
        <v/>
      </c>
      <c r="H53" s="28" t="n"/>
      <c r="I53" s="64">
        <f>'L2-ScheduledJobs'!P6</f>
        <v/>
      </c>
    </row>
    <row r="54" ht="15" customHeight="1">
      <c r="A54" s="29" t="inlineStr">
        <is>
          <t>L2-SJOB-02</t>
        </is>
      </c>
      <c r="B54" s="30" t="inlineStr">
        <is>
          <t>L2-ScheduledJobs</t>
        </is>
      </c>
      <c r="C54" s="30" t="inlineStr">
        <is>
          <t>Job hết hạn giữ tồn &amp; SLA COD</t>
        </is>
      </c>
      <c r="D54" s="30" t="inlineStr">
        <is>
          <t>BR-029; BR-032</t>
        </is>
      </c>
      <c r="E54" s="27" t="inlineStr">
        <is>
          <t>P1</t>
        </is>
      </c>
      <c r="F54" s="31" t="inlineStr">
        <is>
          <t>Yes</t>
        </is>
      </c>
      <c r="G54" s="32">
        <f>'L2-ScheduledJobs'!M7</f>
        <v/>
      </c>
      <c r="H54" s="32" t="n"/>
      <c r="I54" s="64">
        <f>'L2-ScheduledJobs'!P7</f>
        <v/>
      </c>
    </row>
    <row r="55" ht="15" customHeight="1">
      <c r="A55" s="25" t="inlineStr">
        <is>
          <t>L2-SJOB-03</t>
        </is>
      </c>
      <c r="B55" s="26" t="inlineStr">
        <is>
          <t>L2-ScheduledJobs</t>
        </is>
      </c>
      <c r="C55" s="26" t="inlineStr">
        <is>
          <t>Job hết hạn giữ tồn &amp; SLA COD</t>
        </is>
      </c>
      <c r="D55" s="26" t="inlineStr">
        <is>
          <t>BR-033; FT-05 AC-02</t>
        </is>
      </c>
      <c r="E55" s="27" t="inlineStr">
        <is>
          <t>P1</t>
        </is>
      </c>
      <c r="F55" s="26" t="inlineStr">
        <is>
          <t>No</t>
        </is>
      </c>
      <c r="G55" s="28">
        <f>'L2-ScheduledJobs'!M8</f>
        <v/>
      </c>
      <c r="H55" s="28" t="n"/>
      <c r="I55" s="64">
        <f>'L2-ScheduledJobs'!P8</f>
        <v/>
      </c>
    </row>
    <row r="56" ht="15" customHeight="1">
      <c r="A56" s="29" t="inlineStr">
        <is>
          <t>L2-SJOB-04</t>
        </is>
      </c>
      <c r="B56" s="30" t="inlineStr">
        <is>
          <t>L2-ScheduledJobs</t>
        </is>
      </c>
      <c r="C56" s="30" t="inlineStr">
        <is>
          <t>Job hết hạn giữ tồn &amp; SLA COD</t>
        </is>
      </c>
      <c r="D56" s="30" t="inlineStr">
        <is>
          <t>FT-03 BV-02; BR-010</t>
        </is>
      </c>
      <c r="E56" s="27" t="inlineStr">
        <is>
          <t>P1</t>
        </is>
      </c>
      <c r="F56" s="30" t="inlineStr">
        <is>
          <t>No</t>
        </is>
      </c>
      <c r="G56" s="32">
        <f>'L2-ScheduledJobs'!M9</f>
        <v/>
      </c>
      <c r="H56" s="32" t="n"/>
      <c r="I56" s="64">
        <f>'L2-ScheduledJobs'!P9</f>
        <v/>
      </c>
    </row>
    <row r="57" ht="15" customHeight="1">
      <c r="A57" s="25" t="inlineStr">
        <is>
          <t>L2-SJOB-05</t>
        </is>
      </c>
      <c r="B57" s="26" t="inlineStr">
        <is>
          <t>L2-ScheduledJobs</t>
        </is>
      </c>
      <c r="C57" s="26" t="inlineStr">
        <is>
          <t>Job hết hạn giữ tồn &amp; SLA COD</t>
        </is>
      </c>
      <c r="D57" s="26" t="inlineStr">
        <is>
          <t>FT-09 AC-02; BR-049</t>
        </is>
      </c>
      <c r="E57" s="27" t="inlineStr">
        <is>
          <t>P1</t>
        </is>
      </c>
      <c r="F57" s="33" t="inlineStr">
        <is>
          <t>Yes</t>
        </is>
      </c>
      <c r="G57" s="28">
        <f>'L2-ScheduledJobs'!M10</f>
        <v/>
      </c>
      <c r="H57" s="28" t="n"/>
      <c r="I57" s="64">
        <f>'L2-ScheduledJobs'!P10</f>
        <v/>
      </c>
    </row>
    <row r="58" ht="15" customHeight="1">
      <c r="A58" s="29" t="inlineStr">
        <is>
          <t>L2-SJOB-06</t>
        </is>
      </c>
      <c r="B58" s="30" t="inlineStr">
        <is>
          <t>L2-ScheduledJobs</t>
        </is>
      </c>
      <c r="C58" s="30" t="inlineStr">
        <is>
          <t>Job retry webhook &amp; cảnh báo tồn thấp</t>
        </is>
      </c>
      <c r="D58" s="30" t="inlineStr">
        <is>
          <t>FT-03 NAC-02; BR-029</t>
        </is>
      </c>
      <c r="E58" s="27" t="inlineStr">
        <is>
          <t>P1</t>
        </is>
      </c>
      <c r="F58" s="31" t="inlineStr">
        <is>
          <t>Yes</t>
        </is>
      </c>
      <c r="G58" s="32">
        <f>'L2-ScheduledJobs'!M12</f>
        <v/>
      </c>
      <c r="H58" s="32" t="n"/>
      <c r="I58" s="64">
        <f>'L2-ScheduledJobs'!P12</f>
        <v/>
      </c>
    </row>
    <row r="59" ht="15" customHeight="1">
      <c r="A59" s="25" t="inlineStr">
        <is>
          <t>L2-SJOB-07</t>
        </is>
      </c>
      <c r="B59" s="26" t="inlineStr">
        <is>
          <t>L2-ScheduledJobs</t>
        </is>
      </c>
      <c r="C59" s="26" t="inlineStr">
        <is>
          <t>Job retry webhook &amp; cảnh báo tồn thấp</t>
        </is>
      </c>
      <c r="D59" s="26" t="inlineStr">
        <is>
          <t>BR-049; FT-09 BV-03</t>
        </is>
      </c>
      <c r="E59" s="27" t="inlineStr">
        <is>
          <t>P1</t>
        </is>
      </c>
      <c r="F59" s="33" t="inlineStr">
        <is>
          <t>Yes</t>
        </is>
      </c>
      <c r="G59" s="28">
        <f>'L2-ScheduledJobs'!M13</f>
        <v/>
      </c>
      <c r="H59" s="28" t="n"/>
      <c r="I59" s="64">
        <f>'L2-ScheduledJobs'!P13</f>
        <v/>
      </c>
    </row>
    <row r="60" ht="15" customHeight="1">
      <c r="A60" s="29" t="inlineStr">
        <is>
          <t>L2-SJOB-08</t>
        </is>
      </c>
      <c r="B60" s="30" t="inlineStr">
        <is>
          <t>L2-ScheduledJobs</t>
        </is>
      </c>
      <c r="C60" s="30" t="inlineStr">
        <is>
          <t>Job retry webhook &amp; cảnh báo tồn thấp</t>
        </is>
      </c>
      <c r="D60" s="30" t="inlineStr">
        <is>
          <t>FT-12 AC-04; BV-03</t>
        </is>
      </c>
      <c r="E60" s="27" t="inlineStr">
        <is>
          <t>P1</t>
        </is>
      </c>
      <c r="F60" s="30" t="inlineStr">
        <is>
          <t>No</t>
        </is>
      </c>
      <c r="G60" s="32">
        <f>'L2-ScheduledJobs'!M14</f>
        <v/>
      </c>
      <c r="H60" s="32" t="n"/>
      <c r="I60" s="64">
        <f>'L2-ScheduledJobs'!P14</f>
        <v/>
      </c>
    </row>
    <row r="61" ht="15" customHeight="1">
      <c r="A61" s="25" t="inlineStr">
        <is>
          <t>L2-SJOB-09</t>
        </is>
      </c>
      <c r="B61" s="26" t="inlineStr">
        <is>
          <t>L2-ScheduledJobs</t>
        </is>
      </c>
      <c r="C61" s="26" t="inlineStr">
        <is>
          <t>Job retry webhook &amp; cảnh báo tồn thấp</t>
        </is>
      </c>
      <c r="D61" s="26" t="inlineStr">
        <is>
          <t>FT-12 AC-04; FT-09 AC-02</t>
        </is>
      </c>
      <c r="E61" s="27" t="inlineStr">
        <is>
          <t>P1</t>
        </is>
      </c>
      <c r="F61" s="33" t="inlineStr">
        <is>
          <t>Yes</t>
        </is>
      </c>
      <c r="G61" s="28">
        <f>'L2-ScheduledJobs'!M15</f>
        <v/>
      </c>
      <c r="H61" s="28" t="n"/>
      <c r="I61" s="64">
        <f>'L2-ScheduledJobs'!P15</f>
        <v/>
      </c>
    </row>
    <row r="62" ht="15" customHeight="1">
      <c r="A62" s="29" t="inlineStr">
        <is>
          <t>L2-SJOB-10</t>
        </is>
      </c>
      <c r="B62" s="30" t="inlineStr">
        <is>
          <t>L2-ScheduledJobs</t>
        </is>
      </c>
      <c r="C62" s="30" t="inlineStr">
        <is>
          <t>Job retry webhook &amp; cảnh báo tồn thấp</t>
        </is>
      </c>
      <c r="D62" s="30" t="inlineStr">
        <is>
          <t>FT-10; BR-046; BR-049</t>
        </is>
      </c>
      <c r="E62" s="27" t="inlineStr">
        <is>
          <t>P1</t>
        </is>
      </c>
      <c r="F62" s="30" t="inlineStr">
        <is>
          <t>No</t>
        </is>
      </c>
      <c r="G62" s="32">
        <f>'L2-ScheduledJobs'!M16</f>
        <v/>
      </c>
      <c r="H62" s="32">
        <f>'L2-ScheduledJobs'!N16</f>
        <v/>
      </c>
      <c r="I62" s="64">
        <f>'L2-ScheduledJobs'!P16</f>
        <v/>
      </c>
    </row>
    <row r="63" ht="15" customHeight="1">
      <c r="A63" s="25" t="inlineStr">
        <is>
          <t>L2-SJOB-11</t>
        </is>
      </c>
      <c r="B63" s="26" t="inlineStr">
        <is>
          <t>L2-ScheduledJobs</t>
        </is>
      </c>
      <c r="C63" s="26" t="inlineStr">
        <is>
          <t>Job retry webhook &amp; cảnh báo tồn thấp</t>
        </is>
      </c>
      <c r="D63" s="26" t="inlineStr">
        <is>
          <t>BR-049; FT-09 AC-05</t>
        </is>
      </c>
      <c r="E63" s="27" t="inlineStr">
        <is>
          <t>P1</t>
        </is>
      </c>
      <c r="F63" s="33" t="inlineStr">
        <is>
          <t>Yes</t>
        </is>
      </c>
      <c r="G63" s="28">
        <f>'L2-ScheduledJobs'!M17</f>
        <v/>
      </c>
      <c r="H63" s="28">
        <f>'L2-ScheduledJobs'!N17</f>
        <v/>
      </c>
      <c r="I63" s="64">
        <f>'L2-ScheduledJobs'!P17</f>
        <v/>
      </c>
    </row>
    <row r="64" ht="15" customHeight="1">
      <c r="A64" s="29" t="inlineStr">
        <is>
          <t>L2-SJOB-12</t>
        </is>
      </c>
      <c r="B64" s="30" t="inlineStr">
        <is>
          <t>L2-ScheduledJobs</t>
        </is>
      </c>
      <c r="C64" s="30" t="inlineStr">
        <is>
          <t>Job còn thiếu trong v2.1</t>
        </is>
      </c>
      <c r="D64" s="30" t="inlineStr">
        <is>
          <t>FT-02 AC-04; BR-007</t>
        </is>
      </c>
      <c r="E64" s="27" t="inlineStr">
        <is>
          <t>P1</t>
        </is>
      </c>
      <c r="F64" s="30" t="inlineStr">
        <is>
          <t>No</t>
        </is>
      </c>
      <c r="G64" s="32">
        <f>'L2-ScheduledJobs'!M20</f>
        <v/>
      </c>
      <c r="H64" s="32" t="n"/>
      <c r="I64" s="64">
        <f>'L2-ScheduledJobs'!P20</f>
        <v/>
      </c>
    </row>
    <row r="65" ht="15" customHeight="1">
      <c r="A65" s="25" t="inlineStr">
        <is>
          <t>L2-SJOB-13</t>
        </is>
      </c>
      <c r="B65" s="26" t="inlineStr">
        <is>
          <t>L2-ScheduledJobs</t>
        </is>
      </c>
      <c r="C65" s="26" t="inlineStr">
        <is>
          <t>Job còn thiếu trong v2.1</t>
        </is>
      </c>
      <c r="D65" s="26" t="inlineStr">
        <is>
          <t>FT-02 AC-04; BR-029</t>
        </is>
      </c>
      <c r="E65" s="27" t="inlineStr">
        <is>
          <t>P1</t>
        </is>
      </c>
      <c r="F65" s="33" t="inlineStr">
        <is>
          <t>Yes</t>
        </is>
      </c>
      <c r="G65" s="28">
        <f>'L2-ScheduledJobs'!M21</f>
        <v/>
      </c>
      <c r="H65" s="28" t="n"/>
      <c r="I65" s="64">
        <f>'L2-ScheduledJobs'!P21</f>
        <v/>
      </c>
    </row>
    <row r="66" ht="15" customHeight="1">
      <c r="A66" s="29" t="inlineStr">
        <is>
          <t>L2-SJOB-14</t>
        </is>
      </c>
      <c r="B66" s="30" t="inlineStr">
        <is>
          <t>L2-ScheduledJobs</t>
        </is>
      </c>
      <c r="C66" s="30" t="inlineStr">
        <is>
          <t>Job còn thiếu trong v2.1</t>
        </is>
      </c>
      <c r="D66" s="30" t="inlineStr">
        <is>
          <t>FT-07 AC-01; BR-037</t>
        </is>
      </c>
      <c r="E66" s="27" t="inlineStr">
        <is>
          <t>P1</t>
        </is>
      </c>
      <c r="F66" s="30" t="inlineStr">
        <is>
          <t>No</t>
        </is>
      </c>
      <c r="G66" s="32">
        <f>'L2-ScheduledJobs'!M22</f>
        <v/>
      </c>
      <c r="H66" s="32" t="n"/>
      <c r="I66" s="64">
        <f>'L2-ScheduledJobs'!P22</f>
        <v/>
      </c>
    </row>
    <row r="67" ht="15" customHeight="1">
      <c r="A67" s="25" t="inlineStr">
        <is>
          <t>L2-SJOB-15</t>
        </is>
      </c>
      <c r="B67" s="26" t="inlineStr">
        <is>
          <t>L2-ScheduledJobs</t>
        </is>
      </c>
      <c r="C67" s="26" t="inlineStr">
        <is>
          <t>Job còn thiếu trong v2.1</t>
        </is>
      </c>
      <c r="D67" s="26" t="inlineStr">
        <is>
          <t>FT-07 AC-01; FT-09 AC-02</t>
        </is>
      </c>
      <c r="E67" s="27" t="inlineStr">
        <is>
          <t>P1</t>
        </is>
      </c>
      <c r="F67" s="33" t="inlineStr">
        <is>
          <t>Yes</t>
        </is>
      </c>
      <c r="G67" s="28">
        <f>'L2-ScheduledJobs'!M23</f>
        <v/>
      </c>
      <c r="H67" s="28" t="n"/>
      <c r="I67" s="64">
        <f>'L2-ScheduledJobs'!P23</f>
        <v/>
      </c>
    </row>
    <row r="68" ht="15" customHeight="1">
      <c r="A68" s="29" t="inlineStr">
        <is>
          <t>L2-RET-01</t>
        </is>
      </c>
      <c r="B68" s="30" t="inlineStr">
        <is>
          <t>L2-AfterSalesReturn</t>
        </is>
      </c>
      <c r="C68" s="30" t="inlineStr">
        <is>
          <t>Đổi/trả và thu hồi hàng</t>
        </is>
      </c>
      <c r="D68" s="30" t="inlineStr">
        <is>
          <t>FT-08 AC-05; BR-019</t>
        </is>
      </c>
      <c r="E68" s="27" t="inlineStr">
        <is>
          <t>P1</t>
        </is>
      </c>
      <c r="F68" s="30" t="inlineStr">
        <is>
          <t>No</t>
        </is>
      </c>
      <c r="G68" s="32">
        <f>'L2-AfterSalesReturn'!M6</f>
        <v/>
      </c>
      <c r="H68" s="32">
        <f>'L2-AfterSalesReturn'!N6</f>
        <v/>
      </c>
      <c r="I68" s="64">
        <f>'L2-AfterSalesReturn'!P6</f>
        <v/>
      </c>
    </row>
    <row r="69" ht="15" customHeight="1">
      <c r="A69" s="25" t="inlineStr">
        <is>
          <t>L2-RET-02</t>
        </is>
      </c>
      <c r="B69" s="26" t="inlineStr">
        <is>
          <t>L2-AfterSalesReturn</t>
        </is>
      </c>
      <c r="C69" s="26" t="inlineStr">
        <is>
          <t>Đổi/trả và thu hồi hàng</t>
        </is>
      </c>
      <c r="D69" s="26" t="inlineStr">
        <is>
          <t>FT-08 NAC-05; NFR-SEC03</t>
        </is>
      </c>
      <c r="E69" s="27" t="inlineStr">
        <is>
          <t>P1</t>
        </is>
      </c>
      <c r="F69" s="33" t="inlineStr">
        <is>
          <t>Yes</t>
        </is>
      </c>
      <c r="G69" s="28">
        <f>'L2-AfterSalesReturn'!M7</f>
        <v/>
      </c>
      <c r="H69" s="28">
        <f>'L2-AfterSalesReturn'!N7</f>
        <v/>
      </c>
      <c r="I69" s="64">
        <f>'L2-AfterSalesReturn'!P7</f>
        <v/>
      </c>
    </row>
    <row r="70" ht="15" customHeight="1">
      <c r="A70" s="29" t="inlineStr">
        <is>
          <t>L2-RET-03</t>
        </is>
      </c>
      <c r="B70" s="30" t="inlineStr">
        <is>
          <t>L2-AfterSalesReturn</t>
        </is>
      </c>
      <c r="C70" s="30" t="inlineStr">
        <is>
          <t>Đổi/trả và thu hồi hàng</t>
        </is>
      </c>
      <c r="D70" s="30" t="inlineStr">
        <is>
          <t>FT-08 BV-03</t>
        </is>
      </c>
      <c r="E70" s="27" t="inlineStr">
        <is>
          <t>P1</t>
        </is>
      </c>
      <c r="F70" s="31" t="inlineStr">
        <is>
          <t>Yes</t>
        </is>
      </c>
      <c r="G70" s="32">
        <f>'L2-AfterSalesReturn'!M8</f>
        <v/>
      </c>
      <c r="H70" s="32">
        <f>'L2-AfterSalesReturn'!N8</f>
        <v/>
      </c>
      <c r="I70" s="64">
        <f>'L2-AfterSalesReturn'!P8</f>
        <v/>
      </c>
    </row>
    <row r="71" ht="15" customHeight="1">
      <c r="A71" s="25" t="inlineStr">
        <is>
          <t>L2-RET-04</t>
        </is>
      </c>
      <c r="B71" s="26" t="inlineStr">
        <is>
          <t>L2-AfterSalesReturn</t>
        </is>
      </c>
      <c r="C71" s="26" t="inlineStr">
        <is>
          <t>Đổi/trả và thu hồi hàng</t>
        </is>
      </c>
      <c r="D71" s="26" t="inlineStr">
        <is>
          <t>FT-08 AC-03; BR-042; BR-043</t>
        </is>
      </c>
      <c r="E71" s="27" t="inlineStr">
        <is>
          <t>P1</t>
        </is>
      </c>
      <c r="F71" s="26" t="inlineStr">
        <is>
          <t>No</t>
        </is>
      </c>
      <c r="G71" s="28">
        <f>'L2-AfterSalesReturn'!M9</f>
        <v/>
      </c>
      <c r="H71" s="28">
        <f>'L2-AfterSalesReturn'!N9</f>
        <v/>
      </c>
      <c r="I71" s="64">
        <f>'L2-AfterSalesReturn'!P9</f>
        <v/>
      </c>
    </row>
    <row r="72" ht="15" customHeight="1">
      <c r="A72" s="29" t="inlineStr">
        <is>
          <t>L2-RET-05</t>
        </is>
      </c>
      <c r="B72" s="30" t="inlineStr">
        <is>
          <t>L2-AfterSalesReturn</t>
        </is>
      </c>
      <c r="C72" s="30" t="inlineStr">
        <is>
          <t>Huỷ đơn đã thanh toán</t>
        </is>
      </c>
      <c r="D72" s="30" t="inlineStr">
        <is>
          <t>FT-08 AC-01; BR-017</t>
        </is>
      </c>
      <c r="E72" s="27" t="inlineStr">
        <is>
          <t>P1</t>
        </is>
      </c>
      <c r="F72" s="30" t="inlineStr">
        <is>
          <t>No</t>
        </is>
      </c>
      <c r="G72" s="32">
        <f>'L2-AfterSalesReturn'!M11</f>
        <v/>
      </c>
      <c r="H72" s="32" t="n"/>
      <c r="I72" s="64">
        <f>'L2-AfterSalesReturn'!P11</f>
        <v/>
      </c>
    </row>
    <row r="73" ht="15" customHeight="1">
      <c r="A73" s="25" t="inlineStr">
        <is>
          <t>L2-RET-06</t>
        </is>
      </c>
      <c r="B73" s="26" t="inlineStr">
        <is>
          <t>L2-AfterSalesReturn</t>
        </is>
      </c>
      <c r="C73" s="26" t="inlineStr">
        <is>
          <t>Huỷ đơn đã thanh toán</t>
        </is>
      </c>
      <c r="D73" s="26" t="inlineStr">
        <is>
          <t>FT-08 NAC-05; 4.4.1</t>
        </is>
      </c>
      <c r="E73" s="27" t="inlineStr">
        <is>
          <t>P1</t>
        </is>
      </c>
      <c r="F73" s="33" t="inlineStr">
        <is>
          <t>Yes</t>
        </is>
      </c>
      <c r="G73" s="28">
        <f>'L2-AfterSalesReturn'!M12</f>
        <v/>
      </c>
      <c r="H73" s="28">
        <f>'L2-AfterSalesReturn'!N12</f>
        <v/>
      </c>
      <c r="I73" s="64">
        <f>'L2-AfterSalesReturn'!P12</f>
        <v/>
      </c>
    </row>
    <row r="74" ht="15" customHeight="1">
      <c r="A74" s="29" t="inlineStr">
        <is>
          <t>L2-RET-07</t>
        </is>
      </c>
      <c r="B74" s="30" t="inlineStr">
        <is>
          <t>L2-AfterSalesReturn</t>
        </is>
      </c>
      <c r="C74" s="30" t="inlineStr">
        <is>
          <t>Huỷ đơn đã thanh toán</t>
        </is>
      </c>
      <c r="D74" s="30" t="inlineStr">
        <is>
          <t>NFR-A05; BR-029</t>
        </is>
      </c>
      <c r="E74" s="27" t="inlineStr">
        <is>
          <t>P1</t>
        </is>
      </c>
      <c r="F74" s="30" t="inlineStr">
        <is>
          <t>No</t>
        </is>
      </c>
      <c r="G74" s="32">
        <f>'L2-AfterSalesReturn'!M13</f>
        <v/>
      </c>
      <c r="H74" s="32">
        <f>'L2-AfterSalesReturn'!N13</f>
        <v/>
      </c>
      <c r="I74" s="64">
        <f>'L2-AfterSalesReturn'!P13</f>
        <v/>
      </c>
    </row>
    <row r="75" ht="15" customHeight="1">
      <c r="A75" s="25" t="inlineStr">
        <is>
          <t>L2-ADM-01</t>
        </is>
      </c>
      <c r="B75" s="26" t="inlineStr">
        <is>
          <t>L2-AdminConfigAudit</t>
        </is>
      </c>
      <c r="C75" s="26" t="inlineStr">
        <is>
          <t>Cấu hình có phiên bản &amp; audit bất biến</t>
        </is>
      </c>
      <c r="D75" s="26" t="inlineStr">
        <is>
          <t>FT-09 AC-03; NAC-04; BR-050</t>
        </is>
      </c>
      <c r="E75" s="27" t="inlineStr">
        <is>
          <t>P1</t>
        </is>
      </c>
      <c r="F75" s="26" t="inlineStr">
        <is>
          <t>No</t>
        </is>
      </c>
      <c r="G75" s="28">
        <f>'L2-AdminConfigAudit'!M6</f>
        <v/>
      </c>
      <c r="H75" s="28" t="n"/>
      <c r="I75" s="64">
        <f>'L2-AdminConfigAudit'!P6</f>
        <v/>
      </c>
    </row>
    <row r="76" ht="15" customHeight="1">
      <c r="A76" s="29" t="inlineStr">
        <is>
          <t>L2-ADM-02</t>
        </is>
      </c>
      <c r="B76" s="30" t="inlineStr">
        <is>
          <t>L2-AdminConfigAudit</t>
        </is>
      </c>
      <c r="C76" s="30" t="inlineStr">
        <is>
          <t>Cấu hình có phiên bản &amp; audit bất biến</t>
        </is>
      </c>
      <c r="D76" s="30" t="inlineStr">
        <is>
          <t>FT-09 AC-04; BR-022</t>
        </is>
      </c>
      <c r="E76" s="27" t="inlineStr">
        <is>
          <t>P1</t>
        </is>
      </c>
      <c r="F76" s="31" t="inlineStr">
        <is>
          <t>Yes</t>
        </is>
      </c>
      <c r="G76" s="32">
        <f>'L2-AdminConfigAudit'!M7</f>
        <v/>
      </c>
      <c r="H76" s="32" t="n"/>
      <c r="I76" s="64">
        <f>'L2-AdminConfigAudit'!P7</f>
        <v/>
      </c>
    </row>
    <row r="77" ht="21.75" customHeight="1">
      <c r="A77" s="25" t="inlineStr">
        <is>
          <t>L2-ADM-03</t>
        </is>
      </c>
      <c r="B77" s="26" t="inlineStr">
        <is>
          <t>L2-AdminConfigAudit</t>
        </is>
      </c>
      <c r="C77" s="26" t="inlineStr">
        <is>
          <t>Cấu hình có phiên bản &amp; audit bất biến</t>
        </is>
      </c>
      <c r="D77" s="26" t="inlineStr">
        <is>
          <t>FT-09 NAC-03; BR-048; NFR-SEC08</t>
        </is>
      </c>
      <c r="E77" s="27" t="inlineStr">
        <is>
          <t>P1</t>
        </is>
      </c>
      <c r="F77" s="33" t="inlineStr">
        <is>
          <t>Yes</t>
        </is>
      </c>
      <c r="G77" s="28">
        <f>'L2-AdminConfigAudit'!M8</f>
        <v/>
      </c>
      <c r="H77" s="28" t="n"/>
      <c r="I77" s="64">
        <f>'L2-AdminConfigAudit'!P8</f>
        <v/>
      </c>
    </row>
    <row r="78" ht="21.75" customHeight="1">
      <c r="A78" s="29" t="inlineStr">
        <is>
          <t>L2-ADM-04</t>
        </is>
      </c>
      <c r="B78" s="30" t="inlineStr">
        <is>
          <t>L2-AdminConfigAudit</t>
        </is>
      </c>
      <c r="C78" s="30" t="inlineStr">
        <is>
          <t>Quản trị người dùng &amp; dashboard</t>
        </is>
      </c>
      <c r="D78" s="30" t="inlineStr">
        <is>
          <t>FT-09 AC-04; BR-022; NFR-SEC02</t>
        </is>
      </c>
      <c r="E78" s="27" t="inlineStr">
        <is>
          <t>P1</t>
        </is>
      </c>
      <c r="F78" s="30" t="inlineStr">
        <is>
          <t>No</t>
        </is>
      </c>
      <c r="G78" s="32">
        <f>'L2-AdminConfigAudit'!M10</f>
        <v/>
      </c>
      <c r="H78" s="32" t="n"/>
      <c r="I78" s="64">
        <f>'L2-AdminConfigAudit'!P10</f>
        <v/>
      </c>
    </row>
    <row r="79" ht="15" customHeight="1">
      <c r="A79" s="25" t="inlineStr">
        <is>
          <t>L2-ADM-05</t>
        </is>
      </c>
      <c r="B79" s="26" t="inlineStr">
        <is>
          <t>L2-AdminConfigAudit</t>
        </is>
      </c>
      <c r="C79" s="26" t="inlineStr">
        <is>
          <t>Quản trị người dùng &amp; dashboard</t>
        </is>
      </c>
      <c r="D79" s="26" t="inlineStr">
        <is>
          <t>FT-09 NAC-02; NFR-SEC03</t>
        </is>
      </c>
      <c r="E79" s="27" t="inlineStr">
        <is>
          <t>P1</t>
        </is>
      </c>
      <c r="F79" s="33" t="inlineStr">
        <is>
          <t>Yes</t>
        </is>
      </c>
      <c r="G79" s="28">
        <f>'L2-AdminConfigAudit'!M11</f>
        <v/>
      </c>
      <c r="H79" s="28" t="n"/>
      <c r="I79" s="64">
        <f>'L2-AdminConfigAudit'!P11</f>
        <v/>
      </c>
    </row>
    <row r="80" ht="21.75" customHeight="1">
      <c r="A80" s="29" t="inlineStr">
        <is>
          <t>L2-ADM-06</t>
        </is>
      </c>
      <c r="B80" s="30" t="inlineStr">
        <is>
          <t>L2-AdminConfigAudit</t>
        </is>
      </c>
      <c r="C80" s="30" t="inlineStr">
        <is>
          <t>Quản trị người dùng &amp; dashboard</t>
        </is>
      </c>
      <c r="D80" s="30" t="inlineStr">
        <is>
          <t>FT-09 NAC-01; BV-01; NFR-SEC03</t>
        </is>
      </c>
      <c r="E80" s="27" t="inlineStr">
        <is>
          <t>P1</t>
        </is>
      </c>
      <c r="F80" s="31" t="inlineStr">
        <is>
          <t>Yes</t>
        </is>
      </c>
      <c r="G80" s="32">
        <f>'L2-AdminConfigAudit'!M12</f>
        <v/>
      </c>
      <c r="H80" s="32" t="n"/>
      <c r="I80" s="64">
        <f>'L2-AdminConfigAudit'!P12</f>
        <v/>
      </c>
    </row>
    <row r="81" ht="15" customHeight="1">
      <c r="A81" s="25" t="inlineStr">
        <is>
          <t>L2-ADM-07</t>
        </is>
      </c>
      <c r="B81" s="26" t="inlineStr">
        <is>
          <t>L2-AdminConfigAudit</t>
        </is>
      </c>
      <c r="C81" s="26" t="inlineStr">
        <is>
          <t>Quản trị người dùng &amp; dashboard</t>
        </is>
      </c>
      <c r="D81" s="26" t="inlineStr">
        <is>
          <t>FT-09 AC-01</t>
        </is>
      </c>
      <c r="E81" s="34" t="inlineStr">
        <is>
          <t>P2</t>
        </is>
      </c>
      <c r="F81" s="26" t="inlineStr">
        <is>
          <t>No</t>
        </is>
      </c>
      <c r="G81" s="28">
        <f>'L2-AdminConfigAudit'!M13</f>
        <v/>
      </c>
      <c r="H81" s="28" t="n"/>
      <c r="I81" s="64">
        <f>'L2-AdminConfigAudit'!P13</f>
        <v/>
      </c>
    </row>
    <row r="82" ht="21.75" customHeight="1">
      <c r="A82" s="29" t="inlineStr">
        <is>
          <t>L2-PAY-10</t>
        </is>
      </c>
      <c r="B82" s="30" t="inlineStr">
        <is>
          <t>L2-OrderPayment</t>
        </is>
      </c>
      <c r="C82" s="30" t="inlineStr">
        <is>
          <t>⊕ v2.3 — Bypass xác thực theo biến môi trường</t>
        </is>
      </c>
      <c r="D82" s="30" t="inlineStr">
        <is>
          <t>FT-03 NAC-01; NFR-SEC05</t>
        </is>
      </c>
      <c r="E82" s="27" t="inlineStr">
        <is>
          <t>P1</t>
        </is>
      </c>
      <c r="F82" s="31" t="inlineStr">
        <is>
          <t>Yes</t>
        </is>
      </c>
      <c r="G82" s="32">
        <f>'L2-OrderPayment'!M21</f>
        <v/>
      </c>
      <c r="H82" s="32">
        <f>'L2-OrderPayment'!N21</f>
        <v/>
      </c>
      <c r="I82" s="64">
        <f>'L2-OrderPayment'!P21</f>
        <v/>
      </c>
    </row>
    <row r="83" ht="21.75" customHeight="1">
      <c r="A83" s="25" t="inlineStr">
        <is>
          <t>L2-PAY-11</t>
        </is>
      </c>
      <c r="B83" s="26" t="inlineStr">
        <is>
          <t>L2-OrderPayment</t>
        </is>
      </c>
      <c r="C83" s="26" t="inlineStr">
        <is>
          <t>⊕ v2.3 — Bypass xác thực theo biến môi trường</t>
        </is>
      </c>
      <c r="D83" s="26" t="inlineStr">
        <is>
          <t>FT-03 NAC-01; NFR-SEC05</t>
        </is>
      </c>
      <c r="E83" s="27" t="inlineStr">
        <is>
          <t>P1</t>
        </is>
      </c>
      <c r="F83" s="33" t="inlineStr">
        <is>
          <t>Yes</t>
        </is>
      </c>
      <c r="G83" s="28">
        <f>'L2-OrderPayment'!M22</f>
        <v/>
      </c>
      <c r="H83" s="28" t="n"/>
      <c r="I83" s="64">
        <f>'L2-OrderPayment'!P22</f>
        <v/>
      </c>
    </row>
  </sheetData>
  <mergeCells count="1">
    <mergeCell ref="A1:H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P8"/>
  <sheetViews>
    <sheetView showGridLines="0" topLeftCell="D1" zoomScaleNormal="100" workbookViewId="0">
      <pane ySplit="4" topLeftCell="A5" activePane="bottomLeft" state="frozen"/>
      <selection pane="bottomLeft" activeCell="N6" sqref="N6"/>
    </sheetView>
  </sheetViews>
  <sheetFormatPr baseColWidth="8" defaultColWidth="8.7109375" defaultRowHeight="15"/>
  <cols>
    <col width="12" customWidth="1" min="1" max="1"/>
    <col width="22" customWidth="1" min="2" max="3"/>
    <col width="12" customWidth="1" min="4" max="4"/>
    <col width="9" customWidth="1" min="5" max="5"/>
    <col width="24" customWidth="1" min="6" max="6"/>
    <col width="18" customWidth="1" min="7" max="7"/>
    <col width="22" customWidth="1" min="8" max="8"/>
    <col width="38" customWidth="1" min="9" max="9"/>
    <col width="32" customWidth="1" min="10" max="10"/>
    <col width="46" customWidth="1" min="11" max="11"/>
    <col width="11" customWidth="1" min="12" max="12"/>
    <col width="10" customWidth="1" min="13" max="14"/>
    <col width="38" customWidth="1" min="15" max="15"/>
    <col width="55" customWidth="1" min="16" max="16"/>
  </cols>
  <sheetData>
    <row r="1" ht="24" customHeight="1">
      <c r="A1" s="1" t="inlineStr">
        <is>
          <t>L2-Infrastructure  |  MỚI v2.3  |  Hàng rào bảo vệ chính bộ test: schema drift, bất biến không-IO-ra-ngoài  |  Chạy TRƯỚC mọi sheet khác</t>
        </is>
      </c>
    </row>
    <row r="2" ht="15" customHeight="1">
      <c r="A2" s="58" t="inlineStr">
        <is>
          <t>HOW TO USE:  Đây là các case bảo vệ mọi test khác — nếu chúng đỏ thì mọi kết quả L2 còn lại đều không đáng tin. Chạy đầu tiên trong CI.</t>
        </is>
      </c>
    </row>
    <row r="4" ht="27.75" customHeight="1">
      <c r="A4" s="24" t="inlineStr">
        <is>
          <t>Test ID</t>
        </is>
      </c>
      <c r="B4" s="24" t="inlineStr">
        <is>
          <t>Coverage Technique</t>
        </is>
      </c>
      <c r="C4" s="24" t="inlineStr">
        <is>
          <t>SRS Reference</t>
        </is>
      </c>
      <c r="D4" s="24" t="inlineStr">
        <is>
          <t>Feature</t>
        </is>
      </c>
      <c r="E4" s="24" t="inlineStr">
        <is>
          <t>Priority</t>
        </is>
      </c>
      <c r="F4" s="24" t="inlineStr">
        <is>
          <t>Services Involved</t>
        </is>
      </c>
      <c r="G4" s="24" t="inlineStr">
        <is>
          <t>Infrastructure (Testcontainers)</t>
        </is>
      </c>
      <c r="H4" s="24" t="inlineStr">
        <is>
          <t>External Mocks (WireMock.Net / fakes)</t>
        </is>
      </c>
      <c r="I4" s="24" t="inlineStr">
        <is>
          <t>Given (DB State / Setup)</t>
        </is>
      </c>
      <c r="J4" s="24" t="inlineStr">
        <is>
          <t>When (Action / HTTP Call)</t>
        </is>
      </c>
      <c r="K4" s="24" t="inlineStr">
        <is>
          <t>Then (Expected DB State + Notifications + Response)</t>
        </is>
      </c>
      <c r="L4" s="24" t="inlineStr">
        <is>
          <t>Negative?</t>
        </is>
      </c>
      <c r="M4" s="24" t="inlineStr">
        <is>
          <t>Status</t>
        </is>
      </c>
      <c r="N4" s="24" t="inlineStr">
        <is>
          <t>Defect ID</t>
        </is>
      </c>
      <c r="O4" s="24" t="inlineStr">
        <is>
          <t>Notes</t>
        </is>
      </c>
      <c r="P4" s="24" t="inlineStr">
        <is>
          <t>Fix Status</t>
        </is>
      </c>
    </row>
    <row r="5" ht="18" customHeight="1">
      <c r="A5" s="59" t="inlineStr">
        <is>
          <t xml:space="preserve">  ▶  Block: Hàng rào hạ tầng  |  NFR-M02 (bảo trì) · vận hành triển khai</t>
        </is>
      </c>
    </row>
    <row r="6" ht="109.5" customHeight="1">
      <c r="A6" s="25" t="inlineStr">
        <is>
          <t>L2-INFRA-01</t>
        </is>
      </c>
      <c r="B6" s="36" t="inlineStr">
        <is>
          <t>Schema Drift Guard</t>
        </is>
      </c>
      <c r="C6" s="26" t="inlineStr">
        <is>
          <t>NFR-M02; vận hành</t>
        </is>
      </c>
      <c r="D6" s="26" t="inlineStr">
        <is>
          <t>Toàn hệ thống</t>
        </is>
      </c>
      <c r="E6" s="27" t="inlineStr">
        <is>
          <t>P1</t>
        </is>
      </c>
      <c r="F6" s="26" t="inlineStr">
        <is>
          <t>VietTien.API (WebApplicationFactory) + SQL Server</t>
        </is>
      </c>
      <c r="G6" s="26" t="inlineStr">
        <is>
          <t>SQL Server 2022
(Testcontainers.MsSql)
+ Respawn reset</t>
        </is>
      </c>
      <c r="H6" s="26" t="inlineStr">
        <is>
          <t>None</t>
        </is>
      </c>
      <c r="I6" s="26" t="inlineStr">
        <is>
          <t>DB dựng SẠCH từ migrations trong container (không vá tay)</t>
        </is>
      </c>
      <c r="J6" s="26" t="inlineStr">
        <is>
          <t>Kiểm tra model snapshot so với schema thực tế:
context.Database.GetPendingMigrations() rỗng
VÀ `dotnet ef migrations has-pending-model-changes` trả exit code 0</t>
        </is>
      </c>
      <c r="K6" s="26" t="inlineStr">
        <is>
          <t>Không có pending model change
Mọi DbSet trong ApplicationDbContext đều query được (SELECT TOP 1) mà không lỗi "Invalid column name"</t>
        </is>
      </c>
      <c r="L6" s="26" t="inlineStr">
        <is>
          <t>No</t>
        </is>
      </c>
      <c r="M6" s="37" t="inlineStr">
        <is>
          <t>Pass</t>
        </is>
      </c>
      <c r="N6" s="33" t="inlineStr">
        <is>
          <t>GH-03</t>
        </is>
      </c>
      <c r="O6" s="61" t="inlineStr">
        <is>
          <t>MIGRATION DRIFT -&gt; Đã fix</t>
        </is>
      </c>
      <c r="P6" s="37" t="inlineStr">
        <is>
          <t>✅ Pass (không đổi)</t>
        </is>
      </c>
    </row>
    <row r="7" ht="109.5" customHeight="1">
      <c r="A7" s="29" t="inlineStr">
        <is>
          <t>L2-INFRA-02</t>
        </is>
      </c>
      <c r="B7" s="36" t="inlineStr">
        <is>
          <t>Outbound IO Guard</t>
        </is>
      </c>
      <c r="C7" s="30" t="inlineStr">
        <is>
          <t>NFR-SEC06; NFR-A02</t>
        </is>
      </c>
      <c r="D7" s="30" t="inlineStr">
        <is>
          <t>Toàn hệ thống</t>
        </is>
      </c>
      <c r="E7" s="27" t="inlineStr">
        <is>
          <t>P1</t>
        </is>
      </c>
      <c r="F7" s="30" t="inlineStr">
        <is>
          <t>VietTien.API (WebApplicationFactory) + SQL Server</t>
        </is>
      </c>
      <c r="G7" s="30" t="inlineStr">
        <is>
          <t>SQL Server 2022
(Testcontainers.MsSql)
+ Respawn reset</t>
        </is>
      </c>
      <c r="H7" s="30" t="inlineStr">
        <is>
          <t>Recording fake: ISmsService, IEmailService, IMakeWebhookService, IAiGeneratorService, ICloudinaryService</t>
        </is>
      </c>
      <c r="I7" s="30" t="inlineStr">
        <is>
          <t>Test host chạy UseEnvironment("Test") với appsettings.Test.json (mọi credential rỗng/giả)</t>
        </is>
      </c>
      <c r="J7" s="30" t="inlineStr">
        <is>
          <t>Sau MỖI test L2: teardown dùng chung của SqlServerTestBase kiểm các recording fake</t>
        </is>
      </c>
      <c r="K7" s="30" t="inlineStr">
        <is>
          <t>Sms / MakeWebhook / AiGenerator / Cloudinary đều KHÔNG được gọi (trừ khi test bật cờ opt-out tường minh)
Email KHÔNG kiểm rỗng (nhiều luồng gửi mail hợp lệ) — expose Factory.Email.Sent để test tự assert nội dung</t>
        </is>
      </c>
      <c r="L7" s="31" t="inlineStr">
        <is>
          <t>Yes</t>
        </is>
      </c>
      <c r="M7" s="37" t="inlineStr">
        <is>
          <t>Pass</t>
        </is>
      </c>
      <c r="N7" s="31" t="n"/>
      <c r="O7" s="32" t="n"/>
      <c r="P7" s="37" t="inlineStr">
        <is>
          <t>✅ Pass (không đổi)</t>
        </is>
      </c>
    </row>
    <row r="8" ht="109.5" customHeight="1">
      <c r="A8" s="25" t="inlineStr">
        <is>
          <t>L2-INFRA-03</t>
        </is>
      </c>
      <c r="B8" s="36" t="inlineStr">
        <is>
          <t>Config Isolation</t>
        </is>
      </c>
      <c r="C8" s="26" t="inlineStr">
        <is>
          <t>NFR-SEC06</t>
        </is>
      </c>
      <c r="D8" s="26" t="inlineStr">
        <is>
          <t>Toàn hệ thống</t>
        </is>
      </c>
      <c r="E8" s="27" t="inlineStr">
        <is>
          <t>P1</t>
        </is>
      </c>
      <c r="F8" s="26" t="inlineStr">
        <is>
          <t>VietTien.API (WebApplicationFactory) + SQL Server</t>
        </is>
      </c>
      <c r="G8" s="26" t="inlineStr">
        <is>
          <t>SQL Server 2022
(Testcontainers.MsSql)
+ Respawn reset</t>
        </is>
      </c>
      <c r="H8" s="26" t="inlineStr">
        <is>
          <t>None</t>
        </is>
      </c>
      <c r="I8" s="26" t="inlineStr">
        <is>
          <t>Test host khởi động</t>
        </is>
      </c>
      <c r="J8" s="26" t="inlineStr">
        <is>
          <t>Đọc IConfiguration của test host</t>
        </is>
      </c>
      <c r="K8" s="26" t="inlineStr">
        <is>
          <t>Không có credential thật nào được nạp (eSMS/Gemini/Cloudinary/SMTP/MakeCom đều rỗng hoặc giá trị giả)
JwtSettings:SecretKey là giá trị giả nhưng đủ dài để ký/verify</t>
        </is>
      </c>
      <c r="L8" s="33" t="inlineStr">
        <is>
          <t>Yes</t>
        </is>
      </c>
      <c r="M8" s="37" t="inlineStr">
        <is>
          <t>Pass</t>
        </is>
      </c>
      <c r="N8" s="33" t="n"/>
      <c r="O8" s="28" t="n"/>
      <c r="P8" s="37" t="inlineStr">
        <is>
          <t>✅ Pass (không đổi)</t>
        </is>
      </c>
    </row>
  </sheetData>
  <mergeCells count="3">
    <mergeCell ref="A1:O1"/>
    <mergeCell ref="A2:O2"/>
    <mergeCell ref="A5:O5"/>
  </mergeCells>
  <dataValidations count="2">
    <dataValidation sqref="M6:M8" showDropDown="0" showInputMessage="0" showErrorMessage="0" allowBlank="1" type="list">
      <formula1>"Not Run,Pass,Fail,Blocked,Skip,N/A"</formula1>
      <formula2>0</formula2>
    </dataValidation>
    <dataValidation sqref="E6:E8" showDropDown="0" showInputMessage="0" showErrorMessage="0" allowBlank="1" type="list">
      <formula1>"P1,P2,P3"</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P22"/>
  <sheetViews>
    <sheetView showGridLines="0" topLeftCell="C1" zoomScaleNormal="100" workbookViewId="0">
      <pane ySplit="4" topLeftCell="A11" activePane="bottomLeft" state="frozen"/>
      <selection pane="bottomLeft" activeCell="A20" sqref="A20:O20"/>
    </sheetView>
  </sheetViews>
  <sheetFormatPr baseColWidth="8" defaultColWidth="8.7109375" defaultRowHeight="15"/>
  <cols>
    <col width="12" customWidth="1" min="1" max="1"/>
    <col width="22" customWidth="1" min="2" max="2"/>
    <col width="18" customWidth="1" min="3" max="3"/>
    <col width="10" customWidth="1" min="4" max="4"/>
    <col width="9" customWidth="1" min="5" max="5"/>
    <col width="24" customWidth="1" min="6" max="6"/>
    <col width="18" customWidth="1" min="7" max="7"/>
    <col width="22" customWidth="1" min="8" max="8"/>
    <col width="36" customWidth="1" min="9" max="9"/>
    <col width="32" customWidth="1" min="10" max="10"/>
    <col width="44" customWidth="1" min="11" max="11"/>
    <col width="11" customWidth="1" min="12" max="12"/>
    <col width="10" customWidth="1" min="13" max="14"/>
    <col width="26" customWidth="1" min="15" max="15"/>
    <col width="55" customWidth="1" min="16" max="16"/>
  </cols>
  <sheetData>
    <row r="1" ht="24" customHeight="1">
      <c r="A1" s="1" t="inlineStr">
        <is>
          <t>L2-OrderPayment  |  SePay webhook end-to-end, payment timeout job, manual fallback  |  FT-03; 4.4.2; BR-06/07/08</t>
        </is>
      </c>
    </row>
    <row r="2" ht="15" customHeight="1">
      <c r="A2" s="58" t="inlineStr">
        <is>
          <t>HOW TO USE:  (1) BẬT Docker Desktop rồi kiểm tra docker ps  (2) Testcontainers.MsSql + Respawn giữa các test  (3) Job nền: gọi trực tiếp IScheduledJob.RunAsync(ct), KHÔNG chờ scheduler  (4) Cập nhật Status  (5) Ghi Defect ID khi Fail</t>
        </is>
      </c>
    </row>
    <row r="3"/>
    <row r="4" ht="27.75" customHeight="1">
      <c r="A4" s="24" t="inlineStr">
        <is>
          <t>Test ID</t>
        </is>
      </c>
      <c r="B4" s="24" t="inlineStr">
        <is>
          <t>Coverage Technique</t>
        </is>
      </c>
      <c r="C4" s="24" t="inlineStr">
        <is>
          <t>SRS Reference</t>
        </is>
      </c>
      <c r="D4" s="24" t="inlineStr">
        <is>
          <t>Feature</t>
        </is>
      </c>
      <c r="E4" s="24" t="inlineStr">
        <is>
          <t>Priority</t>
        </is>
      </c>
      <c r="F4" s="24" t="inlineStr">
        <is>
          <t>Services Involved</t>
        </is>
      </c>
      <c r="G4" s="24" t="inlineStr">
        <is>
          <t>Infrastructure (Testcontainers)</t>
        </is>
      </c>
      <c r="H4" s="24" t="inlineStr">
        <is>
          <t>External Mocks (WireMock.Net / fakes)</t>
        </is>
      </c>
      <c r="I4" s="24" t="inlineStr">
        <is>
          <t>Given (DB State / Setup)</t>
        </is>
      </c>
      <c r="J4" s="24" t="inlineStr">
        <is>
          <t>When (Action / HTTP Call)</t>
        </is>
      </c>
      <c r="K4" s="24" t="inlineStr">
        <is>
          <t>Then (Expected DB State + Notifications + Response)</t>
        </is>
      </c>
      <c r="L4" s="24" t="inlineStr">
        <is>
          <t>Negative?</t>
        </is>
      </c>
      <c r="M4" s="24" t="inlineStr">
        <is>
          <t>Status</t>
        </is>
      </c>
      <c r="N4" s="24" t="inlineStr">
        <is>
          <t>Defect ID</t>
        </is>
      </c>
      <c r="O4" s="24" t="inlineStr">
        <is>
          <t>Notes</t>
        </is>
      </c>
      <c r="P4" s="24" t="inlineStr">
        <is>
          <t>Fix Status</t>
        </is>
      </c>
    </row>
    <row r="5" ht="18" customHeight="1">
      <c r="A5" s="59" t="inlineStr">
        <is>
          <t xml:space="preserve">  ▶  Block: ProcessSePayWebhook — HTTP end-to-end  |  BR-06, BV-02, idempotency</t>
        </is>
      </c>
    </row>
    <row r="6" ht="72.75" customHeight="1">
      <c r="A6" s="25" t="inlineStr">
        <is>
          <t>L2-PAY-01</t>
        </is>
      </c>
      <c r="B6" s="36" t="inlineStr">
        <is>
          <t>Happy Path + Transaction Boundary</t>
        </is>
      </c>
      <c r="C6" s="26" t="inlineStr">
        <is>
          <t>FT-03 AC-01; AC-02; BR-009; NFR-SEC05</t>
        </is>
      </c>
      <c r="D6" s="26" t="inlineStr">
        <is>
          <t>FT-03</t>
        </is>
      </c>
      <c r="E6" s="27" t="inlineStr">
        <is>
          <t>P1</t>
        </is>
      </c>
      <c r="F6" s="26" t="inlineStr">
        <is>
          <t>VietTien.API (WebApplicationFactory) + SQL Server + SignalR test client</t>
        </is>
      </c>
      <c r="G6" s="26" t="inlineStr">
        <is>
          <t>SQL Server 2022
(Testcontainers.MsSql)
+ Respawn reset</t>
        </is>
      </c>
      <c r="H6" s="26" t="inlineStr">
        <is>
          <t>None (SePay is inbound)</t>
        </is>
      </c>
      <c r="I6" s="26" t="inlineStr">
        <is>
          <t>Order ORD-001: PaymentStatus=Pending Payment, total=5,000,000
PaymentTransactions: empty
SePay Api-Key configured in test appsettings</t>
        </is>
      </c>
      <c r="J6" s="26" t="inlineStr">
        <is>
          <t>POST /api/webhooks/sepay-callback
body: {referenceCode:'ORD-001', transferAmount:5000000, id:'txn-001'}
header: Authorization = valid configured token</t>
        </is>
      </c>
      <c r="K6" s="26" t="inlineStr">
        <is>
          <t>HTTP 200/201
DB: Order.PaymentStatus = Paid (locked); PaymentTransaction row with TransactionId='txn-001'
SignalR: SalesHub receives payment notification
Order row + transaction row committed in ONE transaction</t>
        </is>
      </c>
      <c r="L6" s="26" t="inlineStr">
        <is>
          <t>No</t>
        </is>
      </c>
      <c r="M6" s="37" t="inlineStr">
        <is>
          <t>Pass</t>
        </is>
      </c>
      <c r="N6" s="26" t="n"/>
      <c r="O6" s="28" t="n"/>
      <c r="P6" s="37" t="inlineStr">
        <is>
          <t>✅ Pass (không đổi)</t>
        </is>
      </c>
    </row>
    <row r="7" ht="72.75" customHeight="1">
      <c r="A7" s="29" t="inlineStr">
        <is>
          <t>L2-PAY-02</t>
        </is>
      </c>
      <c r="B7" s="36" t="inlineStr">
        <is>
          <t>Error Path</t>
        </is>
      </c>
      <c r="C7" s="30" t="inlineStr">
        <is>
          <t>FT-03 NAC-01; NFR-SEC05</t>
        </is>
      </c>
      <c r="D7" s="30" t="inlineStr">
        <is>
          <t>FT-03</t>
        </is>
      </c>
      <c r="E7" s="27" t="inlineStr">
        <is>
          <t>P1</t>
        </is>
      </c>
      <c r="F7" s="30" t="inlineStr">
        <is>
          <t>VietTien.API (WebApplicationFactory) + SQL Server</t>
        </is>
      </c>
      <c r="G7" s="30" t="inlineStr">
        <is>
          <t>SQL Server 2022
(Testcontainers.MsSql)
+ Respawn reset</t>
        </is>
      </c>
      <c r="H7" s="30" t="inlineStr">
        <is>
          <t>None</t>
        </is>
      </c>
      <c r="I7" s="30" t="inlineStr">
        <is>
          <t>Order ORD-001: Pending Payment, total=5,000,000</t>
        </is>
      </c>
      <c r="J7" s="30" t="inlineStr">
        <is>
          <t>POST /api/webhooks/sepay-callback with SAME body but Authorization = 'WRONG-TOKEN'</t>
        </is>
      </c>
      <c r="K7" s="30" t="inlineStr">
        <is>
          <t>HTTP 401
DB: Order.PaymentStatus unchanged (still Pending Payment)
No PaymentTransaction row created
Security alert logged</t>
        </is>
      </c>
      <c r="L7" s="31" t="inlineStr">
        <is>
          <t>Yes</t>
        </is>
      </c>
      <c r="M7" s="37" t="inlineStr">
        <is>
          <t>Pass</t>
        </is>
      </c>
      <c r="N7" s="30" t="n"/>
      <c r="O7" s="32" t="n"/>
      <c r="P7" s="37" t="inlineStr">
        <is>
          <t>✅ Pass (không đổi)</t>
        </is>
      </c>
    </row>
    <row r="8" ht="46.5" customHeight="1">
      <c r="A8" s="25" t="inlineStr">
        <is>
          <t>L2-PAY-03</t>
        </is>
      </c>
      <c r="B8" s="36" t="inlineStr">
        <is>
          <t>BVA</t>
        </is>
      </c>
      <c r="C8" s="26" t="inlineStr">
        <is>
          <t>FT-03 NAC-01; BV-01</t>
        </is>
      </c>
      <c r="D8" s="26" t="inlineStr">
        <is>
          <t>FT-03</t>
        </is>
      </c>
      <c r="E8" s="27" t="inlineStr">
        <is>
          <t>P1</t>
        </is>
      </c>
      <c r="F8" s="26" t="inlineStr">
        <is>
          <t>VietTien.API (WebApplicationFactory) + SQL Server</t>
        </is>
      </c>
      <c r="G8" s="26" t="inlineStr">
        <is>
          <t>SQL Server 2022
(Testcontainers.MsSql)
+ Respawn reset</t>
        </is>
      </c>
      <c r="H8" s="26" t="inlineStr">
        <is>
          <t>None</t>
        </is>
      </c>
      <c r="I8" s="26" t="inlineStr">
        <is>
          <t>Order ORD-001: total=5,000,000  ([Theory]: amount 5,000,001 and 4,999,999)</t>
        </is>
      </c>
      <c r="J8" s="26" t="inlineStr">
        <is>
          <t>POST /api/webhooks/sepay-callback with valid token, transferAmount = total ±1 VND</t>
        </is>
      </c>
      <c r="K8" s="26" t="inlineStr">
        <is>
          <t>Both cases rejected/flagged (no auto-Paid)
DB: status unchanged; mismatch routed to PaymentException list</t>
        </is>
      </c>
      <c r="L8" s="33" t="inlineStr">
        <is>
          <t>Yes</t>
        </is>
      </c>
      <c r="M8" s="37" t="inlineStr">
        <is>
          <t>Pass</t>
        </is>
      </c>
      <c r="N8" s="26" t="n"/>
      <c r="O8" s="28" t="n"/>
      <c r="P8" s="37" t="inlineStr">
        <is>
          <t>✅ Pass (không đổi)</t>
        </is>
      </c>
    </row>
    <row r="9" ht="60" customHeight="1">
      <c r="A9" s="29" t="inlineStr">
        <is>
          <t>L2-PAY-04</t>
        </is>
      </c>
      <c r="B9" s="36" t="inlineStr">
        <is>
          <t>Idempotency</t>
        </is>
      </c>
      <c r="C9" s="30" t="inlineStr">
        <is>
          <t>FT-03 NAC-02; BR-029</t>
        </is>
      </c>
      <c r="D9" s="30" t="inlineStr">
        <is>
          <t>FT-03</t>
        </is>
      </c>
      <c r="E9" s="27" t="inlineStr">
        <is>
          <t>P1</t>
        </is>
      </c>
      <c r="F9" s="30" t="inlineStr">
        <is>
          <t>VietTien.API (WebApplicationFactory) + SQL Server</t>
        </is>
      </c>
      <c r="G9" s="30" t="inlineStr">
        <is>
          <t>SQL Server 2022
(Testcontainers.MsSql)
+ Respawn reset</t>
        </is>
      </c>
      <c r="H9" s="30" t="inlineStr">
        <is>
          <t>None</t>
        </is>
      </c>
      <c r="I9" s="30" t="inlineStr">
        <is>
          <t>Webhook txn-001 already processed: Order Paid; 1 PaymentTransaction row</t>
        </is>
      </c>
      <c r="J9" s="30" t="inlineStr">
        <is>
          <t>POST /api/webhooks/sepay-callback with IDENTICAL payload (txn-001) a SECOND time</t>
        </is>
      </c>
      <c r="K9" s="30" t="inlineStr">
        <is>
          <t>HTTP 200 (accepted quietly) — no exception
DB: still exactly 1 PaymentTransaction row; status still Paid
No second SignalR notification</t>
        </is>
      </c>
      <c r="L9" s="30" t="inlineStr">
        <is>
          <t>No</t>
        </is>
      </c>
      <c r="M9" s="37" t="inlineStr">
        <is>
          <t>Pass</t>
        </is>
      </c>
      <c r="N9" s="30" t="n"/>
      <c r="O9" s="32" t="n"/>
      <c r="P9" s="37" t="inlineStr">
        <is>
          <t>✅ Pass (không đổi)</t>
        </is>
      </c>
    </row>
    <row r="10" ht="18" customHeight="1">
      <c r="A10" s="59" t="inlineStr">
        <is>
          <t xml:space="preserve">  ▶  Block: Payment timeout — 15-min boundary  |  BV-01, BR-07 (ScheduledJobRunnerBackgroundService: OrderSlaJob)</t>
        </is>
      </c>
    </row>
    <row r="11" ht="78.75" customHeight="1">
      <c r="A11" s="25" t="inlineStr">
        <is>
          <t>L2-PAY-05</t>
        </is>
      </c>
      <c r="B11" s="36" t="inlineStr">
        <is>
          <t>Workflow + Job boundary</t>
        </is>
      </c>
      <c r="C11" s="26" t="inlineStr">
        <is>
          <t>FT-03 NAC-03; BV-01; BR-008; BR-033</t>
        </is>
      </c>
      <c r="D11" s="26" t="inlineStr">
        <is>
          <t>FT-03</t>
        </is>
      </c>
      <c r="E11" s="27" t="inlineStr">
        <is>
          <t>P1</t>
        </is>
      </c>
      <c r="F11" s="26" t="inlineStr">
        <is>
          <t>VietTien.API (WebApplicationFactory) + SQL Server</t>
        </is>
      </c>
      <c r="G11" s="26" t="inlineStr">
        <is>
          <t>SQL Server 2022
(Testcontainers.MsSql)
+ Respawn reset</t>
        </is>
      </c>
      <c r="H11" s="26" t="inlineStr">
        <is>
          <t>None</t>
        </is>
      </c>
      <c r="I11" s="26" t="inlineStr">
        <is>
          <t>2 đơn SePay chờ thanh toán, InventoryReservation đang giữ tồn:
Đơn A: CreatedAt backdate = NOW - 20 phút (quá hạn rõ ràng)
Đơn B: CreatedAt = NOW (mới tạo)
SystemConfig SEPAY_RESERVATION_MINUTES = 15</t>
        </is>
      </c>
      <c r="J11" s="26" t="inlineStr">
        <is>
          <t>Factory.RunJobAsync&lt;SePayReservationExpiryJob&gt;()</t>
        </is>
      </c>
      <c r="K11" s="26" t="inlineStr">
        <is>
          <t>Đơn A: reservation ĐƯỢC giải phóng; Reserved trả về 0; OnHandQuantity không đổi; RawAvailable() tăng đúng phần trả lại
Đơn B: KHÔNG bị đụng
Không đơn nào có tồn âm</t>
        </is>
      </c>
      <c r="L11" s="26" t="inlineStr">
        <is>
          <t>No</t>
        </is>
      </c>
      <c r="M11" s="37" t="inlineStr">
        <is>
          <t>Pass</t>
        </is>
      </c>
      <c r="N11" s="26" t="n"/>
      <c r="O11" s="28" t="n"/>
      <c r="P11" s="37" t="inlineStr">
        <is>
          <t>✅ Pass (không đổi)</t>
        </is>
      </c>
    </row>
    <row r="12" ht="66" customHeight="1">
      <c r="A12" s="29" t="inlineStr">
        <is>
          <t>L2-PAY-06</t>
        </is>
      </c>
      <c r="B12" s="36" t="inlineStr">
        <is>
          <t>Workflow + Job boundary</t>
        </is>
      </c>
      <c r="C12" s="30" t="inlineStr">
        <is>
          <t>FT-03 BV-01; BR-008</t>
        </is>
      </c>
      <c r="D12" s="30" t="inlineStr">
        <is>
          <t>FT-03</t>
        </is>
      </c>
      <c r="E12" s="27" t="inlineStr">
        <is>
          <t>P1</t>
        </is>
      </c>
      <c r="F12" s="30" t="inlineStr">
        <is>
          <t>VietTien.API (WebApplicationFactory) + SQL Server</t>
        </is>
      </c>
      <c r="G12" s="30" t="inlineStr">
        <is>
          <t>SQL Server 2022
(Testcontainers.MsSql)
+ Respawn reset</t>
        </is>
      </c>
      <c r="H12" s="30" t="inlineStr">
        <is>
          <t>None</t>
        </is>
      </c>
      <c r="I12" s="30" t="inlineStr">
        <is>
          <t>Đơn SePay chờ thanh toán, CreatedAt backdate = NOW - 10 phút (còn trong hạn)
SystemConfig SEPAY_RESERVATION_MINUTES = 15
Reserved P1 = 3</t>
        </is>
      </c>
      <c r="J12" s="30" t="inlineStr">
        <is>
          <t>Factory.RunJobAsync&lt;SePayReservationExpiryJob&gt;()</t>
        </is>
      </c>
      <c r="K12" s="30" t="inlineStr">
        <is>
          <t>Reservation VẪN CÒN: Reserved P1 = 3, không bị trả lại
Đơn giữ nguyên trạng thái chờ thanh toán</t>
        </is>
      </c>
      <c r="L12" s="30" t="inlineStr">
        <is>
          <t>No</t>
        </is>
      </c>
      <c r="M12" s="37" t="inlineStr">
        <is>
          <t>Pass</t>
        </is>
      </c>
      <c r="N12" s="30" t="n"/>
      <c r="O12" s="32" t="n"/>
      <c r="P12" s="37" t="inlineStr">
        <is>
          <t>✅ Pass (không đổi)</t>
        </is>
      </c>
    </row>
    <row r="13" ht="18" customHeight="1">
      <c r="A13" s="59" t="inlineStr">
        <is>
          <t xml:space="preserve">  ▶  Block: ManualConfirm — fallback  |  BR-08; 4.4.2 rows 5-6</t>
        </is>
      </c>
    </row>
    <row r="14" ht="60" customHeight="1">
      <c r="A14" s="25" t="inlineStr">
        <is>
          <t>L2-PAY-07</t>
        </is>
      </c>
      <c r="B14" s="36" t="inlineStr">
        <is>
          <t>Happy Path</t>
        </is>
      </c>
      <c r="C14" s="26" t="inlineStr">
        <is>
          <t>FT-03 AC-05; NAC-03; BR-016</t>
        </is>
      </c>
      <c r="D14" s="26" t="inlineStr">
        <is>
          <t>FT-03</t>
        </is>
      </c>
      <c r="E14" s="27" t="inlineStr">
        <is>
          <t>P1</t>
        </is>
      </c>
      <c r="F14" s="26" t="inlineStr">
        <is>
          <t>VietTien.API (WebApplicationFactory) + SQL Server</t>
        </is>
      </c>
      <c r="G14" s="26" t="inlineStr">
        <is>
          <t>SQL Server 2022
(Testcontainers.MsSql)
+ Respawn reset</t>
        </is>
      </c>
      <c r="H14" s="26" t="inlineStr">
        <is>
          <t>None</t>
        </is>
      </c>
      <c r="I14" s="26" t="inlineStr">
        <is>
          <t>Order ORD-002: Awaiting Manual Verify
Admin user seeded with valid JWT</t>
        </is>
      </c>
      <c r="J14" s="26" t="inlineStr">
        <is>
          <t>POST /api/orders/{orderId}/manual-confirm
body: {bankRef:'FT2026...', note}</t>
        </is>
      </c>
      <c r="K14" s="26" t="inlineStr">
        <is>
          <t>HTTP 200; DB: PaymentStatus = Paid (locked), ConfirmedBy = admin
'PAID' flag available for delivery invoice
Order released to fulfilment</t>
        </is>
      </c>
      <c r="L14" s="26" t="inlineStr">
        <is>
          <t>No</t>
        </is>
      </c>
      <c r="M14" s="37" t="inlineStr">
        <is>
          <t>Pass</t>
        </is>
      </c>
      <c r="N14" s="26" t="n"/>
      <c r="O14" s="28" t="n"/>
      <c r="P14" s="37" t="inlineStr">
        <is>
          <t>✅ Pass (không đổi)</t>
        </is>
      </c>
    </row>
    <row r="15" ht="46.5" customHeight="1">
      <c r="A15" s="29" t="inlineStr">
        <is>
          <t>L2-PAY-08</t>
        </is>
      </c>
      <c r="B15" s="36" t="inlineStr">
        <is>
          <t>Error Path</t>
        </is>
      </c>
      <c r="C15" s="30" t="inlineStr">
        <is>
          <t>FT-03 NAC-04</t>
        </is>
      </c>
      <c r="D15" s="30" t="inlineStr">
        <is>
          <t>FT-03</t>
        </is>
      </c>
      <c r="E15" s="27" t="inlineStr">
        <is>
          <t>P1</t>
        </is>
      </c>
      <c r="F15" s="30" t="inlineStr">
        <is>
          <t>VietTien.API (WebApplicationFactory) + SQL Server</t>
        </is>
      </c>
      <c r="G15" s="30" t="inlineStr">
        <is>
          <t>SQL Server 2022
(Testcontainers.MsSql)
+ Respawn reset</t>
        </is>
      </c>
      <c r="H15" s="30" t="inlineStr">
        <is>
          <t>None</t>
        </is>
      </c>
      <c r="I15" s="30" t="inlineStr">
        <is>
          <t>Order ORD-003: Awaiting Manual Verify; no matching bank record in request</t>
        </is>
      </c>
      <c r="J15" s="30" t="inlineStr">
        <is>
          <t>POST /api/orders/{orderId}/manual-confirm with empty/absent bankRef</t>
        </is>
      </c>
      <c r="K15" s="30" t="inlineStr">
        <is>
          <t>HTTP 422; DB: order cancelled per NAC-02
Reserved stock released; no Paid state</t>
        </is>
      </c>
      <c r="L15" s="31" t="inlineStr">
        <is>
          <t>Yes</t>
        </is>
      </c>
      <c r="M15" s="37" t="inlineStr">
        <is>
          <t>Pass</t>
        </is>
      </c>
      <c r="N15" s="30" t="n"/>
      <c r="O15" s="32" t="n"/>
      <c r="P15" s="37" t="inlineStr">
        <is>
          <t>✅ Pass (không đổi)</t>
        </is>
      </c>
    </row>
    <row r="16" ht="46.5" customHeight="1">
      <c r="A16" s="25" t="inlineStr">
        <is>
          <t>L2-PAY-09</t>
        </is>
      </c>
      <c r="B16" s="36" t="inlineStr">
        <is>
          <t>Concurrency</t>
        </is>
      </c>
      <c r="C16" s="26" t="inlineStr">
        <is>
          <t>FT-03 NAC-02; BR-029; NFR-A05</t>
        </is>
      </c>
      <c r="D16" s="26" t="inlineStr">
        <is>
          <t>FT-03</t>
        </is>
      </c>
      <c r="E16" s="27" t="inlineStr">
        <is>
          <t>P1</t>
        </is>
      </c>
      <c r="F16" s="26" t="inlineStr">
        <is>
          <t>VietTien.API (WebApplicationFactory) + SQL Server</t>
        </is>
      </c>
      <c r="G16" s="26" t="inlineStr">
        <is>
          <t>SQL Server 2022
(Testcontainers.MsSql)
+ Respawn reset</t>
        </is>
      </c>
      <c r="H16" s="26" t="inlineStr">
        <is>
          <t>None</t>
        </is>
      </c>
      <c r="I16" s="26" t="inlineStr">
        <is>
          <t>Order ORD-004: Pending Payment near expiry
Two triggers prepared: valid webhook + manual confirm</t>
        </is>
      </c>
      <c r="J16" s="26" t="inlineStr">
        <is>
          <t>Fire webhook POST and manual-confirm POST simultaneously (Task.WhenAll + barrier)</t>
        </is>
      </c>
      <c r="K16" s="26" t="inlineStr">
        <is>
          <t>Exactly ONE path wins: final state Paid with exactly 1 PaymentTransaction row
Loser gets 409/422 — no duplicate ledger entry, no double SignalR notify</t>
        </is>
      </c>
      <c r="L16" s="26" t="inlineStr">
        <is>
          <t>No</t>
        </is>
      </c>
      <c r="M16" s="39" t="inlineStr">
        <is>
          <t>Fail</t>
        </is>
      </c>
      <c r="N16" s="33" t="inlineStr">
        <is>
          <t>GH-02</t>
        </is>
      </c>
      <c r="O16" s="38" t="inlineStr">
        <is>
          <t>🔴 DEFECT GH-02 — THANH TOÁN KÉP. Đỏ ở tầng (b) tại vòng 2/5: transactions.Should().ContainSingle() tìm thấy 2 PaymentTransaction cho CÙNG 1 đơn (FTfccfed6c6ee8 từ webhook + MCa03846ec1566 từ manual-confirm). Nguyên nhân: cả hai nhánh read-then-write KHÔNG KHOÁ — OrderService.cs:318 và ManualPaymentService.cs:58 cùng đọc PaymentStatus=Pending trước khi bên nào commit. Chống trùng hiện có chỉ chặn CÙNG MỘT mã giao dịch (OrderService.cs:349 lọc theo TransactionId; ManualPaymentService.cs:87 chặn TransactionId trùng) — hai mã khác nhau thì lọt. Không có UPDLOCK, không có unique index trên (OrderId) cho giao dịch thành công, không có concurrency token trên Order.PaymentStatus.  |  Race-condition test — use TaskCompletionSource barrier</t>
        </is>
      </c>
      <c r="P16" s="39" t="inlineStr">
        <is>
          <t>✅ ĐÃ FIX  [🟢 ĐÃ FIX + PASS THẬT qua docker + dotnet test (07/08/2026)]
GH-02: đã thêm RowVersion (concurrency token) vào Order + bắt DbUpdateConcurrencyException ở SePayController/PaymentsController -&gt; bên thua nhận 409, không còn tạo trùng PaymentTransaction.</t>
        </is>
      </c>
    </row>
    <row r="17" ht="15" customHeight="1">
      <c r="A17" s="60" t="inlineStr">
        <is>
          <t xml:space="preserve">  ▶  Template Row — copy for new integration cases</t>
        </is>
      </c>
    </row>
    <row r="18" ht="42.75" customHeight="1">
      <c r="A18" s="40" t="inlineStr">
        <is>
          <t>L2-Ord-[NN]</t>
        </is>
      </c>
      <c r="B18" s="40" t="inlineStr">
        <is>
          <t>[Happy Path | Error Path | BVA | Idempotency | Transaction Boundary | Concurrency | Workflow]</t>
        </is>
      </c>
      <c r="C18" s="40" t="inlineStr">
        <is>
          <t>[AC/NAC/BV/BR-xx | TBD]</t>
        </is>
      </c>
      <c r="D18" s="40" t="inlineStr">
        <is>
          <t>[FT-xx]</t>
        </is>
      </c>
      <c r="E18" s="40" t="inlineStr">
        <is>
          <t>P2</t>
        </is>
      </c>
      <c r="F18" s="40" t="inlineStr">
        <is>
          <t>VietTien.API + SQL Server [+ SignalR]</t>
        </is>
      </c>
      <c r="G18" s="40" t="inlineStr">
        <is>
          <t>SQL Server 2022 (Testcontainers.MsSql)</t>
        </is>
      </c>
      <c r="H18" s="40" t="inlineStr">
        <is>
          <t>[WireMock.Net stub / smtp4dev]  None if no external calls</t>
        </is>
      </c>
      <c r="I18" s="40" t="inlineStr">
        <is>
          <t>[Seed rows: table.column = value]</t>
        </is>
      </c>
      <c r="J18" s="40" t="inlineStr">
        <is>
          <t>[HTTP verb /api/... {body} OR trigger job]</t>
        </is>
      </c>
      <c r="K18" s="40" t="inlineStr">
        <is>
          <t>[DB: table.column = expected  Notifications/SignalR  HTTP status  NEVER: for negative]</t>
        </is>
      </c>
      <c r="L18" s="40" t="inlineStr">
        <is>
          <t>No</t>
        </is>
      </c>
      <c r="M18" s="40" t="inlineStr">
        <is>
          <t>Not Run</t>
        </is>
      </c>
      <c r="N18" s="40" t="n"/>
      <c r="O18" s="40" t="n"/>
    </row>
    <row r="19"/>
    <row r="20" ht="15" customHeight="1">
      <c r="A20" s="59" t="inlineStr">
        <is>
          <t xml:space="preserve">  ▶  Block: — Bypass xác thực theo biến môi trường  |  SePayController.cs:53 + OrderService.cs:303  |  FT-03 NAC-01; NFR-SEC05</t>
        </is>
      </c>
    </row>
    <row r="21" ht="114.75" customHeight="1">
      <c r="A21" s="25" t="inlineStr">
        <is>
          <t>L2-PAY-10</t>
        </is>
      </c>
      <c r="B21" s="36" t="inlineStr">
        <is>
          <t>Guard-FALSE</t>
        </is>
      </c>
      <c r="C21" s="26" t="inlineStr">
        <is>
          <t>FT-03 NAC-01; NFR-SEC05; BR-009</t>
        </is>
      </c>
      <c r="D21" s="26" t="inlineStr">
        <is>
          <t>FT-03</t>
        </is>
      </c>
      <c r="E21" s="27" t="inlineStr">
        <is>
          <t>P1</t>
        </is>
      </c>
      <c r="F21" s="26" t="inlineStr">
        <is>
          <t>VietTien.API (WebApplicationFactory) + SQL Server</t>
        </is>
      </c>
      <c r="G21" s="26" t="inlineStr">
        <is>
          <t>SQL Server 2022
(Testcontainers.MsSql)
+ Respawn reset</t>
        </is>
      </c>
      <c r="H21" s="26" t="inlineStr">
        <is>
          <t>None</t>
        </is>
      </c>
      <c r="I21" s="26" t="inlineStr">
        <is>
          <t>Đơn ORD-001 PaymentStatus = Pending, FinalPayment = 5.000.000
Biến môi trường TIẾN TRÌNH ASPNETCORE_ENVIRONMENT đặt tường minh = "Development"
(phải khôi phục giá trị cũ trong finally — biến toàn tiến trình)</t>
        </is>
      </c>
      <c r="J21" s="26" t="inlineStr">
        <is>
          <t>POST /api/webhooks/sepay-callback KHÔNG kèm token, body hợp lệ</t>
        </is>
      </c>
      <c r="K21" s="26" t="inlineStr">
        <is>
          <t>THEO SRS: 401; PaymentStatus giữ Pending; 0 PaymentTransaction; ghi security alert
THỰC TẾ: 200 + đơn chuyển Paid đầy đủ</t>
        </is>
      </c>
      <c r="L21" s="33" t="inlineStr">
        <is>
          <t>Yes</t>
        </is>
      </c>
      <c r="M21" s="39" t="inlineStr">
        <is>
          <t>Fail</t>
        </is>
      </c>
      <c r="N21" s="33" t="inlineStr">
        <is>
          <t>GH-01</t>
        </is>
      </c>
      <c r="O21" s="38" t="inlineStr">
        <is>
          <t>🔴 DEFECT GH-01 — BYPASS XÁC THỰC WEBHOOK. Đỏ ngay tầng (a). Log ra đúng câu "[SePay Webhook] WARNING: Token is missing but bypassed because ASPNETCORE_ENVIRONMENT is Development". Hai chốt cùng mở: SePayController.cs:53 bỏ qua return Unauthorized, OrderService.cs:303 bỏ qua throw UnauthorizedAccessException. Điều kiện là biến môi trường TIẾN TRÌNH, không phải IHostEnvironment -&gt; UseEnvironment("Test") không tắt được; trên server chỉ cần biến môi trường sai là cổng thanh toán mở toang. Kèm 2 vấn đề cùng khu vực: token truyền qua QUERY STRING (lọt vào access log/proxy — NFR-SEC06) và cơ chế là API token TĨNH dùng chung, không phải chữ ký per-request như SRS mô tả (không chống được replay).</t>
        </is>
      </c>
      <c r="P21" s="39" t="inlineStr">
        <is>
          <t>✅ ĐÃ FIX  [🟢 ĐÃ FIX + PASS THẬT qua docker + dotnet test (07/08/2026)]
GH-01: đã bỏ hoàn toàn nhánh bypass theo ASPNETCORE_ENVIRONMENT ở cả SePayController và OrderService.ProcessSePayWebhookAsync — thiếu token luôn bị từ chối 401.</t>
        </is>
      </c>
    </row>
    <row r="22" ht="114.75" customHeight="1">
      <c r="A22" s="29" t="inlineStr">
        <is>
          <t>L2-PAY-11</t>
        </is>
      </c>
      <c r="B22" s="36" t="inlineStr">
        <is>
          <t>Guard-TRUE</t>
        </is>
      </c>
      <c r="C22" s="30" t="inlineStr">
        <is>
          <t>FT-03 NAC-01; NFR-SEC05</t>
        </is>
      </c>
      <c r="D22" s="30" t="inlineStr">
        <is>
          <t>FT-03</t>
        </is>
      </c>
      <c r="E22" s="27" t="inlineStr">
        <is>
          <t>P1</t>
        </is>
      </c>
      <c r="F22" s="30" t="inlineStr">
        <is>
          <t>VietTien.API (WebApplicationFactory) + SQL Server</t>
        </is>
      </c>
      <c r="G22" s="30" t="inlineStr">
        <is>
          <t>SQL Server 2022
(Testcontainers.MsSql)
+ Respawn reset</t>
        </is>
      </c>
      <c r="H22" s="30" t="inlineStr">
        <is>
          <t>None</t>
        </is>
      </c>
      <c r="I22" s="30" t="inlineStr">
        <is>
          <t>Đơn ORD-001 PaymentStatus = Pending
ASPNETCORE_ENVIRONMENT != "Development" (khôi phục trong finally)</t>
        </is>
      </c>
      <c r="J22" s="30" t="inlineStr">
        <is>
          <t>POST /api/webhooks/sepay-callback KHÔNG kèm token</t>
        </is>
      </c>
      <c r="K22" s="30" t="inlineStr">
        <is>
          <t>401 "Missing Token"; PaymentStatus giữ Pending; 0 PaymentTransaction</t>
        </is>
      </c>
      <c r="L22" s="31" t="inlineStr">
        <is>
          <t>Yes</t>
        </is>
      </c>
      <c r="M22" s="37" t="inlineStr">
        <is>
          <t>Pass</t>
        </is>
      </c>
      <c r="N22" s="31" t="n"/>
      <c r="O22" s="32" t="n"/>
      <c r="P22" s="37" t="inlineStr">
        <is>
          <t>✅ Pass (không đổi)</t>
        </is>
      </c>
    </row>
  </sheetData>
  <mergeCells count="7">
    <mergeCell ref="A20:O20"/>
    <mergeCell ref="A2:O2"/>
    <mergeCell ref="A10:O10"/>
    <mergeCell ref="A13:O13"/>
    <mergeCell ref="A1:O1"/>
    <mergeCell ref="A5:O5"/>
    <mergeCell ref="A17:O17"/>
  </mergeCells>
  <dataValidations count="3">
    <dataValidation sqref="M6:M9 M11:M12 M14:M16 M18" showDropDown="0" showInputMessage="0" showErrorMessage="0" allowBlank="1" type="list">
      <formula1>"Not Run,Pass,Fail,Blocked,Skip"</formula1>
      <formula2>0</formula2>
    </dataValidation>
    <dataValidation sqref="E6:E9 E11:E12 E14:E16 E18 E21:E22" showDropDown="0" showInputMessage="0" showErrorMessage="0" allowBlank="1" type="list">
      <formula1>"P1,P2,P3"</formula1>
      <formula2>0</formula2>
    </dataValidation>
    <dataValidation sqref="M21:M22" showDropDown="0" showInputMessage="0" showErrorMessage="0" allowBlank="1" type="list">
      <formula1>"Not Run,Pass,Fail,Blocked,Skip,N/A"</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P17"/>
  <sheetViews>
    <sheetView showGridLines="0" topLeftCell="C1" zoomScaleNormal="100" workbookViewId="0">
      <pane ySplit="4" topLeftCell="A5" activePane="bottomLeft" state="frozen"/>
      <selection pane="bottomLeft" activeCell="O15" sqref="O15"/>
    </sheetView>
  </sheetViews>
  <sheetFormatPr baseColWidth="8" defaultColWidth="8.7109375" defaultRowHeight="15"/>
  <cols>
    <col width="12" customWidth="1" min="1" max="1"/>
    <col width="22" customWidth="1" min="2" max="2"/>
    <col width="18" customWidth="1" min="3" max="3"/>
    <col width="10" customWidth="1" min="4" max="4"/>
    <col width="9" customWidth="1" min="5" max="5"/>
    <col width="24" customWidth="1" min="6" max="6"/>
    <col width="18" customWidth="1" min="7" max="7"/>
    <col width="22" customWidth="1" min="8" max="8"/>
    <col width="36" customWidth="1" min="9" max="9"/>
    <col width="32" customWidth="1" min="10" max="10"/>
    <col width="44" customWidth="1" min="11" max="11"/>
    <col width="11" customWidth="1" min="12" max="12"/>
    <col width="10" customWidth="1" min="13" max="14"/>
    <col width="26" customWidth="1" min="15" max="15"/>
    <col width="55" customWidth="1" min="16" max="16"/>
  </cols>
  <sheetData>
    <row r="1" ht="24" customHeight="1">
      <c r="A1" s="1" t="inlineStr">
        <is>
          <t>L2-OrderFulfilment  |  PlaceOrder -&gt; Confirm (FIFO) -&gt; Warehouse accept -&gt; Goods issue -&gt; stock decrement  |  FT-01/FT-04/FT-08</t>
        </is>
      </c>
    </row>
    <row r="2" ht="15" customHeight="1">
      <c r="A2" s="58" t="inlineStr">
        <is>
          <t>HOW TO USE:  (1) BẬT Docker Desktop rồi kiểm tra docker ps  (2) Testcontainers.MsSql + Respawn giữa các test  (3) Job nền: gọi trực tiếp IScheduledJob.RunAsync(ct), KHÔNG chờ scheduler  (4) Cập nhật Status  (5) Ghi Defect ID khi Fail</t>
        </is>
      </c>
    </row>
    <row r="3"/>
    <row r="4" ht="27.75" customHeight="1">
      <c r="A4" s="24" t="inlineStr">
        <is>
          <t>Test ID</t>
        </is>
      </c>
      <c r="B4" s="24" t="inlineStr">
        <is>
          <t>Coverage Technique</t>
        </is>
      </c>
      <c r="C4" s="24" t="inlineStr">
        <is>
          <t>SRS Reference</t>
        </is>
      </c>
      <c r="D4" s="24" t="inlineStr">
        <is>
          <t>Feature</t>
        </is>
      </c>
      <c r="E4" s="24" t="inlineStr">
        <is>
          <t>Priority</t>
        </is>
      </c>
      <c r="F4" s="24" t="inlineStr">
        <is>
          <t>Services Involved</t>
        </is>
      </c>
      <c r="G4" s="24" t="inlineStr">
        <is>
          <t>Infrastructure (Testcontainers)</t>
        </is>
      </c>
      <c r="H4" s="24" t="inlineStr">
        <is>
          <t>External Mocks (WireMock.Net / fakes)</t>
        </is>
      </c>
      <c r="I4" s="24" t="inlineStr">
        <is>
          <t>Given (DB State / Setup)</t>
        </is>
      </c>
      <c r="J4" s="24" t="inlineStr">
        <is>
          <t>When (Action / HTTP Call)</t>
        </is>
      </c>
      <c r="K4" s="24" t="inlineStr">
        <is>
          <t>Then (Expected DB State + Notifications + Response)</t>
        </is>
      </c>
      <c r="L4" s="24" t="inlineStr">
        <is>
          <t>Negative?</t>
        </is>
      </c>
      <c r="M4" s="24" t="inlineStr">
        <is>
          <t>Status</t>
        </is>
      </c>
      <c r="N4" s="24" t="inlineStr">
        <is>
          <t>Defect ID</t>
        </is>
      </c>
      <c r="O4" s="24" t="inlineStr">
        <is>
          <t>Notes</t>
        </is>
      </c>
      <c r="P4" s="24" t="inlineStr">
        <is>
          <t>Fix Status</t>
        </is>
      </c>
    </row>
    <row r="5" ht="18" customHeight="1">
      <c r="A5" s="59" t="inlineStr">
        <is>
          <t xml:space="preserve">  ▶  Block: PlaceOrderAsync — checkout with real DB  |  FT-01 AC-04/05, NAC-03/04; FT-02 NAC-01</t>
        </is>
      </c>
    </row>
    <row r="6" ht="72.75" customHeight="1">
      <c r="A6" s="25" t="inlineStr">
        <is>
          <t>L2-FUL-01</t>
        </is>
      </c>
      <c r="B6" s="36" t="inlineStr">
        <is>
          <t>Happy Path + Transaction Boundary</t>
        </is>
      </c>
      <c r="C6" s="26" t="inlineStr">
        <is>
          <t>FT-01 AC-05; FT-03 AC-04; BR-030</t>
        </is>
      </c>
      <c r="D6" s="26" t="inlineStr">
        <is>
          <t>FT-01</t>
        </is>
      </c>
      <c r="E6" s="27" t="inlineStr">
        <is>
          <t>P1</t>
        </is>
      </c>
      <c r="F6" s="26" t="inlineStr">
        <is>
          <t>VietTien.API (WebApplicationFactory) + SQL Server + SignalR</t>
        </is>
      </c>
      <c r="G6" s="26" t="inlineStr">
        <is>
          <t>SQL Server 2022
(Testcontainers.MsSql)
+ Respawn reset</t>
        </is>
      </c>
      <c r="H6" s="26" t="inlineStr">
        <is>
          <t>SMTP -&gt; smtp4dev container (capture invoice email)</t>
        </is>
      </c>
      <c r="I6" s="26" t="inlineStr">
        <is>
          <t>Seed: customer U1 with cart (2 items, in stock, prices locked &lt; 24h)</t>
        </is>
      </c>
      <c r="J6" s="26" t="inlineStr">
        <is>
          <t>POST /api/orders (checkout) as U1</t>
        </is>
      </c>
      <c r="K6" s="26" t="inlineStr">
        <is>
          <t>HTTP 200; DB: Order 'Order Received' + OrderItems match cart
smtp4dev: 1 invoice email captured with PDF/lines
Sales role notifications created; cart cleared
All rows in one transaction</t>
        </is>
      </c>
      <c r="L6" s="26" t="inlineStr">
        <is>
          <t>No</t>
        </is>
      </c>
      <c r="M6" s="37" t="inlineStr">
        <is>
          <t>Pass</t>
        </is>
      </c>
      <c r="N6" s="26" t="n"/>
      <c r="O6" s="28" t="n"/>
      <c r="P6" s="37" t="inlineStr">
        <is>
          <t>✅ Pass (không đổi)</t>
        </is>
      </c>
    </row>
    <row r="7" ht="46.5" customHeight="1">
      <c r="A7" s="29" t="inlineStr">
        <is>
          <t>L2-FUL-02</t>
        </is>
      </c>
      <c r="B7" s="36" t="inlineStr">
        <is>
          <t>Error Path + Rollback</t>
        </is>
      </c>
      <c r="C7" s="30" t="inlineStr">
        <is>
          <t>FT-01 NAC-03; FT-05 NAC-01</t>
        </is>
      </c>
      <c r="D7" s="30" t="inlineStr">
        <is>
          <t>FT-01</t>
        </is>
      </c>
      <c r="E7" s="27" t="inlineStr">
        <is>
          <t>P1</t>
        </is>
      </c>
      <c r="F7" s="30" t="inlineStr">
        <is>
          <t>VietTien.API (WebApplicationFactory) + SQL Server</t>
        </is>
      </c>
      <c r="G7" s="30" t="inlineStr">
        <is>
          <t>SQL Server 2022
(Testcontainers.MsSql)
+ Respawn reset</t>
        </is>
      </c>
      <c r="H7" s="30" t="inlineStr">
        <is>
          <t>None</t>
        </is>
      </c>
      <c r="I7" s="30" t="inlineStr">
        <is>
          <t>Cart: P1 qty=5; Inventory(P1) = 0 (depleted after add-to-cart)</t>
        </is>
      </c>
      <c r="J7" s="30" t="inlineStr">
        <is>
          <t>POST /api/orders as U1</t>
        </is>
      </c>
      <c r="K7" s="30" t="inlineStr">
        <is>
          <t>HTTP 4xx naming product
DB: NO Order row, NO OrderItems, cart intact, stock untouched — full rollback</t>
        </is>
      </c>
      <c r="L7" s="31" t="inlineStr">
        <is>
          <t>Yes</t>
        </is>
      </c>
      <c r="M7" s="37" t="inlineStr">
        <is>
          <t>Pass</t>
        </is>
      </c>
      <c r="N7" s="30" t="n"/>
      <c r="O7" s="32" t="n"/>
      <c r="P7" s="37" t="inlineStr">
        <is>
          <t>✅ Pass (không đổi)</t>
        </is>
      </c>
    </row>
    <row r="8" ht="46.5" customHeight="1">
      <c r="A8" s="25" t="inlineStr">
        <is>
          <t>L2-FUL-03</t>
        </is>
      </c>
      <c r="B8" s="36" t="inlineStr">
        <is>
          <t>BVA + Error Path</t>
        </is>
      </c>
      <c r="C8" s="26" t="inlineStr">
        <is>
          <t>FT-01 NAC-03; BV-01; BR-025</t>
        </is>
      </c>
      <c r="D8" s="26" t="inlineStr">
        <is>
          <t>FT-01</t>
        </is>
      </c>
      <c r="E8" s="27" t="inlineStr">
        <is>
          <t>P1</t>
        </is>
      </c>
      <c r="F8" s="26" t="inlineStr">
        <is>
          <t>VietTien.API (WebApplicationFactory) + SQL Server</t>
        </is>
      </c>
      <c r="G8" s="26" t="inlineStr">
        <is>
          <t>SQL Server 2022
(Testcontainers.MsSql)
+ Respawn reset</t>
        </is>
      </c>
      <c r="H8" s="26" t="inlineStr">
        <is>
          <t>None</t>
        </is>
      </c>
      <c r="I8" s="26" t="inlineStr">
        <is>
          <t>Cart PriceLockedAt = NOW - 24h01m (Price Expired)</t>
        </is>
      </c>
      <c r="J8" s="26" t="inlineStr">
        <is>
          <t>POST /api/orders as U1</t>
        </is>
      </c>
      <c r="K8" s="26" t="inlineStr">
        <is>
          <t>HTTP 4xx: must review refreshed prices
DB: no order created</t>
        </is>
      </c>
      <c r="L8" s="33" t="inlineStr">
        <is>
          <t>Yes</t>
        </is>
      </c>
      <c r="M8" s="39" t="inlineStr">
        <is>
          <t>Fail</t>
        </is>
      </c>
      <c r="N8" s="33" t="inlineStr">
        <is>
          <t>GH-08</t>
        </is>
      </c>
      <c r="O8" s="38" t="inlineStr">
        <is>
          <t>🔴 GH-08 — KHÔNG CƯỠNG CHẾ HẠN GIỮ GIÁ 24H. Giỏ có PriceSnapshot quá 24h vẫn checkout được. Vi phạm FT-01 NAC-03 + BR-025. Trùng nguyên nhân với L1-ORD-09 (Blocked ở tầng unit vì không có logic để test).  |  🔴 DỰ KIẾN ĐỎ — spec gap đã chứng minh ở L1: chưa có logic chặn checkout khi snapshot giá quá 24h — L1-ORD-09 đang Blocked vì lý do này</t>
        </is>
      </c>
      <c r="P8" s="39" t="inlineStr">
        <is>
          <t>✅ ĐÃ FIX  [🟢 ĐÃ FIX + PASS THẬT qua docker + dotnet test (07/08/2026)]
GH-08: PlaceOrderAsync nay check hạn giữ giá 24h (cartEntity.UpdatedAt) TRƯỚC khi gọi CartService.GetCartAsync (hàm đó tự làm mới giá ngay khi đọc, trước đây khiến check sau luôn thấy chưa hết hạn).</t>
        </is>
      </c>
    </row>
    <row r="9" ht="46.5" customHeight="1">
      <c r="A9" s="29" t="inlineStr">
        <is>
          <t>L2-FUL-04</t>
        </is>
      </c>
      <c r="B9" s="36" t="inlineStr">
        <is>
          <t>Error Path</t>
        </is>
      </c>
      <c r="C9" s="30" t="inlineStr">
        <is>
          <t>FT-02 NAC-01; BR-005</t>
        </is>
      </c>
      <c r="D9" s="30" t="inlineStr">
        <is>
          <t>FT-02</t>
        </is>
      </c>
      <c r="E9" s="27" t="inlineStr">
        <is>
          <t>P1</t>
        </is>
      </c>
      <c r="F9" s="30" t="inlineStr">
        <is>
          <t>VietTien.API (WebApplicationFactory) + SQL Server</t>
        </is>
      </c>
      <c r="G9" s="30" t="inlineStr">
        <is>
          <t>SQL Server 2022
(Testcontainers.MsSql)
+ Respawn reset</t>
        </is>
      </c>
      <c r="H9" s="30" t="inlineStr">
        <is>
          <t>None</t>
        </is>
      </c>
      <c r="I9" s="30" t="inlineStr">
        <is>
          <t>Cart true total = 105,000,000 (server-side)
Request payload tampered to claim 99,999,999</t>
        </is>
      </c>
      <c r="J9" s="30" t="inlineStr">
        <is>
          <t>POST /api/orders with tampered body</t>
        </is>
      </c>
      <c r="K9" s="30" t="inlineStr">
        <is>
          <t>HTTP 400; security alert persisted/logged ('Pricing Bypass Attempt')
DB: no order</t>
        </is>
      </c>
      <c r="L9" s="31" t="inlineStr">
        <is>
          <t>Yes</t>
        </is>
      </c>
      <c r="M9" s="37" t="inlineStr">
        <is>
          <t>Pass</t>
        </is>
      </c>
      <c r="N9" s="30" t="n"/>
      <c r="O9" s="32" t="n"/>
      <c r="P9" s="37" t="inlineStr">
        <is>
          <t>✅ Pass (không đổi)</t>
        </is>
      </c>
    </row>
    <row r="10" ht="18" customHeight="1">
      <c r="A10" s="59" t="inlineStr">
        <is>
          <t xml:space="preserve">  ▶  Block: Confirm -&gt; FIFO queue -&gt; Warehouse accept  |  FT-04 AC-01; BV-03; 4.4.1</t>
        </is>
      </c>
    </row>
    <row r="11" ht="60" customHeight="1">
      <c r="A11" s="25" t="inlineStr">
        <is>
          <t>L2-FUL-05</t>
        </is>
      </c>
      <c r="B11" s="36" t="inlineStr">
        <is>
          <t>Happy Path + Workflow</t>
        </is>
      </c>
      <c r="C11" s="26" t="inlineStr">
        <is>
          <t>FT-05 AC-01; BR-011</t>
        </is>
      </c>
      <c r="D11" s="26" t="inlineStr">
        <is>
          <t>FT-05</t>
        </is>
      </c>
      <c r="E11" s="27" t="inlineStr">
        <is>
          <t>P1</t>
        </is>
      </c>
      <c r="F11" s="26" t="inlineStr">
        <is>
          <t>VietTien.API (WebApplicationFactory) + SQL Server + SignalR</t>
        </is>
      </c>
      <c r="G11" s="26" t="inlineStr">
        <is>
          <t>SQL Server 2022
(Testcontainers.MsSql)
+ Respawn reset</t>
        </is>
      </c>
      <c r="H11" s="26" t="inlineStr">
        <is>
          <t>None</t>
        </is>
      </c>
      <c r="I11" s="26" t="inlineStr">
        <is>
          <t>Orders A (confirmed-eligible, placed 08:00) and B (08:05), both Paid</t>
        </is>
      </c>
      <c r="J11" s="26" t="inlineStr">
        <is>
          <t>Sales confirms A then B via POST /api/orders/{id}/confirm; warehouse GETs /api/warehouse/orders</t>
        </is>
      </c>
      <c r="K11" s="26" t="inlineStr">
        <is>
          <t>DB: both Confirmed; picking sequence(A) &lt; sequence(B)
Warehouse list returns A before B (FIFO)
SalesHub/WarehouseHub notifications observed</t>
        </is>
      </c>
      <c r="L11" s="26" t="inlineStr">
        <is>
          <t>No</t>
        </is>
      </c>
      <c r="M11" s="37" t="inlineStr">
        <is>
          <t>Pass</t>
        </is>
      </c>
      <c r="N11" s="26" t="n"/>
      <c r="O11" s="28" t="n"/>
      <c r="P11" s="37" t="inlineStr">
        <is>
          <t>✅ Pass (không đổi)</t>
        </is>
      </c>
    </row>
    <row r="12" ht="33.75" customHeight="1">
      <c r="A12" s="29" t="inlineStr">
        <is>
          <t>L2-FUL-06</t>
        </is>
      </c>
      <c r="B12" s="36" t="inlineStr">
        <is>
          <t>Error Path</t>
        </is>
      </c>
      <c r="C12" s="30" t="inlineStr">
        <is>
          <t>FT-05 NAC-05</t>
        </is>
      </c>
      <c r="D12" s="30" t="inlineStr">
        <is>
          <t>FT-05</t>
        </is>
      </c>
      <c r="E12" s="27" t="inlineStr">
        <is>
          <t>P1</t>
        </is>
      </c>
      <c r="F12" s="30" t="inlineStr">
        <is>
          <t>VietTien.API (WebApplicationFactory) + SQL Server</t>
        </is>
      </c>
      <c r="G12" s="30" t="inlineStr">
        <is>
          <t>SQL Server 2022
(Testcontainers.MsSql)
+ Respawn reset</t>
        </is>
      </c>
      <c r="H12" s="30" t="inlineStr">
        <is>
          <t>None</t>
        </is>
      </c>
      <c r="I12" s="30" t="inlineStr">
        <is>
          <t>Order C status = Cancelled</t>
        </is>
      </c>
      <c r="J12" s="30" t="inlineStr">
        <is>
          <t>POST /api/orders/C/confirm</t>
        </is>
      </c>
      <c r="K12" s="30" t="inlineStr">
        <is>
          <t>HTTP 409 'order is closed'; DB unchanged; no picking ticket</t>
        </is>
      </c>
      <c r="L12" s="31" t="inlineStr">
        <is>
          <t>Yes</t>
        </is>
      </c>
      <c r="M12" s="39" t="inlineStr">
        <is>
          <t>Fail</t>
        </is>
      </c>
      <c r="N12" s="31" t="inlineStr">
        <is>
          <t>GH-09</t>
        </is>
      </c>
      <c r="O12" s="41" t="inlineStr">
        <is>
          <t>🟡 GH-09 — MÃ LỖI SAI: trả 400 thay vì 409 khi thao tác sai trạng thái. Mức độ thấp (hành vi chặn vẫn đúng, chỉ sai mã HTTP) nhưng client không phân biệt được "dữ liệu sai" với "sai trạng thái".</t>
        </is>
      </c>
      <c r="P12" s="39" t="inlineStr">
        <is>
          <t>✅ ĐÃ FIX  [🟢 ĐÃ FIX + PASS THẬT qua docker + dotnet test (07/08/2026)]
GH-09: bỏ catch(InvalidOperationException) cục bộ ở OrderController.ConfirmSalesOrder — để ExceptionHandlingMiddleware map đúng 409.</t>
        </is>
      </c>
    </row>
    <row r="13" ht="18" customHeight="1">
      <c r="A13" s="59" t="inlineStr">
        <is>
          <t xml:space="preserve">  ▶  Block: Goods issue &amp; walk-in — atomic stock  |  FT-04 AC-02, NAC-03; FT-08 NAC-03</t>
        </is>
      </c>
    </row>
    <row r="14" ht="46.5" customHeight="1">
      <c r="A14" s="25" t="inlineStr">
        <is>
          <t>L2-FUL-07</t>
        </is>
      </c>
      <c r="B14" s="36" t="inlineStr">
        <is>
          <t>Happy Path + Transaction Boundary</t>
        </is>
      </c>
      <c r="C14" s="26" t="inlineStr">
        <is>
          <t>FT-05 AC-05; BV-02; BR-032; BR-034</t>
        </is>
      </c>
      <c r="D14" s="26" t="inlineStr">
        <is>
          <t>FT-05</t>
        </is>
      </c>
      <c r="E14" s="27" t="inlineStr">
        <is>
          <t>P1</t>
        </is>
      </c>
      <c r="F14" s="26" t="inlineStr">
        <is>
          <t>VietTien.API (WebApplicationFactory) + SQL Server</t>
        </is>
      </c>
      <c r="G14" s="26" t="inlineStr">
        <is>
          <t>SQL Server 2022
(Testcontainers.MsSql)
+ Respawn reset</t>
        </is>
      </c>
      <c r="H14" s="26" t="inlineStr">
        <is>
          <t>None</t>
        </is>
      </c>
      <c r="I14" s="26" t="inlineStr">
        <is>
          <t>Order O1 packed lines: P1 qty=4; Inventory(P1)=10, warehouse staff JWT</t>
        </is>
      </c>
      <c r="J14" s="26" t="inlineStr">
        <is>
          <t>POST /api/warehouse/orders/O1/goods-issue (PostGoodsIssue)</t>
        </is>
      </c>
      <c r="K14" s="26" t="inlineStr">
        <is>
          <t>DB: Inventory(P1)=6; StockTransaction rows created; order advances
Decrement + status + transaction log committed atomically</t>
        </is>
      </c>
      <c r="L14" s="26" t="inlineStr">
        <is>
          <t>No</t>
        </is>
      </c>
      <c r="M14" s="37" t="inlineStr">
        <is>
          <t>Pass</t>
        </is>
      </c>
      <c r="N14" s="33" t="n"/>
      <c r="O14" s="28" t="n"/>
      <c r="P14" s="37" t="inlineStr">
        <is>
          <t>✅ Pass (không đổi)</t>
        </is>
      </c>
    </row>
    <row r="15" ht="46.5" customHeight="1">
      <c r="A15" s="29" t="inlineStr">
        <is>
          <t>L2-FUL-08</t>
        </is>
      </c>
      <c r="B15" s="36" t="inlineStr">
        <is>
          <t>Concurrency</t>
        </is>
      </c>
      <c r="C15" s="30" t="inlineStr">
        <is>
          <t>FT-05 NAC-01; BV-01; BR-032; NFR-A05</t>
        </is>
      </c>
      <c r="D15" s="30" t="inlineStr">
        <is>
          <t>FT-05</t>
        </is>
      </c>
      <c r="E15" s="27" t="inlineStr">
        <is>
          <t>P1</t>
        </is>
      </c>
      <c r="F15" s="30" t="inlineStr">
        <is>
          <t>VietTien.API (WebApplicationFactory) + SQL Server</t>
        </is>
      </c>
      <c r="G15" s="30" t="inlineStr">
        <is>
          <t>SQL Server 2022
(Testcontainers.MsSql)
+ Respawn reset</t>
        </is>
      </c>
      <c r="H15" s="30" t="inlineStr">
        <is>
          <t>None</t>
        </is>
      </c>
      <c r="I15" s="30" t="inlineStr">
        <is>
          <t>Inventory(P1) = 10
Two sales staff prepare walk-in invoices for P1 qty=10 each</t>
        </is>
      </c>
      <c r="J15" s="30" t="inlineStr">
        <is>
          <t>Fire both POST /api/orders/place-direct-order simultaneously (barrier)</t>
        </is>
      </c>
      <c r="K15" s="30" t="inlineStr">
        <is>
          <t>Exactly ONE invoice succeeds; other gets 'Stock depleted by another transaction...'
DB: Inventory(P1) = 0 (never negative); exactly 1 invoice + 1 history append</t>
        </is>
      </c>
      <c r="L15" s="30" t="inlineStr">
        <is>
          <t>No</t>
        </is>
      </c>
      <c r="M15" s="37" t="inlineStr">
        <is>
          <t>Pass</t>
        </is>
      </c>
      <c r="N15" s="30" t="n"/>
      <c r="O15" s="32" t="n"/>
      <c r="P15" s="37" t="inlineStr">
        <is>
          <t>✅ Pass (không đổi)</t>
        </is>
      </c>
    </row>
    <row r="16" ht="15" customHeight="1">
      <c r="A16" s="60" t="inlineStr">
        <is>
          <t xml:space="preserve">  ▶  Template Row — copy for new integration cases</t>
        </is>
      </c>
    </row>
    <row r="17" ht="42.75" customHeight="1">
      <c r="A17" s="40" t="inlineStr">
        <is>
          <t>L2-Ord-[NN]</t>
        </is>
      </c>
      <c r="B17" s="40" t="inlineStr">
        <is>
          <t>[Happy Path | Error Path | BVA | Idempotency | Transaction Boundary | Concurrency | Workflow]</t>
        </is>
      </c>
      <c r="C17" s="40" t="inlineStr">
        <is>
          <t>[AC/NAC/BV/BR-xx | TBD]</t>
        </is>
      </c>
      <c r="D17" s="40" t="inlineStr">
        <is>
          <t>[FT-xx]</t>
        </is>
      </c>
      <c r="E17" s="40" t="inlineStr">
        <is>
          <t>P2</t>
        </is>
      </c>
      <c r="F17" s="40" t="inlineStr">
        <is>
          <t>VietTien.API + SQL Server [+ SignalR]</t>
        </is>
      </c>
      <c r="G17" s="40" t="inlineStr">
        <is>
          <t>SQL Server 2022 (Testcontainers.MsSql)</t>
        </is>
      </c>
      <c r="H17" s="40" t="inlineStr">
        <is>
          <t>[WireMock.Net stub / smtp4dev]  None if no external calls</t>
        </is>
      </c>
      <c r="I17" s="40" t="inlineStr">
        <is>
          <t>[Seed rows: table.column = value]</t>
        </is>
      </c>
      <c r="J17" s="40" t="inlineStr">
        <is>
          <t>[HTTP verb /api/... {body} OR trigger job]</t>
        </is>
      </c>
      <c r="K17" s="40" t="inlineStr">
        <is>
          <t>[DB: table.column = expected  Notifications/SignalR  HTTP status  NEVER: for negative]</t>
        </is>
      </c>
      <c r="L17" s="40" t="inlineStr">
        <is>
          <t>No</t>
        </is>
      </c>
      <c r="M17" s="40" t="inlineStr">
        <is>
          <t>Not Run</t>
        </is>
      </c>
      <c r="N17" s="40" t="n"/>
      <c r="O17" s="40" t="n"/>
    </row>
  </sheetData>
  <mergeCells count="6">
    <mergeCell ref="A16:O16"/>
    <mergeCell ref="A2:O2"/>
    <mergeCell ref="A10:O10"/>
    <mergeCell ref="A13:O13"/>
    <mergeCell ref="A1:O1"/>
    <mergeCell ref="A5:O5"/>
  </mergeCells>
  <dataValidations count="2">
    <dataValidation sqref="M6:M9 M11:M12 M14:M15 M17" showDropDown="0" showInputMessage="0" showErrorMessage="0" allowBlank="1" type="list">
      <formula1>"Not Run,Pass,Fail,Blocked,Skip"</formula1>
      <formula2>0</formula2>
    </dataValidation>
    <dataValidation sqref="E6:E9 E11:E12 E14:E15 E17" showDropDown="0" showInputMessage="0" showErrorMessage="0" allowBlank="1" type="list">
      <formula1>"P1,P2,P3"</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P14"/>
  <sheetViews>
    <sheetView showGridLines="0" topLeftCell="C1" zoomScaleNormal="100" workbookViewId="0">
      <pane ySplit="4" topLeftCell="A5" activePane="bottomLeft" state="frozen"/>
      <selection pane="bottomLeft" activeCell="O12" sqref="O12"/>
    </sheetView>
  </sheetViews>
  <sheetFormatPr baseColWidth="8" defaultColWidth="8.7109375" defaultRowHeight="15"/>
  <cols>
    <col width="12" customWidth="1" min="1" max="1"/>
    <col width="22" customWidth="1" min="2" max="2"/>
    <col width="18" customWidth="1" min="3" max="3"/>
    <col width="10" customWidth="1" min="4" max="4"/>
    <col width="9" customWidth="1" min="5" max="5"/>
    <col width="24" customWidth="1" min="6" max="6"/>
    <col width="18" customWidth="1" min="7" max="7"/>
    <col width="22" customWidth="1" min="8" max="8"/>
    <col width="36" customWidth="1" min="9" max="9"/>
    <col width="32" customWidth="1" min="10" max="10"/>
    <col width="44" customWidth="1" min="11" max="11"/>
    <col width="11" customWidth="1" min="12" max="12"/>
    <col width="10" customWidth="1" min="13" max="14"/>
    <col width="26" customWidth="1" min="15" max="15"/>
    <col width="55" customWidth="1" min="16" max="16"/>
  </cols>
  <sheetData>
    <row r="1" ht="24" customHeight="1">
      <c r="A1" s="1" t="inlineStr">
        <is>
          <t>L2-Quotation  |  full negotiation chain with real DB: request -&gt; sales version -&gt; manager -&gt; CEO -&gt; customer  |  FT-02; 4.4.3; BR-02/BR-04</t>
        </is>
      </c>
    </row>
    <row r="2" ht="15" customHeight="1">
      <c r="A2" s="58" t="inlineStr">
        <is>
          <t>HOW TO USE:  (1) BẬT Docker Desktop rồi kiểm tra docker ps  (2) Testcontainers.MsSql + Respawn giữa các test  (3) Job nền: gọi trực tiếp IScheduledJob.RunAsync(ct), KHÔNG chờ scheduler  (4) Cập nhật Status  (5) Ghi Defect ID khi Fail</t>
        </is>
      </c>
    </row>
    <row r="4" ht="27.75" customHeight="1">
      <c r="A4" s="24" t="inlineStr">
        <is>
          <t>Test ID</t>
        </is>
      </c>
      <c r="B4" s="24" t="inlineStr">
        <is>
          <t>Coverage Technique</t>
        </is>
      </c>
      <c r="C4" s="24" t="inlineStr">
        <is>
          <t>SRS Reference</t>
        </is>
      </c>
      <c r="D4" s="24" t="inlineStr">
        <is>
          <t>Feature</t>
        </is>
      </c>
      <c r="E4" s="24" t="inlineStr">
        <is>
          <t>Priority</t>
        </is>
      </c>
      <c r="F4" s="24" t="inlineStr">
        <is>
          <t>Services Involved</t>
        </is>
      </c>
      <c r="G4" s="24" t="inlineStr">
        <is>
          <t>Infrastructure (Testcontainers)</t>
        </is>
      </c>
      <c r="H4" s="24" t="inlineStr">
        <is>
          <t>External Mocks (WireMock.Net / fakes)</t>
        </is>
      </c>
      <c r="I4" s="24" t="inlineStr">
        <is>
          <t>Given (DB State / Setup)</t>
        </is>
      </c>
      <c r="J4" s="24" t="inlineStr">
        <is>
          <t>When (Action / HTTP Call)</t>
        </is>
      </c>
      <c r="K4" s="24" t="inlineStr">
        <is>
          <t>Then (Expected DB State + Notifications + Response)</t>
        </is>
      </c>
      <c r="L4" s="24" t="inlineStr">
        <is>
          <t>Negative?</t>
        </is>
      </c>
      <c r="M4" s="24" t="inlineStr">
        <is>
          <t>Status</t>
        </is>
      </c>
      <c r="N4" s="24" t="inlineStr">
        <is>
          <t>Defect ID</t>
        </is>
      </c>
      <c r="O4" s="24" t="inlineStr">
        <is>
          <t>Notes</t>
        </is>
      </c>
      <c r="P4" s="24" t="inlineStr">
        <is>
          <t>Fix Status</t>
        </is>
      </c>
    </row>
    <row r="5" ht="18" customHeight="1">
      <c r="A5" s="59" t="inlineStr">
        <is>
          <t xml:space="preserve">  ▶  Block: Full approval chain  |  4.4.3 rows 1-6</t>
        </is>
      </c>
    </row>
    <row r="6" ht="60" customHeight="1">
      <c r="A6" s="25" t="inlineStr">
        <is>
          <t>L2-QUO-01</t>
        </is>
      </c>
      <c r="B6" s="36" t="inlineStr">
        <is>
          <t>Workflow — Happy Path</t>
        </is>
      </c>
      <c r="C6" s="26" t="inlineStr">
        <is>
          <t>FT-02 AC-04; AC-05; BR-027</t>
        </is>
      </c>
      <c r="D6" s="26" t="inlineStr">
        <is>
          <t>FT-02</t>
        </is>
      </c>
      <c r="E6" s="27" t="inlineStr">
        <is>
          <t>P1</t>
        </is>
      </c>
      <c r="F6" s="26" t="inlineStr">
        <is>
          <t>VietTien.API (WebApplicationFactory) + SQL Server + SignalR (ChatHub)</t>
        </is>
      </c>
      <c r="G6" s="26" t="inlineStr">
        <is>
          <t>SQL Server 2022
(Testcontainers.MsSql)
+ Respawn reset</t>
        </is>
      </c>
      <c r="H6" s="26" t="inlineStr">
        <is>
          <t>None</t>
        </is>
      </c>
      <c r="I6" s="26" t="inlineStr">
        <is>
          <t>Customer U1 cart total = 120,000,000; no negotiated price
Users seeded: sales S1, manager M1, CEO C1 with role JWTs</t>
        </is>
      </c>
      <c r="J6" s="26" t="inlineStr">
        <is>
          <t>1) U1 POST /api/Quotation/from-cart  2) S1 pick-up + create version  3) M1 approve  4) C1 approve  5) U1 accept</t>
        </is>
      </c>
      <c r="K6" s="26" t="inlineStr">
        <is>
          <t>DB after each step matches 4.4.3: Requested -&gt; Under Sales Review -&gt; Waiting Approval -&gt; Proposed -&gt; Accepted
CustomerProfile.NegotiatedPrice persisted
Notifications created at each hop</t>
        </is>
      </c>
      <c r="L6" s="26" t="inlineStr">
        <is>
          <t>No</t>
        </is>
      </c>
      <c r="M6" s="37" t="inlineStr">
        <is>
          <t>Pass</t>
        </is>
      </c>
      <c r="N6" s="26" t="n"/>
      <c r="O6" s="28" t="n"/>
      <c r="P6" s="37" t="inlineStr">
        <is>
          <t>✅ Pass (không đổi)</t>
        </is>
      </c>
    </row>
    <row r="7" ht="33.75" customHeight="1">
      <c r="A7" s="29" t="inlineStr">
        <is>
          <t>L2-QUO-02</t>
        </is>
      </c>
      <c r="B7" s="36" t="inlineStr">
        <is>
          <t>Error Path</t>
        </is>
      </c>
      <c r="C7" s="30" t="inlineStr">
        <is>
          <t>FT-02 NAC-05; NFR-SEC03</t>
        </is>
      </c>
      <c r="D7" s="30" t="inlineStr">
        <is>
          <t>FT-02</t>
        </is>
      </c>
      <c r="E7" s="27" t="inlineStr">
        <is>
          <t>P1</t>
        </is>
      </c>
      <c r="F7" s="30" t="inlineStr">
        <is>
          <t>VietTien.API (WebApplicationFactory) + SQL Server</t>
        </is>
      </c>
      <c r="G7" s="30" t="inlineStr">
        <is>
          <t>SQL Server 2022
(Testcontainers.MsSql)
+ Respawn reset</t>
        </is>
      </c>
      <c r="H7" s="30" t="inlineStr">
        <is>
          <t>None</t>
        </is>
      </c>
      <c r="I7" s="30" t="inlineStr">
        <is>
          <t>Quotation Q1 Waiting Approval; caller = sales staff JWT</t>
        </is>
      </c>
      <c r="J7" s="30" t="inlineStr">
        <is>
          <t>POST /api/Quotation/{id}/ceo-decision as SALES role</t>
        </is>
      </c>
      <c r="K7" s="30" t="inlineStr">
        <is>
          <t>HTTP 403; DB status unchanged</t>
        </is>
      </c>
      <c r="L7" s="31" t="inlineStr">
        <is>
          <t>Yes</t>
        </is>
      </c>
      <c r="M7" s="37" t="inlineStr">
        <is>
          <t>Pass</t>
        </is>
      </c>
      <c r="N7" s="30" t="n"/>
      <c r="O7" s="32" t="n"/>
      <c r="P7" s="37" t="inlineStr">
        <is>
          <t>✅ Pass (không đổi)</t>
        </is>
      </c>
    </row>
    <row r="8" ht="46.5" customHeight="1">
      <c r="A8" s="25" t="inlineStr">
        <is>
          <t>L2-QUO-03</t>
        </is>
      </c>
      <c r="B8" s="36" t="inlineStr">
        <is>
          <t>BVA</t>
        </is>
      </c>
      <c r="C8" s="26" t="inlineStr">
        <is>
          <t>FT-02 NAC-04</t>
        </is>
      </c>
      <c r="D8" s="26" t="inlineStr">
        <is>
          <t>FT-02</t>
        </is>
      </c>
      <c r="E8" s="27" t="inlineStr">
        <is>
          <t>P1</t>
        </is>
      </c>
      <c r="F8" s="26" t="inlineStr">
        <is>
          <t>VietTien.API (WebApplicationFactory) + SQL Server</t>
        </is>
      </c>
      <c r="G8" s="26" t="inlineStr">
        <is>
          <t>SQL Server 2022
(Testcontainers.MsSql)
+ Respawn reset</t>
        </is>
      </c>
      <c r="H8" s="26" t="inlineStr">
        <is>
          <t>None</t>
        </is>
      </c>
      <c r="I8" s="26" t="inlineStr">
        <is>
          <t>Q1 Proposed to Customer, negotiation round = 5</t>
        </is>
      </c>
      <c r="J8" s="26" t="inlineStr">
        <is>
          <t>U1 POST customer-decision {accept:false} (5th rejection)</t>
        </is>
      </c>
      <c r="K8" s="26" t="inlineStr">
        <is>
          <t>DB: Q1 = Cancelled; further round rejected with 409/422
Escalation notification created</t>
        </is>
      </c>
      <c r="L8" s="33" t="inlineStr">
        <is>
          <t>Yes</t>
        </is>
      </c>
      <c r="M8" s="37" t="inlineStr">
        <is>
          <t>Pass</t>
        </is>
      </c>
      <c r="N8" s="26" t="n"/>
      <c r="O8" s="28" t="n"/>
      <c r="P8" s="37" t="inlineStr">
        <is>
          <t>✅ Pass (không đổi)</t>
        </is>
      </c>
    </row>
    <row r="9" ht="46.5" customHeight="1">
      <c r="A9" s="29" t="inlineStr">
        <is>
          <t>L2-QUO-04</t>
        </is>
      </c>
      <c r="B9" s="36" t="inlineStr">
        <is>
          <t>Workflow — cross-module</t>
        </is>
      </c>
      <c r="C9" s="30" t="inlineStr">
        <is>
          <t>FT-02 AC-05; NAC-02; BV-01; BR-026</t>
        </is>
      </c>
      <c r="D9" s="30" t="inlineStr">
        <is>
          <t>FT-02</t>
        </is>
      </c>
      <c r="E9" s="27" t="inlineStr">
        <is>
          <t>P1</t>
        </is>
      </c>
      <c r="F9" s="30" t="inlineStr">
        <is>
          <t>VietTien.API (WebApplicationFactory) + SQL Server</t>
        </is>
      </c>
      <c r="G9" s="30" t="inlineStr">
        <is>
          <t>SQL Server 2022
(Testcontainers.MsSql)
+ Respawn reset</t>
        </is>
      </c>
      <c r="H9" s="30" t="inlineStr">
        <is>
          <t>None</t>
        </is>
      </c>
      <c r="I9" s="30" t="inlineStr">
        <is>
          <t>U1 has Accepted negotiated price from L2-QUO-01 seed</t>
        </is>
      </c>
      <c r="J9" s="30" t="inlineStr">
        <is>
          <t>U1 builds a NEW cart = 110,000,000 then GET /api/orders/checkout-summary; repeat with cart = 80,000,000</t>
        </is>
      </c>
      <c r="K9" s="30" t="inlineStr">
        <is>
          <t>110M: negotiated price auto-applied in summary
80M: negotiated price IGNORED — tier-2 discount applied (DC rule)</t>
        </is>
      </c>
      <c r="L9" s="30" t="inlineStr">
        <is>
          <t>No</t>
        </is>
      </c>
      <c r="M9" s="37" t="inlineStr">
        <is>
          <t>Pass</t>
        </is>
      </c>
      <c r="N9" s="30" t="n"/>
      <c r="O9" s="32" t="n"/>
      <c r="P9" s="37" t="inlineStr">
        <is>
          <t>✅ Pass (không đổi)</t>
        </is>
      </c>
    </row>
    <row r="10" ht="18" customHeight="1">
      <c r="A10" s="59" t="inlineStr">
        <is>
          <t xml:space="preserve">  ▶  Block: Negotiation chat  |  quotation messaging</t>
        </is>
      </c>
    </row>
    <row r="11" ht="46.5" customHeight="1">
      <c r="A11" s="25" t="inlineStr">
        <is>
          <t>L2-QUO-05</t>
        </is>
      </c>
      <c r="B11" s="36" t="inlineStr">
        <is>
          <t>Happy Path</t>
        </is>
      </c>
      <c r="C11" s="26" t="inlineStr">
        <is>
          <t>FT-02 AC-04; BR-020; NFR-P04</t>
        </is>
      </c>
      <c r="D11" s="26" t="inlineStr">
        <is>
          <t>FT-02</t>
        </is>
      </c>
      <c r="E11" s="34" t="inlineStr">
        <is>
          <t>P2</t>
        </is>
      </c>
      <c r="F11" s="26" t="inlineStr">
        <is>
          <t>VietTien.API (WebApplicationFactory) + SQL Server + SignalR (ChatHub)</t>
        </is>
      </c>
      <c r="G11" s="26" t="inlineStr">
        <is>
          <t>SQL Server 2022
(Testcontainers.MsSql)
+ Respawn reset</t>
        </is>
      </c>
      <c r="H11" s="26" t="inlineStr">
        <is>
          <t>None</t>
        </is>
      </c>
      <c r="I11" s="26" t="inlineStr">
        <is>
          <t>Q1 open; U1 (owner) and S1 (assigned) connected to ChatHub</t>
        </is>
      </c>
      <c r="J11" s="26" t="inlineStr">
        <is>
          <t>S1 POST /api/Quotation/{id}/messages {content}</t>
        </is>
      </c>
      <c r="K11" s="26" t="inlineStr">
        <is>
          <t>DB: ChatMessage row persisted
U1's SignalR connection receives the message in real time</t>
        </is>
      </c>
      <c r="L11" s="26" t="inlineStr">
        <is>
          <t>No</t>
        </is>
      </c>
      <c r="M11" s="37" t="inlineStr">
        <is>
          <t>Pass</t>
        </is>
      </c>
      <c r="N11" s="26" t="n"/>
      <c r="O11" s="28" t="n"/>
      <c r="P11" s="37" t="inlineStr">
        <is>
          <t>✅ Pass (không đổi)</t>
        </is>
      </c>
    </row>
    <row r="12" ht="33.75" customHeight="1">
      <c r="A12" s="29" t="inlineStr">
        <is>
          <t>L2-QUO-06</t>
        </is>
      </c>
      <c r="B12" s="36" t="inlineStr">
        <is>
          <t>Error Path</t>
        </is>
      </c>
      <c r="C12" s="30" t="inlineStr">
        <is>
          <t>FT-02 NAC-05; NFR-SEC03</t>
        </is>
      </c>
      <c r="D12" s="30" t="inlineStr">
        <is>
          <t>FT-02</t>
        </is>
      </c>
      <c r="E12" s="27" t="inlineStr">
        <is>
          <t>P1</t>
        </is>
      </c>
      <c r="F12" s="30" t="inlineStr">
        <is>
          <t>VietTien.API (WebApplicationFactory) + SQL Server</t>
        </is>
      </c>
      <c r="G12" s="30" t="inlineStr">
        <is>
          <t>SQL Server 2022
(Testcontainers.MsSql)
+ Respawn reset</t>
        </is>
      </c>
      <c r="H12" s="30" t="inlineStr">
        <is>
          <t>None</t>
        </is>
      </c>
      <c r="I12" s="30" t="inlineStr">
        <is>
          <t>U5 not related to Q1 (valid JWT, different customer)</t>
        </is>
      </c>
      <c r="J12" s="30" t="inlineStr">
        <is>
          <t>GET /api/Quotation/{id}/messages as U5</t>
        </is>
      </c>
      <c r="K12" s="30" t="inlineStr">
        <is>
          <t>HTTP 403/404; no messages leaked</t>
        </is>
      </c>
      <c r="L12" s="31" t="inlineStr">
        <is>
          <t>Yes</t>
        </is>
      </c>
      <c r="M12" s="37" t="inlineStr">
        <is>
          <t>Pass</t>
        </is>
      </c>
      <c r="N12" s="30" t="n"/>
      <c r="O12" s="32" t="n"/>
      <c r="P12" s="37" t="inlineStr">
        <is>
          <t>✅ Pass (không đổi)</t>
        </is>
      </c>
    </row>
    <row r="13" ht="15" customHeight="1">
      <c r="A13" s="60" t="inlineStr">
        <is>
          <t xml:space="preserve">  ▶  Template Row — copy for new integration cases</t>
        </is>
      </c>
    </row>
    <row r="14" ht="42.75" customHeight="1">
      <c r="A14" s="40" t="inlineStr">
        <is>
          <t>L2-Quo-[NN]</t>
        </is>
      </c>
      <c r="B14" s="40" t="inlineStr">
        <is>
          <t>[Happy Path | Error Path | BVA | Idempotency | Transaction Boundary | Concurrency | Workflow]</t>
        </is>
      </c>
      <c r="C14" s="40" t="inlineStr">
        <is>
          <t>[AC/NAC/BV/BR-xx | TBD]</t>
        </is>
      </c>
      <c r="D14" s="40" t="inlineStr">
        <is>
          <t>[FT-xx]</t>
        </is>
      </c>
      <c r="E14" s="40" t="inlineStr">
        <is>
          <t>P2</t>
        </is>
      </c>
      <c r="F14" s="40" t="inlineStr">
        <is>
          <t>VietTien.API + SQL Server [+ SignalR]</t>
        </is>
      </c>
      <c r="G14" s="40" t="inlineStr">
        <is>
          <t>SQL Server 2022 (Testcontainers.MsSql)</t>
        </is>
      </c>
      <c r="H14" s="40" t="inlineStr">
        <is>
          <t>[WireMock.Net stub / smtp4dev]  None if no external calls</t>
        </is>
      </c>
      <c r="I14" s="40" t="inlineStr">
        <is>
          <t>[Seed rows: table.column = value]</t>
        </is>
      </c>
      <c r="J14" s="40" t="inlineStr">
        <is>
          <t>[HTTP verb /api/... {body} OR trigger job]</t>
        </is>
      </c>
      <c r="K14" s="40" t="inlineStr">
        <is>
          <t>[DB: table.column = expected  Notifications/SignalR  HTTP status  NEVER: for negative]</t>
        </is>
      </c>
      <c r="L14" s="40" t="inlineStr">
        <is>
          <t>No</t>
        </is>
      </c>
      <c r="M14" s="40" t="inlineStr">
        <is>
          <t>Not Run</t>
        </is>
      </c>
      <c r="N14" s="40" t="n"/>
      <c r="O14" s="40" t="n"/>
    </row>
  </sheetData>
  <mergeCells count="5">
    <mergeCell ref="A2:O2"/>
    <mergeCell ref="A10:O10"/>
    <mergeCell ref="A13:O13"/>
    <mergeCell ref="A1:O1"/>
    <mergeCell ref="A5:O5"/>
  </mergeCells>
  <dataValidations count="2">
    <dataValidation sqref="M6:M9 M11:M12 M14" showDropDown="0" showInputMessage="0" showErrorMessage="0" allowBlank="1" type="list">
      <formula1>"Not Run,Pass,Fail,Blocked,Skip"</formula1>
      <formula2>0</formula2>
    </dataValidation>
    <dataValidation sqref="E6:E9 E11:E12 E14" showDropDown="0" showInputMessage="0" showErrorMessage="0" allowBlank="1" type="list">
      <formula1>"P1,P2,P3"</formula1>
      <formula2>0</formula2>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P12"/>
  <sheetViews>
    <sheetView showGridLines="0" topLeftCell="C1" zoomScaleNormal="100" workbookViewId="0">
      <pane ySplit="4" topLeftCell="A5" activePane="bottomLeft" state="frozen"/>
      <selection pane="bottomLeft" activeCell="M6" sqref="M6"/>
    </sheetView>
  </sheetViews>
  <sheetFormatPr baseColWidth="8" defaultColWidth="8.7109375" defaultRowHeight="15"/>
  <cols>
    <col width="12" customWidth="1" min="1" max="1"/>
    <col width="22" customWidth="1" min="2" max="2"/>
    <col width="18" customWidth="1" min="3" max="3"/>
    <col width="10" customWidth="1" min="4" max="4"/>
    <col width="9" customWidth="1" min="5" max="5"/>
    <col width="24" customWidth="1" min="6" max="6"/>
    <col width="18" customWidth="1" min="7" max="7"/>
    <col width="22" customWidth="1" min="8" max="8"/>
    <col width="36" customWidth="1" min="9" max="9"/>
    <col width="32" customWidth="1" min="10" max="10"/>
    <col width="44" customWidth="1" min="11" max="11"/>
    <col width="11" customWidth="1" min="12" max="12"/>
    <col width="10" customWidth="1" min="13" max="14"/>
    <col width="26" customWidth="1" min="15" max="15"/>
    <col width="55" customWidth="1" min="16" max="16"/>
  </cols>
  <sheetData>
    <row r="1" ht="24" customHeight="1">
      <c r="A1" s="1" t="inlineStr">
        <is>
          <t>L2-Purchasing  |  PO lifecycle -&gt; GoodsReceipt -&gt; Inventory increment  |  ⚠ SRS trace TBD (BRD v6.0)</t>
        </is>
      </c>
    </row>
    <row r="2" ht="15" customHeight="1">
      <c r="A2" s="58" t="inlineStr">
        <is>
          <t>HOW TO USE:  (1) BẬT Docker Desktop rồi kiểm tra docker ps  (2) Testcontainers.MsSql + Respawn giữa các test  (3) Job nền: gọi trực tiếp IScheduledJob.RunAsync(ct), KHÔNG chờ scheduler  (4) Cập nhật Status  (5) Ghi Defect ID khi Fail</t>
        </is>
      </c>
    </row>
    <row r="3"/>
    <row r="4" ht="27.75" customHeight="1">
      <c r="A4" s="24" t="inlineStr">
        <is>
          <t>Test ID</t>
        </is>
      </c>
      <c r="B4" s="24" t="inlineStr">
        <is>
          <t>Coverage Technique</t>
        </is>
      </c>
      <c r="C4" s="24" t="inlineStr">
        <is>
          <t>SRS Reference</t>
        </is>
      </c>
      <c r="D4" s="24" t="inlineStr">
        <is>
          <t>Feature</t>
        </is>
      </c>
      <c r="E4" s="24" t="inlineStr">
        <is>
          <t>Priority</t>
        </is>
      </c>
      <c r="F4" s="24" t="inlineStr">
        <is>
          <t>Services Involved</t>
        </is>
      </c>
      <c r="G4" s="24" t="inlineStr">
        <is>
          <t>Infrastructure (Testcontainers)</t>
        </is>
      </c>
      <c r="H4" s="24" t="inlineStr">
        <is>
          <t>External Mocks (WireMock.Net / fakes)</t>
        </is>
      </c>
      <c r="I4" s="24" t="inlineStr">
        <is>
          <t>Given (DB State / Setup)</t>
        </is>
      </c>
      <c r="J4" s="24" t="inlineStr">
        <is>
          <t>When (Action / HTTP Call)</t>
        </is>
      </c>
      <c r="K4" s="24" t="inlineStr">
        <is>
          <t>Then (Expected DB State + Notifications + Response)</t>
        </is>
      </c>
      <c r="L4" s="24" t="inlineStr">
        <is>
          <t>Negative?</t>
        </is>
      </c>
      <c r="M4" s="24" t="inlineStr">
        <is>
          <t>Status</t>
        </is>
      </c>
      <c r="N4" s="24" t="inlineStr">
        <is>
          <t>Defect ID</t>
        </is>
      </c>
      <c r="O4" s="24" t="inlineStr">
        <is>
          <t>Notes</t>
        </is>
      </c>
      <c r="P4" s="24" t="inlineStr">
        <is>
          <t>Fix Status</t>
        </is>
      </c>
    </row>
    <row r="5" ht="18" customHeight="1">
      <c r="A5" s="59" t="inlineStr">
        <is>
          <t xml:space="preserve">  ▶  Block: PO lifecycle + receipt posting</t>
        </is>
      </c>
    </row>
    <row r="6" ht="60" customHeight="1">
      <c r="A6" s="25" t="inlineStr">
        <is>
          <t>L2-PUR-01</t>
        </is>
      </c>
      <c r="B6" s="36" t="inlineStr">
        <is>
          <t>Workflow — Happy Path</t>
        </is>
      </c>
      <c r="C6" s="26" t="inlineStr">
        <is>
          <t>FT-06 AC-01; AC-03; BR-014</t>
        </is>
      </c>
      <c r="D6" s="26" t="inlineStr">
        <is>
          <t>FT-06</t>
        </is>
      </c>
      <c r="E6" s="27" t="inlineStr">
        <is>
          <t>P1</t>
        </is>
      </c>
      <c r="F6" s="26" t="inlineStr">
        <is>
          <t>VietTien.API (WebApplicationFactory) + SQL Server</t>
        </is>
      </c>
      <c r="G6" s="26" t="inlineStr">
        <is>
          <t>SQL Server 2022
(Testcontainers.MsSql)
+ Respawn reset</t>
        </is>
      </c>
      <c r="H6" s="26" t="inlineStr">
        <is>
          <t>None</t>
        </is>
      </c>
      <c r="I6" s="26" t="inlineStr">
        <is>
          <t>CEO user seeded; supplier SUP-1; product P1 Inventory(W1)=10</t>
        </is>
      </c>
      <c r="J6" s="26" t="inlineStr">
        <is>
          <t>1) CEO POST /api/purchase-orders (2 lines)  2) POST issue  3) POST send-to-warehouse  4) WH staff POST /api/purchase-orders/{id}/receipts  5) POST /api/purchase-orders/{id}/receipts/{rId}/post (P1 received qty=50)</t>
        </is>
      </c>
      <c r="K6" s="26" t="inlineStr">
        <is>
          <t>DB: PO Draft -&gt; Issued -&gt; SentToWarehouse; receipt Posted
Inventory(P1,W1) = 60; StockTransaction logged
Receipt + inventory in one transaction</t>
        </is>
      </c>
      <c r="L6" s="26" t="inlineStr">
        <is>
          <t>No</t>
        </is>
      </c>
      <c r="M6" s="37" t="inlineStr">
        <is>
          <t>Pass</t>
        </is>
      </c>
      <c r="N6" s="33" t="n"/>
      <c r="O6" s="28" t="n"/>
      <c r="P6" s="37" t="inlineStr">
        <is>
          <t>✅ Pass (không đổi)</t>
        </is>
      </c>
    </row>
    <row r="7" ht="33.75" customHeight="1">
      <c r="A7" s="29" t="inlineStr">
        <is>
          <t>L2-PUR-02</t>
        </is>
      </c>
      <c r="B7" s="36" t="inlineStr">
        <is>
          <t>Error Path</t>
        </is>
      </c>
      <c r="C7" s="30" t="inlineStr">
        <is>
          <t>FT-06 NAC-01; BR-014</t>
        </is>
      </c>
      <c r="D7" s="30" t="inlineStr">
        <is>
          <t>FT-06</t>
        </is>
      </c>
      <c r="E7" s="27" t="inlineStr">
        <is>
          <t>P1</t>
        </is>
      </c>
      <c r="F7" s="30" t="inlineStr">
        <is>
          <t>VietTien.API (WebApplicationFactory) + SQL Server</t>
        </is>
      </c>
      <c r="G7" s="30" t="inlineStr">
        <is>
          <t>SQL Server 2022
(Testcontainers.MsSql)
+ Respawn reset</t>
        </is>
      </c>
      <c r="H7" s="30" t="inlineStr">
        <is>
          <t>None</t>
        </is>
      </c>
      <c r="I7" s="30" t="inlineStr">
        <is>
          <t>PO-2 Status = Draft (never sent to warehouse)</t>
        </is>
      </c>
      <c r="J7" s="30" t="inlineStr">
        <is>
          <t>POST /api/purchase-orders/{id}/receipts for PO-2</t>
        </is>
      </c>
      <c r="K7" s="30" t="inlineStr">
        <is>
          <t>HTTP 409; no receipt row created</t>
        </is>
      </c>
      <c r="L7" s="31" t="inlineStr">
        <is>
          <t>Yes</t>
        </is>
      </c>
      <c r="M7" s="37" t="inlineStr">
        <is>
          <t>Pass</t>
        </is>
      </c>
      <c r="N7" s="30" t="n"/>
      <c r="O7" s="32" t="n"/>
      <c r="P7" s="37" t="inlineStr">
        <is>
          <t>✅ Pass (không đổi)</t>
        </is>
      </c>
    </row>
    <row r="8" ht="33.75" customHeight="1">
      <c r="A8" s="25" t="inlineStr">
        <is>
          <t>L2-PUR-03</t>
        </is>
      </c>
      <c r="B8" s="36" t="inlineStr">
        <is>
          <t>Idempotency</t>
        </is>
      </c>
      <c r="C8" s="26" t="inlineStr">
        <is>
          <t>FT-06 NAC-05; BR-029</t>
        </is>
      </c>
      <c r="D8" s="26" t="inlineStr">
        <is>
          <t>FT-06</t>
        </is>
      </c>
      <c r="E8" s="27" t="inlineStr">
        <is>
          <t>P1</t>
        </is>
      </c>
      <c r="F8" s="26" t="inlineStr">
        <is>
          <t>VietTien.API (WebApplicationFactory) + SQL Server</t>
        </is>
      </c>
      <c r="G8" s="26" t="inlineStr">
        <is>
          <t>SQL Server 2022
(Testcontainers.MsSql)
+ Respawn reset</t>
        </is>
      </c>
      <c r="H8" s="26" t="inlineStr">
        <is>
          <t>None</t>
        </is>
      </c>
      <c r="I8" s="26" t="inlineStr">
        <is>
          <t>Receipt R1 already Posted; Inventory(P1)=60</t>
        </is>
      </c>
      <c r="J8" s="26" t="inlineStr">
        <is>
          <t>POST /api/purchase-orders/{id}/receipts/{rId}/post for R1 a SECOND time</t>
        </is>
      </c>
      <c r="K8" s="26" t="inlineStr">
        <is>
          <t>HTTP 409; Inventory stays 60 — no double increment</t>
        </is>
      </c>
      <c r="L8" s="33" t="inlineStr">
        <is>
          <t>Yes</t>
        </is>
      </c>
      <c r="M8" s="37" t="inlineStr">
        <is>
          <t>Pass</t>
        </is>
      </c>
      <c r="N8" s="33" t="n"/>
      <c r="O8" s="28" t="n"/>
      <c r="P8" s="37" t="inlineStr">
        <is>
          <t>✅ Pass (không đổi)</t>
        </is>
      </c>
    </row>
    <row r="9" ht="46.5" customHeight="1">
      <c r="A9" s="29" t="inlineStr">
        <is>
          <t>L2-PUR-04</t>
        </is>
      </c>
      <c r="B9" s="36" t="inlineStr">
        <is>
          <t>Error Path</t>
        </is>
      </c>
      <c r="C9" s="30" t="inlineStr">
        <is>
          <t>FT-06 AC-05; NAC-03; BR-036</t>
        </is>
      </c>
      <c r="D9" s="30" t="inlineStr">
        <is>
          <t>FT-06</t>
        </is>
      </c>
      <c r="E9" s="27" t="inlineStr">
        <is>
          <t>P1</t>
        </is>
      </c>
      <c r="F9" s="30" t="inlineStr">
        <is>
          <t>VietTien.API (WebApplicationFactory) + SQL Server</t>
        </is>
      </c>
      <c r="G9" s="30" t="inlineStr">
        <is>
          <t>SQL Server 2022
(Testcontainers.MsSql)
+ Respawn reset</t>
        </is>
      </c>
      <c r="H9" s="30" t="inlineStr">
        <is>
          <t>None</t>
        </is>
      </c>
      <c r="I9" s="30" t="inlineStr">
        <is>
          <t>Receipt with qty discrepancy vs PO recorded, unresolved</t>
        </is>
      </c>
      <c r="J9" s="30" t="inlineStr">
        <is>
          <t>CEO POST /api/purchase-orders/{id}/close</t>
        </is>
      </c>
      <c r="K9" s="30" t="inlineStr">
        <is>
          <t>HTTP 4xx: discrepancy must be resolved first
After POST resolve-discrepancy then close -&gt; succeeds</t>
        </is>
      </c>
      <c r="L9" s="31" t="inlineStr">
        <is>
          <t>Yes</t>
        </is>
      </c>
      <c r="M9" s="39" t="inlineStr">
        <is>
          <t>Fail</t>
        </is>
      </c>
      <c r="N9" s="31" t="inlineStr">
        <is>
          <t>GH-03c</t>
        </is>
      </c>
      <c r="O9" s="41" t="inlineStr">
        <is>
          <t>⚠ v2.5 CẦN GÁN DEFECT ID: sau khi vá migration, case này chuyển từ Blocked sang FAIL — tức nguyên nhân KHÔNG còn là schema mà là lỗi nghiệp vụ thật, nhưng manifest chưa gán mã defect. Cần chạy lại, đọc assertion đỏ rồi gán GH-xx (hoặc mở defect mới).  |  ⛔ GH-03c — bảng GoodsReceipts thiếu cột ImageProofUrl trên DB dựng từ migrations. Test đã viết đủ, KHÔNG vá schema.  |  ⚠ SCOPE-CHANGE (SRS v2): FT-06 mới: discrepancy do CEO quyết định, KHÔNG sửa receipt đã post</t>
        </is>
      </c>
      <c r="P9" s="39" t="inlineStr">
        <is>
          <t>✅ ĐÃ FIX  [🟢 ĐÃ FIX + PASS THẬT qua docker + dotnet test (07/08/2026)]
Không phải bug — đã xác nhận ResolveDiscrepancyAsync tự đóng PO trong 1 bước (không cần gọi /close riêng); đã sửa test cho khớp state machine thật.</t>
        </is>
      </c>
    </row>
    <row r="10" ht="33.75" customHeight="1">
      <c r="A10" s="25" t="inlineStr">
        <is>
          <t>L2-PUR-05</t>
        </is>
      </c>
      <c r="B10" s="36" t="inlineStr">
        <is>
          <t>Happy Path</t>
        </is>
      </c>
      <c r="C10" s="26" t="inlineStr">
        <is>
          <t>FT-06 AC-02; NAC-02; BV-03; BR-015</t>
        </is>
      </c>
      <c r="D10" s="26" t="inlineStr">
        <is>
          <t>FT-06</t>
        </is>
      </c>
      <c r="E10" s="34" t="inlineStr">
        <is>
          <t>P2</t>
        </is>
      </c>
      <c r="F10" s="26" t="inlineStr">
        <is>
          <t>VietTien.API (WebApplicationFactory) + SQL Server</t>
        </is>
      </c>
      <c r="G10" s="26" t="inlineStr">
        <is>
          <t>SQL Server 2022
(Testcontainers.MsSql)
+ Respawn reset</t>
        </is>
      </c>
      <c r="H10" s="26" t="inlineStr">
        <is>
          <t>None</t>
        </is>
      </c>
      <c r="I10" s="26" t="inlineStr">
        <is>
          <t>PO import file: valid Excel with 3 lines</t>
        </is>
      </c>
      <c r="J10" s="26" t="inlineStr">
        <is>
          <t>CEO POST /api/purchase-orders/import/excel (multipart)</t>
        </is>
      </c>
      <c r="K10" s="26" t="inlineStr">
        <is>
          <t>DB: PO Draft created with 3 parsed lines matching file values</t>
        </is>
      </c>
      <c r="L10" s="26" t="inlineStr">
        <is>
          <t>No</t>
        </is>
      </c>
      <c r="M10" s="39" t="inlineStr">
        <is>
          <t>Fail</t>
        </is>
      </c>
      <c r="N10" s="33" t="inlineStr">
        <is>
          <t>GH-10</t>
        </is>
      </c>
      <c r="O10" s="38" t="inlineStr">
        <is>
          <t>🔴 GH-10 — IMPORT EXCEL LÀ STUB TRẢ 200. PurchaseOrderService.cs:98-116 KHÔNG đọc file, tạo PO rỗng với supplier/warehouse "mock". ImportFromImageAsync:118 cùng kiểu. NGUY HIỂM HƠN "chưa làm" vì client tưởng đã nhập xong. Cùng họ THẤT BẠI KHÔNG ỒN ÀO với GH-01 và MakeWebhookService.  |  ✓ v2.2 ENDPOINT ĐÃ SỬA theo 209 route thật (31 controller): xem suaIntegration mục A/C  |  ⚠ SCOPE-CHANGE (SRS v2): FT-06 mới: import Excel/OCR chỉ tạo DRAFT + preview, lỗi trả row-level ImportRowError</t>
        </is>
      </c>
      <c r="P10" s="39" t="inlineStr">
        <is>
          <t>✅ ĐÃ FIX  [🟢 ĐÃ FIX + PASS THẬT qua docker + dotnet test (07/08/2026)]
GH-10: ImportFromExcelAsync nay đọc thật nội dung file (CSV: ProductSku,Quantity,UnitPrice), map sang PurchaseOrderItem theo Sku, ghi rõ dòng lỗi vào Note thay vì tạo PO rỗng.</t>
        </is>
      </c>
    </row>
    <row r="11" ht="15" customHeight="1">
      <c r="A11" s="60" t="inlineStr">
        <is>
          <t xml:space="preserve">  ▶  Template Row — copy for new integration cases</t>
        </is>
      </c>
    </row>
    <row r="12" ht="42.75" customHeight="1">
      <c r="A12" s="40" t="inlineStr">
        <is>
          <t>L2-Pur-[NN]</t>
        </is>
      </c>
      <c r="B12" s="40" t="inlineStr">
        <is>
          <t>[Happy Path | Error Path | BVA | Idempotency | Transaction Boundary | Concurrency | Workflow]</t>
        </is>
      </c>
      <c r="C12" s="40" t="inlineStr">
        <is>
          <t>[AC/NAC/BV/BR-xx | TBD]</t>
        </is>
      </c>
      <c r="D12" s="40" t="inlineStr">
        <is>
          <t>[FT-xx]</t>
        </is>
      </c>
      <c r="E12" s="40" t="inlineStr">
        <is>
          <t>P2</t>
        </is>
      </c>
      <c r="F12" s="40" t="inlineStr">
        <is>
          <t>VietTien.API + SQL Server [+ SignalR]</t>
        </is>
      </c>
      <c r="G12" s="40" t="inlineStr">
        <is>
          <t>SQL Server 2022 (Testcontainers.MsSql)</t>
        </is>
      </c>
      <c r="H12" s="40" t="inlineStr">
        <is>
          <t>[WireMock.Net stub / smtp4dev]  None if no external calls</t>
        </is>
      </c>
      <c r="I12" s="40" t="inlineStr">
        <is>
          <t>[Seed rows: table.column = value]</t>
        </is>
      </c>
      <c r="J12" s="40" t="inlineStr">
        <is>
          <t>[HTTP verb /api/... {body} OR trigger job]</t>
        </is>
      </c>
      <c r="K12" s="40" t="inlineStr">
        <is>
          <t>[DB: table.column = expected  Notifications/SignalR  HTTP status  NEVER: for negative]</t>
        </is>
      </c>
      <c r="L12" s="40" t="inlineStr">
        <is>
          <t>No</t>
        </is>
      </c>
      <c r="M12" s="40" t="inlineStr">
        <is>
          <t>Not Run</t>
        </is>
      </c>
      <c r="N12" s="40" t="n"/>
      <c r="O12" s="40" t="n"/>
    </row>
  </sheetData>
  <mergeCells count="4">
    <mergeCell ref="A1:O1"/>
    <mergeCell ref="A2:O2"/>
    <mergeCell ref="A11:O11"/>
    <mergeCell ref="A5:O5"/>
  </mergeCells>
  <dataValidations count="2">
    <dataValidation sqref="M6:M10 M12" showDropDown="0" showInputMessage="0" showErrorMessage="0" allowBlank="1" type="list">
      <formula1>"Not Run,Pass,Fail,Blocked,Skip"</formula1>
      <formula2>0</formula2>
    </dataValidation>
    <dataValidation sqref="E6:E10 E12" showDropDown="0" showInputMessage="0" showErrorMessage="0" allowBlank="1" type="list">
      <formula1>"P1,P2,P3"</formula1>
      <formula2>0</formula2>
    </dataValidation>
  </dataValidation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P13"/>
  <sheetViews>
    <sheetView showGridLines="0" topLeftCell="C1" zoomScaleNormal="100" workbookViewId="0">
      <pane ySplit="4" topLeftCell="A5" activePane="bottomLeft" state="frozen"/>
      <selection pane="bottomLeft" activeCell="O11" sqref="O11"/>
    </sheetView>
  </sheetViews>
  <sheetFormatPr baseColWidth="8" defaultColWidth="8.7109375" defaultRowHeight="15"/>
  <cols>
    <col width="12" customWidth="1" min="1" max="1"/>
    <col width="22" customWidth="1" min="2" max="2"/>
    <col width="18" customWidth="1" min="3" max="3"/>
    <col width="10" customWidth="1" min="4" max="4"/>
    <col width="9" customWidth="1" min="5" max="5"/>
    <col width="24" customWidth="1" min="6" max="6"/>
    <col width="18" customWidth="1" min="7" max="7"/>
    <col width="22" customWidth="1" min="8" max="8"/>
    <col width="36" customWidth="1" min="9" max="9"/>
    <col width="32" customWidth="1" min="10" max="10"/>
    <col width="44" customWidth="1" min="11" max="11"/>
    <col width="11" customWidth="1" min="12" max="12"/>
    <col width="10" customWidth="1" min="13" max="14"/>
    <col width="26" customWidth="1" min="15" max="15"/>
    <col width="55" customWidth="1" min="16" max="16"/>
  </cols>
  <sheetData>
    <row r="1" ht="24" customHeight="1">
      <c r="A1" s="1" t="inlineStr">
        <is>
          <t>L2-InventoryTransfer  |  cross-warehouse transfer + inventory adjustment audit  |  ⚠ multi-warehouse = BRD v6.0</t>
        </is>
      </c>
    </row>
    <row r="2" ht="15" customHeight="1">
      <c r="A2" s="58" t="inlineStr">
        <is>
          <t>HOW TO USE:  (1) BẬT Docker Desktop rồi kiểm tra docker ps  (2) Testcontainers.MsSql + Respawn giữa các test  (3) Job nền: gọi trực tiếp IScheduledJob.RunAsync(ct), KHÔNG chờ scheduler  (4) Cập nhật Status  (5) Ghi Defect ID khi Fail</t>
        </is>
      </c>
    </row>
    <row r="3"/>
    <row r="4" ht="27.75" customHeight="1">
      <c r="A4" s="24" t="inlineStr">
        <is>
          <t>Test ID</t>
        </is>
      </c>
      <c r="B4" s="24" t="inlineStr">
        <is>
          <t>Coverage Technique</t>
        </is>
      </c>
      <c r="C4" s="24" t="inlineStr">
        <is>
          <t>SRS Reference</t>
        </is>
      </c>
      <c r="D4" s="24" t="inlineStr">
        <is>
          <t>Feature</t>
        </is>
      </c>
      <c r="E4" s="24" t="inlineStr">
        <is>
          <t>Priority</t>
        </is>
      </c>
      <c r="F4" s="24" t="inlineStr">
        <is>
          <t>Services Involved</t>
        </is>
      </c>
      <c r="G4" s="24" t="inlineStr">
        <is>
          <t>Infrastructure (Testcontainers)</t>
        </is>
      </c>
      <c r="H4" s="24" t="inlineStr">
        <is>
          <t>External Mocks (WireMock.Net / fakes)</t>
        </is>
      </c>
      <c r="I4" s="24" t="inlineStr">
        <is>
          <t>Given (DB State / Setup)</t>
        </is>
      </c>
      <c r="J4" s="24" t="inlineStr">
        <is>
          <t>When (Action / HTTP Call)</t>
        </is>
      </c>
      <c r="K4" s="24" t="inlineStr">
        <is>
          <t>Then (Expected DB State + Notifications + Response)</t>
        </is>
      </c>
      <c r="L4" s="24" t="inlineStr">
        <is>
          <t>Negative?</t>
        </is>
      </c>
      <c r="M4" s="24" t="inlineStr">
        <is>
          <t>Status</t>
        </is>
      </c>
      <c r="N4" s="24" t="inlineStr">
        <is>
          <t>Defect ID</t>
        </is>
      </c>
      <c r="O4" s="24" t="inlineStr">
        <is>
          <t>Notes</t>
        </is>
      </c>
      <c r="P4" s="24" t="inlineStr">
        <is>
          <t>Fix Status</t>
        </is>
      </c>
    </row>
    <row r="5" ht="18" customHeight="1">
      <c r="A5" s="59" t="inlineStr">
        <is>
          <t xml:space="preserve">  ▶  Block: StockTransfer dispatch/receive</t>
        </is>
      </c>
    </row>
    <row r="6" ht="60" customHeight="1">
      <c r="A6" s="25" t="inlineStr">
        <is>
          <t>L2-TRF-01</t>
        </is>
      </c>
      <c r="B6" s="36" t="inlineStr">
        <is>
          <t>Workflow — Happy Path</t>
        </is>
      </c>
      <c r="C6" s="26" t="inlineStr">
        <is>
          <t>FT-11 AC-01; AC-02; BV-02; BR-035</t>
        </is>
      </c>
      <c r="D6" s="26" t="inlineStr">
        <is>
          <t>FT-11</t>
        </is>
      </c>
      <c r="E6" s="27" t="inlineStr">
        <is>
          <t>P1</t>
        </is>
      </c>
      <c r="F6" s="26" t="inlineStr">
        <is>
          <t>VietTien.API (WebApplicationFactory) + SQL Server</t>
        </is>
      </c>
      <c r="G6" s="26" t="inlineStr">
        <is>
          <t>SQL Server 2022
(Testcontainers.MsSql)
+ Respawn reset</t>
        </is>
      </c>
      <c r="H6" s="26" t="inlineStr">
        <is>
          <t>SMTP -&gt; smtp4dev (transfer notification)</t>
        </is>
      </c>
      <c r="I6" s="26" t="inlineStr">
        <is>
          <t>Inventory(P1,W1)=10; Inventory(P1,W2)=2; transfer T1 Draft qty=5</t>
        </is>
      </c>
      <c r="J6" s="26" t="inlineStr">
        <is>
          <t>POST dispatch T1; then POST receive T1 {received qty=5}</t>
        </is>
      </c>
      <c r="K6" s="26" t="inlineStr">
        <is>
          <t>After dispatch: Inv(P1,W1)=5, T1=Dispatched, StockTransactions logged
After receive: Inv(P1,W2)=7, T1=Received
smtp4dev captured destination notification</t>
        </is>
      </c>
      <c r="L6" s="26" t="inlineStr">
        <is>
          <t>No</t>
        </is>
      </c>
      <c r="M6" s="39" t="inlineStr">
        <is>
          <t>Fail</t>
        </is>
      </c>
      <c r="N6" s="33" t="inlineStr">
        <is>
          <t>GH-06</t>
        </is>
      </c>
      <c r="O6" s="38" t="inlineStr">
        <is>
          <t>🔴 GH-06 — ĐIỀU CHUYỂN KHO KHÔNG GHI SỔ CÁI. StockTransferService có 0 tham chiếu tới StockTransaction: tồn đổi mà không để lại vết. Vi phạm BR-035. Gộp chung hạng mục với GH-12.  |  ⚠ v2.2 CÔNG CỤ: Như L2-FUL-01 — StartTls bắt buộc, phải cấu hình TLS cho mail-sink container  |  ⚠ SCOPE-CHANGE (SRS v2): FT-11 mới: post giảm source + tăng InTransit; receipt giảm InTransit + tăng phần accepted</t>
        </is>
      </c>
      <c r="P6" s="39" t="inlineStr">
        <is>
          <t>✅ ĐÃ FIX  [🟢 ĐÃ FIX + PASS THẬT qua docker + dotnet test (07/08/2026)]
GH-06: DispatchAsync/ReceiveAsync nay ghi StockTransaction (TransactionType.StockAdjustment) cho mỗi lần đổi tồn — có vết append-only đúng BR-035.</t>
        </is>
      </c>
    </row>
    <row r="7" ht="46.5" customHeight="1">
      <c r="A7" s="29" t="inlineStr">
        <is>
          <t>L2-TRF-02</t>
        </is>
      </c>
      <c r="B7" s="36" t="inlineStr">
        <is>
          <t>Error Path</t>
        </is>
      </c>
      <c r="C7" s="30" t="inlineStr">
        <is>
          <t>FT-11 NAC-03; BV-02</t>
        </is>
      </c>
      <c r="D7" s="30" t="inlineStr">
        <is>
          <t>FT-11</t>
        </is>
      </c>
      <c r="E7" s="27" t="inlineStr">
        <is>
          <t>P1</t>
        </is>
      </c>
      <c r="F7" s="30" t="inlineStr">
        <is>
          <t>VietTien.API (WebApplicationFactory) + SQL Server</t>
        </is>
      </c>
      <c r="G7" s="30" t="inlineStr">
        <is>
          <t>SQL Server 2022
(Testcontainers.MsSql)
+ Respawn reset</t>
        </is>
      </c>
      <c r="H7" s="30" t="inlineStr">
        <is>
          <t>None</t>
        </is>
      </c>
      <c r="I7" s="30" t="inlineStr">
        <is>
          <t>T1 Dispatched qty=5</t>
        </is>
      </c>
      <c r="J7" s="30" t="inlineStr">
        <is>
          <t>POST receive T1 {received qty=6}</t>
        </is>
      </c>
      <c r="K7" s="30" t="inlineStr">
        <is>
          <t>HTTP 4xx or discrepancy record; Inv(P1,W2) NOT +6
Source remains consistent</t>
        </is>
      </c>
      <c r="L7" s="31" t="inlineStr">
        <is>
          <t>Yes</t>
        </is>
      </c>
      <c r="M7" s="37" t="inlineStr">
        <is>
          <t>Pass</t>
        </is>
      </c>
      <c r="N7" s="30" t="n"/>
      <c r="O7" s="32" t="n"/>
      <c r="P7" s="37" t="inlineStr">
        <is>
          <t>✅ Pass (không đổi)</t>
        </is>
      </c>
    </row>
    <row r="8" ht="46.5" customHeight="1">
      <c r="A8" s="25" t="inlineStr">
        <is>
          <t>L2-TRF-03</t>
        </is>
      </c>
      <c r="B8" s="36" t="inlineStr">
        <is>
          <t>Concurrency</t>
        </is>
      </c>
      <c r="C8" s="26" t="inlineStr">
        <is>
          <t>FT-11 NAC-02; BR-032; NFR-A05; NFR-D01</t>
        </is>
      </c>
      <c r="D8" s="26" t="inlineStr">
        <is>
          <t>FT-11</t>
        </is>
      </c>
      <c r="E8" s="27" t="inlineStr">
        <is>
          <t>P1</t>
        </is>
      </c>
      <c r="F8" s="26" t="inlineStr">
        <is>
          <t>VietTien.API (WebApplicationFactory) + SQL Server</t>
        </is>
      </c>
      <c r="G8" s="26" t="inlineStr">
        <is>
          <t>SQL Server 2022
(Testcontainers.MsSql)
+ Respawn reset</t>
        </is>
      </c>
      <c r="H8" s="26" t="inlineStr">
        <is>
          <t>None</t>
        </is>
      </c>
      <c r="I8" s="26" t="inlineStr">
        <is>
          <t>Inventory(P1,W1)=5
Prepared: transfer dispatch qty=5 AND goods issue qty=5 on same stock</t>
        </is>
      </c>
      <c r="J8" s="26" t="inlineStr">
        <is>
          <t>Fire dispatch and goods-issue simultaneously</t>
        </is>
      </c>
      <c r="K8" s="26" t="inlineStr">
        <is>
          <t>Exactly one succeeds; Inventory(P1,W1) = 0 — never negative
Loser receives insufficient-stock error</t>
        </is>
      </c>
      <c r="L8" s="26" t="inlineStr">
        <is>
          <t>No</t>
        </is>
      </c>
      <c r="M8" s="37" t="inlineStr">
        <is>
          <t>Pass</t>
        </is>
      </c>
      <c r="N8" s="33" t="n"/>
      <c r="O8" s="28" t="n"/>
      <c r="P8" s="37" t="inlineStr">
        <is>
          <t>✅ Pass (không đổi)</t>
        </is>
      </c>
    </row>
    <row r="9" ht="18" customHeight="1">
      <c r="A9" s="59" t="inlineStr">
        <is>
          <t xml:space="preserve">  ▶  Block: Inventory adjustment audit</t>
        </is>
      </c>
    </row>
    <row r="10" ht="46.5" customHeight="1">
      <c r="A10" s="25" t="inlineStr">
        <is>
          <t>L2-TRF-04</t>
        </is>
      </c>
      <c r="B10" s="36" t="inlineStr">
        <is>
          <t>Happy Path</t>
        </is>
      </c>
      <c r="C10" s="26" t="inlineStr">
        <is>
          <t>FT-12 AC-03; BR-044; BR-022</t>
        </is>
      </c>
      <c r="D10" s="26" t="inlineStr">
        <is>
          <t>FT-12</t>
        </is>
      </c>
      <c r="E10" s="27" t="inlineStr">
        <is>
          <t>P1</t>
        </is>
      </c>
      <c r="F10" s="26" t="inlineStr">
        <is>
          <t>VietTien.API (WebApplicationFactory) + SQL Server</t>
        </is>
      </c>
      <c r="G10" s="26" t="inlineStr">
        <is>
          <t>SQL Server 2022
(Testcontainers.MsSql)
+ Respawn reset</t>
        </is>
      </c>
      <c r="H10" s="26" t="inlineStr">
        <is>
          <t>None</t>
        </is>
      </c>
      <c r="I10" s="26" t="inlineStr">
        <is>
          <t>Inventory I1 (P1,W1) qty=10; WH staff JWT</t>
        </is>
      </c>
      <c r="J10" s="26" t="inlineStr">
        <is>
          <t>PUT /api/inventory/{inventoryId}/adjust {newQuantity:7, note:'stocktake'}</t>
        </is>
      </c>
      <c r="K10" s="26" t="inlineStr">
        <is>
          <t>DB: qty=7; StockTransaction/audit row with delta -3, staff id, note
Audit row is append-only (no update of prior rows)</t>
        </is>
      </c>
      <c r="L10" s="26" t="inlineStr">
        <is>
          <t>No</t>
        </is>
      </c>
      <c r="M10" s="39" t="inlineStr">
        <is>
          <t>Fail</t>
        </is>
      </c>
      <c r="N10" s="33" t="inlineStr">
        <is>
          <t>GH-12</t>
        </is>
      </c>
      <c r="O10" s="38" t="inlineStr">
        <is>
          <t>🔴 GH-12 — ĐIỀU CHỈNH TỒN KHÔNG GHI SỔ CÁI. InventoryService.AdjustInventoryAsync đổi OnHandQuantity mà không ghi StockTransaction. Vi phạm BR-044 + BR-022. GoodsIssueService thì CÓ ghi -&gt; đây là thiếu sót cục bộ, không phải thiếu thiết kế.  |  ✓ v2.2 ENDPOINT ĐÃ SỬA theo 209 route thật (31 controller): xem suaIntegration mục A/C  |  ⚠ SCOPE-CHANGE (SRS v2): FT-12 mới: chỉ adjustment ĐÃ DUYỆT + POSTED mới đổi tồn kho; vượt ngưỡng cần CEO duyệt</t>
        </is>
      </c>
      <c r="P10" s="39" t="inlineStr">
        <is>
          <t>✅ ĐÃ FIX  [🟢 ĐÃ FIX + PASS THẬT qua docker + dotnet test (07/08/2026)]
GH-12: AdjustInventoryAsync nay ghi StockTransaction cho mỗi lần điều chỉnh — đúng BR-044/BR-022.</t>
        </is>
      </c>
    </row>
    <row r="11" ht="33.75" customHeight="1">
      <c r="A11" s="29" t="inlineStr">
        <is>
          <t>L2-TRF-05</t>
        </is>
      </c>
      <c r="B11" s="36" t="inlineStr">
        <is>
          <t>Error Path</t>
        </is>
      </c>
      <c r="C11" s="30" t="inlineStr">
        <is>
          <t>FT-12 NAC-03; BV-01; BR-032</t>
        </is>
      </c>
      <c r="D11" s="30" t="inlineStr">
        <is>
          <t>FT-12</t>
        </is>
      </c>
      <c r="E11" s="27" t="inlineStr">
        <is>
          <t>P1</t>
        </is>
      </c>
      <c r="F11" s="30" t="inlineStr">
        <is>
          <t>VietTien.API (WebApplicationFactory) + SQL Server</t>
        </is>
      </c>
      <c r="G11" s="30" t="inlineStr">
        <is>
          <t>SQL Server 2022
(Testcontainers.MsSql)
+ Respawn reset</t>
        </is>
      </c>
      <c r="H11" s="30" t="inlineStr">
        <is>
          <t>None</t>
        </is>
      </c>
      <c r="I11" s="30" t="inlineStr">
        <is>
          <t>Inventory I1 qty=10</t>
        </is>
      </c>
      <c r="J11" s="30" t="inlineStr">
        <is>
          <t>PUT /api/inventory/{inventoryId}/adjust {newQuantity:-1}</t>
        </is>
      </c>
      <c r="K11" s="30" t="inlineStr">
        <is>
          <t>HTTP 4xx; qty unchanged; no audit row</t>
        </is>
      </c>
      <c r="L11" s="31" t="inlineStr">
        <is>
          <t>Yes</t>
        </is>
      </c>
      <c r="M11" s="37" t="inlineStr">
        <is>
          <t>Pass</t>
        </is>
      </c>
      <c r="N11" s="30" t="n"/>
      <c r="O11" s="32" t="n"/>
      <c r="P11" s="37" t="inlineStr">
        <is>
          <t>✅ Pass (không đổi)</t>
        </is>
      </c>
    </row>
    <row r="12" ht="15" customHeight="1">
      <c r="A12" s="60" t="inlineStr">
        <is>
          <t xml:space="preserve">  ▶  Template Row — copy for new integration cases</t>
        </is>
      </c>
    </row>
    <row r="13" ht="42.75" customHeight="1">
      <c r="A13" s="40" t="inlineStr">
        <is>
          <t>L2-Inv-[NN]</t>
        </is>
      </c>
      <c r="B13" s="40" t="inlineStr">
        <is>
          <t>[Happy Path | Error Path | BVA | Idempotency | Transaction Boundary | Concurrency | Workflow]</t>
        </is>
      </c>
      <c r="C13" s="40" t="inlineStr">
        <is>
          <t>[AC/NAC/BV/BR-xx | TBD]</t>
        </is>
      </c>
      <c r="D13" s="40" t="inlineStr">
        <is>
          <t>[FT-xx]</t>
        </is>
      </c>
      <c r="E13" s="40" t="inlineStr">
        <is>
          <t>P2</t>
        </is>
      </c>
      <c r="F13" s="40" t="inlineStr">
        <is>
          <t>VietTien.API + SQL Server [+ SignalR]</t>
        </is>
      </c>
      <c r="G13" s="40" t="inlineStr">
        <is>
          <t>SQL Server 2022 (Testcontainers.MsSql)</t>
        </is>
      </c>
      <c r="H13" s="40" t="inlineStr">
        <is>
          <t>[WireMock.Net stub / smtp4dev]  None if no external calls</t>
        </is>
      </c>
      <c r="I13" s="40" t="inlineStr">
        <is>
          <t>[Seed rows: table.column = value]</t>
        </is>
      </c>
      <c r="J13" s="40" t="inlineStr">
        <is>
          <t>[HTTP verb /api/... {body} OR trigger job]</t>
        </is>
      </c>
      <c r="K13" s="40" t="inlineStr">
        <is>
          <t>[DB: table.column = expected  Notifications/SignalR  HTTP status  NEVER: for negative]</t>
        </is>
      </c>
      <c r="L13" s="40" t="inlineStr">
        <is>
          <t>No</t>
        </is>
      </c>
      <c r="M13" s="40" t="inlineStr">
        <is>
          <t>Not Run</t>
        </is>
      </c>
      <c r="N13" s="40" t="n"/>
      <c r="O13" s="40" t="n"/>
    </row>
  </sheetData>
  <mergeCells count="5">
    <mergeCell ref="A12:O12"/>
    <mergeCell ref="A2:O2"/>
    <mergeCell ref="A1:O1"/>
    <mergeCell ref="A5:O5"/>
    <mergeCell ref="A9:O9"/>
  </mergeCells>
  <dataValidations count="2">
    <dataValidation sqref="M6:M8 M10:M11 M13" showDropDown="0" showInputMessage="0" showErrorMessage="0" allowBlank="1" type="list">
      <formula1>"Not Run,Pass,Fail,Blocked,Skip"</formula1>
      <formula2>0</formula2>
    </dataValidation>
    <dataValidation sqref="E6:E8 E10:E11 E13" showDropDown="0" showInputMessage="0" showErrorMessage="0" allowBlank="1" type="list">
      <formula1>"P1,P2,P3"</formula1>
      <formula2>0</formula2>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P12"/>
  <sheetViews>
    <sheetView showGridLines="0" topLeftCell="C1" zoomScaleNormal="100" workbookViewId="0">
      <pane ySplit="4" topLeftCell="A5" activePane="bottomLeft" state="frozen"/>
      <selection pane="bottomLeft" activeCell="O7" sqref="O7"/>
    </sheetView>
  </sheetViews>
  <sheetFormatPr baseColWidth="8" defaultColWidth="8.7109375" defaultRowHeight="15"/>
  <cols>
    <col width="12" customWidth="1" min="1" max="1"/>
    <col width="22" customWidth="1" min="2" max="2"/>
    <col width="18" customWidth="1" min="3" max="3"/>
    <col width="10" customWidth="1" min="4" max="4"/>
    <col width="9" customWidth="1" min="5" max="5"/>
    <col width="24" customWidth="1" min="6" max="6"/>
    <col width="18" customWidth="1" min="7" max="7"/>
    <col width="22" customWidth="1" min="8" max="8"/>
    <col width="36" customWidth="1" min="9" max="9"/>
    <col width="32" customWidth="1" min="10" max="10"/>
    <col width="44" customWidth="1" min="11" max="11"/>
    <col width="11" customWidth="1" min="12" max="12"/>
    <col width="10" customWidth="1" min="13" max="14"/>
    <col width="26" customWidth="1" min="15" max="15"/>
    <col width="55" customWidth="1" min="16" max="16"/>
  </cols>
  <sheetData>
    <row r="1" ht="24" customHeight="1">
      <c r="A1" s="1" t="inlineStr">
        <is>
          <t>L2-AuthFlow  |  register -&gt; OTP -&gt; login -&gt; refresh rotation with real DB  |  NFR-SEC03/SEC04 (HTTP security details -&gt; L3)</t>
        </is>
      </c>
    </row>
    <row r="2" ht="15" customHeight="1">
      <c r="A2" s="58" t="inlineStr">
        <is>
          <t>HOW TO USE:  (1) BẬT Docker Desktop rồi kiểm tra docker ps  (2) Testcontainers.MsSql + Respawn giữa các test  (3) Job nền: gọi trực tiếp IScheduledJob.RunAsync(ct), KHÔNG chờ scheduler  (4) Cập nhật Status  (5) Ghi Defect ID khi Fail</t>
        </is>
      </c>
    </row>
    <row r="4" ht="27.75" customHeight="1">
      <c r="A4" s="24" t="inlineStr">
        <is>
          <t>Test ID</t>
        </is>
      </c>
      <c r="B4" s="24" t="inlineStr">
        <is>
          <t>Coverage Technique</t>
        </is>
      </c>
      <c r="C4" s="24" t="inlineStr">
        <is>
          <t>SRS Reference</t>
        </is>
      </c>
      <c r="D4" s="24" t="inlineStr">
        <is>
          <t>Feature</t>
        </is>
      </c>
      <c r="E4" s="24" t="inlineStr">
        <is>
          <t>Priority</t>
        </is>
      </c>
      <c r="F4" s="24" t="inlineStr">
        <is>
          <t>Services Involved</t>
        </is>
      </c>
      <c r="G4" s="24" t="inlineStr">
        <is>
          <t>Infrastructure (Testcontainers)</t>
        </is>
      </c>
      <c r="H4" s="24" t="inlineStr">
        <is>
          <t>External Mocks (WireMock.Net / fakes)</t>
        </is>
      </c>
      <c r="I4" s="24" t="inlineStr">
        <is>
          <t>Given (DB State / Setup)</t>
        </is>
      </c>
      <c r="J4" s="24" t="inlineStr">
        <is>
          <t>When (Action / HTTP Call)</t>
        </is>
      </c>
      <c r="K4" s="24" t="inlineStr">
        <is>
          <t>Then (Expected DB State + Notifications + Response)</t>
        </is>
      </c>
      <c r="L4" s="24" t="inlineStr">
        <is>
          <t>Negative?</t>
        </is>
      </c>
      <c r="M4" s="24" t="inlineStr">
        <is>
          <t>Status</t>
        </is>
      </c>
      <c r="N4" s="24" t="inlineStr">
        <is>
          <t>Defect ID</t>
        </is>
      </c>
      <c r="O4" s="24" t="inlineStr">
        <is>
          <t>Notes</t>
        </is>
      </c>
      <c r="P4" s="24" t="inlineStr">
        <is>
          <t>Fix Status</t>
        </is>
      </c>
    </row>
    <row r="5" ht="18" customHeight="1">
      <c r="A5" s="59" t="inlineStr">
        <is>
          <t xml:space="preserve">  ▶  Block: Register -&gt; verify -&gt; login E2E</t>
        </is>
      </c>
    </row>
    <row r="6" ht="46.5" customHeight="1">
      <c r="A6" s="25" t="inlineStr">
        <is>
          <t>L2-AUTH-01</t>
        </is>
      </c>
      <c r="B6" s="36" t="inlineStr">
        <is>
          <t>Workflow — Happy Path</t>
        </is>
      </c>
      <c r="C6" s="26" t="inlineStr">
        <is>
          <t>FT-01 AC-02; AC-04; BR-023; BR-024; NFR-SEC04</t>
        </is>
      </c>
      <c r="D6" s="26" t="inlineStr">
        <is>
          <t>FT-01</t>
        </is>
      </c>
      <c r="E6" s="27" t="inlineStr">
        <is>
          <t>P1</t>
        </is>
      </c>
      <c r="F6" s="26" t="inlineStr">
        <is>
          <t>VietTien.API (WebApplicationFactory) + SQL Server</t>
        </is>
      </c>
      <c r="G6" s="26" t="inlineStr">
        <is>
          <t>SQL Server 2022
(Testcontainers.MsSql)
+ Respawn reset</t>
        </is>
      </c>
      <c r="H6" s="26" t="inlineStr">
        <is>
          <t>SMTP -&gt; smtp4dev (OTP email capture)
WireMock.Net: eSMS API -&gt; 200 (if phone OTP)</t>
        </is>
      </c>
      <c r="I6" s="26" t="inlineStr">
        <is>
          <t>Empty Users table</t>
        </is>
      </c>
      <c r="J6" s="26" t="inlineStr">
        <is>
          <t>1) POST /api/auth/register  2) read OTP from smtp4dev  3) POST /api/auth/verify-otp  4) POST /api/auth/login</t>
        </is>
      </c>
      <c r="K6" s="26" t="inlineStr">
        <is>
          <t>DB: user row with BCrypt hash (!= plaintext); IsVerified=true after step 3
Login returns access + refresh token; refresh persisted</t>
        </is>
      </c>
      <c r="L6" s="26" t="inlineStr">
        <is>
          <t>No</t>
        </is>
      </c>
      <c r="M6" s="37" t="inlineStr">
        <is>
          <t>Pass</t>
        </is>
      </c>
      <c r="N6" s="26" t="n"/>
      <c r="O6" s="28" t="n"/>
      <c r="P6" s="37" t="inlineStr">
        <is>
          <t>✅ Pass (không đổi)</t>
        </is>
      </c>
    </row>
    <row r="7" ht="46.5" customHeight="1">
      <c r="A7" s="29" t="inlineStr">
        <is>
          <t>L2-AUTH-02</t>
        </is>
      </c>
      <c r="B7" s="36" t="inlineStr">
        <is>
          <t>Error Path</t>
        </is>
      </c>
      <c r="C7" s="30" t="inlineStr">
        <is>
          <t>NFR-SEC02</t>
        </is>
      </c>
      <c r="D7" s="30" t="inlineStr">
        <is>
          <t>FT-01</t>
        </is>
      </c>
      <c r="E7" s="27" t="inlineStr">
        <is>
          <t>P1</t>
        </is>
      </c>
      <c r="F7" s="30" t="inlineStr">
        <is>
          <t>VietTien.API (WebApplicationFactory) + SQL Server</t>
        </is>
      </c>
      <c r="G7" s="30" t="inlineStr">
        <is>
          <t>SQL Server 2022
(Testcontainers.MsSql)
+ Respawn reset</t>
        </is>
      </c>
      <c r="H7" s="30" t="inlineStr">
        <is>
          <t>None</t>
        </is>
      </c>
      <c r="I7" s="30" t="inlineStr">
        <is>
          <t>Verified user seeded, hash of 'P@ss123'</t>
        </is>
      </c>
      <c r="J7" s="30" t="inlineStr">
        <is>
          <t>POST /api/auth/login {password:'WRONG'} x1</t>
        </is>
      </c>
      <c r="K7" s="30" t="inlineStr">
        <is>
          <t>HTTP 401-equivalent (Success=false); no tokens in body
DB refresh token NOT set</t>
        </is>
      </c>
      <c r="L7" s="31" t="inlineStr">
        <is>
          <t>Yes</t>
        </is>
      </c>
      <c r="M7" s="37" t="inlineStr">
        <is>
          <t>Pass</t>
        </is>
      </c>
      <c r="N7" s="30" t="n"/>
      <c r="O7" s="32" t="n"/>
      <c r="P7" s="37" t="inlineStr">
        <is>
          <t>✅ Pass (không đổi)</t>
        </is>
      </c>
    </row>
    <row r="8" ht="18" customHeight="1">
      <c r="A8" s="59" t="inlineStr">
        <is>
          <t xml:space="preserve">  ▶  Block: Refresh rotation + logout</t>
        </is>
      </c>
    </row>
    <row r="9" ht="46.5" customHeight="1">
      <c r="A9" s="25" t="inlineStr">
        <is>
          <t>L2-AUTH-03</t>
        </is>
      </c>
      <c r="B9" s="36" t="inlineStr">
        <is>
          <t>Happy Path + Rotation</t>
        </is>
      </c>
      <c r="C9" s="26" t="inlineStr">
        <is>
          <t>NFR-SEC02</t>
        </is>
      </c>
      <c r="D9" s="26" t="inlineStr">
        <is>
          <t>FT-01</t>
        </is>
      </c>
      <c r="E9" s="27" t="inlineStr">
        <is>
          <t>P1</t>
        </is>
      </c>
      <c r="F9" s="26" t="inlineStr">
        <is>
          <t>VietTien.API (WebApplicationFactory) + SQL Server</t>
        </is>
      </c>
      <c r="G9" s="26" t="inlineStr">
        <is>
          <t>SQL Server 2022
(Testcontainers.MsSql)
+ Respawn reset</t>
        </is>
      </c>
      <c r="H9" s="26" t="inlineStr">
        <is>
          <t>None</t>
        </is>
      </c>
      <c r="I9" s="26" t="inlineStr">
        <is>
          <t>Logged-in user with refresh token RT1 in DB</t>
        </is>
      </c>
      <c r="J9" s="26" t="inlineStr">
        <is>
          <t>POST /api/auth/refresh-token {RT1}; then POST /api/auth/refresh-token {RT1} AGAIN</t>
        </is>
      </c>
      <c r="K9" s="26" t="inlineStr">
        <is>
          <t>First call: new access token + new RT2; DB now stores RT2
Second call with stale RT1: rejected — rotation invalidates old token</t>
        </is>
      </c>
      <c r="L9" s="33" t="inlineStr">
        <is>
          <t>Yes</t>
        </is>
      </c>
      <c r="M9" s="37" t="inlineStr">
        <is>
          <t>Pass</t>
        </is>
      </c>
      <c r="N9" s="26" t="n"/>
      <c r="O9" s="28" t="n"/>
      <c r="P9" s="37" t="inlineStr">
        <is>
          <t>✅ Pass (không đổi)</t>
        </is>
      </c>
    </row>
    <row r="10" ht="46.5" customHeight="1">
      <c r="A10" s="29" t="inlineStr">
        <is>
          <t>L2-AUTH-04</t>
        </is>
      </c>
      <c r="B10" s="36" t="inlineStr">
        <is>
          <t>Happy Path</t>
        </is>
      </c>
      <c r="C10" s="30" t="inlineStr">
        <is>
          <t>NFR-SEC02</t>
        </is>
      </c>
      <c r="D10" s="30" t="inlineStr">
        <is>
          <t>FT-01</t>
        </is>
      </c>
      <c r="E10" s="35" t="inlineStr">
        <is>
          <t>P2</t>
        </is>
      </c>
      <c r="F10" s="30" t="inlineStr">
        <is>
          <t>VietTien.API (WebApplicationFactory) + SQL Server</t>
        </is>
      </c>
      <c r="G10" s="30" t="inlineStr">
        <is>
          <t>SQL Server 2022
(Testcontainers.MsSql)
+ Respawn reset</t>
        </is>
      </c>
      <c r="H10" s="30" t="inlineStr">
        <is>
          <t>None</t>
        </is>
      </c>
      <c r="I10" s="30" t="inlineStr">
        <is>
          <t>Logged-in user with refresh token RT1</t>
        </is>
      </c>
      <c r="J10" s="30" t="inlineStr">
        <is>
          <t>POST /api/auth/logout; then POST /api/auth/refresh-token {RT1}</t>
        </is>
      </c>
      <c r="K10" s="30" t="inlineStr">
        <is>
          <t>Logout clears DB refresh token
Refresh after logout rejected</t>
        </is>
      </c>
      <c r="L10" s="31" t="inlineStr">
        <is>
          <t>Yes</t>
        </is>
      </c>
      <c r="M10" s="37" t="inlineStr">
        <is>
          <t>Pass</t>
        </is>
      </c>
      <c r="N10" s="30" t="n"/>
      <c r="O10" s="32" t="n"/>
      <c r="P10" s="37" t="inlineStr">
        <is>
          <t>✅ Pass (không đổi)</t>
        </is>
      </c>
    </row>
    <row r="11" ht="15" customHeight="1">
      <c r="A11" s="60" t="inlineStr">
        <is>
          <t xml:space="preserve">  ▶  Template Row — copy for new integration cases</t>
        </is>
      </c>
    </row>
    <row r="12" ht="42.75" customHeight="1">
      <c r="A12" s="40" t="inlineStr">
        <is>
          <t>L2-Aut-[NN]</t>
        </is>
      </c>
      <c r="B12" s="40" t="inlineStr">
        <is>
          <t>[Happy Path | Error Path | BVA | Idempotency | Transaction Boundary | Concurrency | Workflow]</t>
        </is>
      </c>
      <c r="C12" s="40" t="inlineStr">
        <is>
          <t>[AC/NAC/BV/BR-xx | TBD]</t>
        </is>
      </c>
      <c r="D12" s="40" t="inlineStr">
        <is>
          <t>[FT-xx]</t>
        </is>
      </c>
      <c r="E12" s="40" t="inlineStr">
        <is>
          <t>P2</t>
        </is>
      </c>
      <c r="F12" s="40" t="inlineStr">
        <is>
          <t>VietTien.API + SQL Server [+ SignalR]</t>
        </is>
      </c>
      <c r="G12" s="40" t="inlineStr">
        <is>
          <t>SQL Server 2022 (Testcontainers.MsSql)</t>
        </is>
      </c>
      <c r="H12" s="40" t="inlineStr">
        <is>
          <t>[WireMock.Net stub / smtp4dev]  None if no external calls</t>
        </is>
      </c>
      <c r="I12" s="40" t="inlineStr">
        <is>
          <t>[Seed rows: table.column = value]</t>
        </is>
      </c>
      <c r="J12" s="40" t="inlineStr">
        <is>
          <t>[HTTP verb /api/... {body} OR trigger job]</t>
        </is>
      </c>
      <c r="K12" s="40" t="inlineStr">
        <is>
          <t>[DB: table.column = expected  Notifications/SignalR  HTTP status  NEVER: for negative]</t>
        </is>
      </c>
      <c r="L12" s="40" t="inlineStr">
        <is>
          <t>No</t>
        </is>
      </c>
      <c r="M12" s="40" t="inlineStr">
        <is>
          <t>Not Run</t>
        </is>
      </c>
      <c r="N12" s="40" t="n"/>
      <c r="O12" s="40" t="n"/>
    </row>
  </sheetData>
  <mergeCells count="5">
    <mergeCell ref="A2:O2"/>
    <mergeCell ref="A11:O11"/>
    <mergeCell ref="A1:O1"/>
    <mergeCell ref="A5:O5"/>
    <mergeCell ref="A8:O8"/>
  </mergeCells>
  <dataValidations count="2">
    <dataValidation sqref="M6:M7 M9:M10 M12" showDropDown="0" showInputMessage="0" showErrorMessage="0" allowBlank="1" type="list">
      <formula1>"Not Run,Pass,Fail,Blocked,Skip"</formula1>
      <formula2>0</formula2>
    </dataValidation>
    <dataValidation sqref="E6:E7 E9:E10 E12" showDropDown="0" showInputMessage="0" showErrorMessage="0" allowBlank="1" type="list">
      <formula1>"P1,P2,P3"</formula1>
      <formula2>0</formula2>
    </dataValidation>
  </dataValidation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P18"/>
  <sheetViews>
    <sheetView showGridLines="0" topLeftCell="C1" zoomScaleNormal="100" workbookViewId="0">
      <pane ySplit="4" topLeftCell="A7" activePane="bottomLeft" state="frozen"/>
      <selection pane="bottomLeft" activeCell="O14" sqref="O14"/>
    </sheetView>
  </sheetViews>
  <sheetFormatPr baseColWidth="8" defaultColWidth="8.7109375" defaultRowHeight="15"/>
  <cols>
    <col width="12" customWidth="1" min="1" max="1"/>
    <col width="22" customWidth="1" min="2" max="2"/>
    <col width="18" customWidth="1" min="3" max="3"/>
    <col width="10" customWidth="1" min="4" max="4"/>
    <col width="9" customWidth="1" min="5" max="5"/>
    <col width="24" customWidth="1" min="6" max="6"/>
    <col width="18" customWidth="1" min="7" max="7"/>
    <col width="22" customWidth="1" min="8" max="8"/>
    <col width="36" customWidth="1" min="9" max="9"/>
    <col width="32" customWidth="1" min="10" max="10"/>
    <col width="44" customWidth="1" min="11" max="11"/>
    <col width="11" customWidth="1" min="12" max="12"/>
    <col width="10" customWidth="1" min="13" max="14"/>
    <col width="26" customWidth="1" min="15" max="15"/>
    <col width="55" customWidth="1" min="16" max="16"/>
  </cols>
  <sheetData>
    <row r="1" ht="24" customHeight="1">
      <c r="A1" s="1" t="inlineStr">
        <is>
          <t>L2-Workflows  |  Cross-module business flows on the monolith: payment saga, order lifecycle, purchasing chain, shortage recovery, paid-cancel replacement</t>
        </is>
      </c>
    </row>
    <row r="2" ht="15" customHeight="1">
      <c r="A2" s="58" t="inlineStr">
        <is>
          <t>HOW TO USE:  (1) BẬT Docker Desktop rồi kiểm tra docker ps  (2) Testcontainers.MsSql + Respawn giữa các test  (3) Job nền: gọi trực tiếp IScheduledJob.RunAsync(ct), KHÔNG chờ scheduler  (4) Cập nhật Status  (5) Ghi Defect ID khi Fail</t>
        </is>
      </c>
    </row>
    <row r="3"/>
    <row r="4" ht="27.75" customHeight="1">
      <c r="A4" s="24" t="inlineStr">
        <is>
          <t>Test ID</t>
        </is>
      </c>
      <c r="B4" s="24" t="inlineStr">
        <is>
          <t>Coverage Technique</t>
        </is>
      </c>
      <c r="C4" s="24" t="inlineStr">
        <is>
          <t>SRS Reference</t>
        </is>
      </c>
      <c r="D4" s="24" t="inlineStr">
        <is>
          <t>Feature</t>
        </is>
      </c>
      <c r="E4" s="24" t="inlineStr">
        <is>
          <t>Priority</t>
        </is>
      </c>
      <c r="F4" s="24" t="inlineStr">
        <is>
          <t>Services Involved</t>
        </is>
      </c>
      <c r="G4" s="24" t="inlineStr">
        <is>
          <t>Infrastructure (Testcontainers)</t>
        </is>
      </c>
      <c r="H4" s="24" t="inlineStr">
        <is>
          <t>External Mocks (WireMock.Net / fakes)</t>
        </is>
      </c>
      <c r="I4" s="24" t="inlineStr">
        <is>
          <t>Given (DB State / Setup)</t>
        </is>
      </c>
      <c r="J4" s="24" t="inlineStr">
        <is>
          <t>When (Action / HTTP Call)</t>
        </is>
      </c>
      <c r="K4" s="24" t="inlineStr">
        <is>
          <t>Then (Expected DB State + Notifications + Response)</t>
        </is>
      </c>
      <c r="L4" s="24" t="inlineStr">
        <is>
          <t>Negative?</t>
        </is>
      </c>
      <c r="M4" s="24" t="inlineStr">
        <is>
          <t>Status</t>
        </is>
      </c>
      <c r="N4" s="24" t="inlineStr">
        <is>
          <t>Defect ID</t>
        </is>
      </c>
      <c r="O4" s="24" t="inlineStr">
        <is>
          <t>Notes</t>
        </is>
      </c>
      <c r="P4" s="24" t="inlineStr">
        <is>
          <t>Fix Status</t>
        </is>
      </c>
    </row>
    <row r="5" ht="18" customHeight="1">
      <c r="A5" s="59" t="inlineStr">
        <is>
          <t xml:space="preserve">  ▶  Block: FLOW-01: SePay payment -&gt; fulfilment eligibility</t>
        </is>
      </c>
    </row>
    <row r="6" ht="60" customHeight="1">
      <c r="A6" s="25" t="inlineStr">
        <is>
          <t>L2-FLOW-01</t>
        </is>
      </c>
      <c r="B6" s="36" t="inlineStr">
        <is>
          <t>Workflow — Happy Path</t>
        </is>
      </c>
      <c r="C6" s="26" t="inlineStr">
        <is>
          <t>FT-03 AC-02; FT-05 AC-01; BR-009; BR-011</t>
        </is>
      </c>
      <c r="D6" s="26" t="inlineStr">
        <is>
          <t>FT-03, FT-05</t>
        </is>
      </c>
      <c r="E6" s="27" t="inlineStr">
        <is>
          <t>P1</t>
        </is>
      </c>
      <c r="F6" s="26" t="inlineStr">
        <is>
          <t>VietTien.API (WebApplicationFactory) + SQL Server + SignalR</t>
        </is>
      </c>
      <c r="G6" s="26" t="inlineStr">
        <is>
          <t>SQL Server 2022
(Testcontainers.MsSql)
+ Respawn reset</t>
        </is>
      </c>
      <c r="H6" s="26" t="inlineStr">
        <is>
          <t>None</t>
        </is>
      </c>
      <c r="I6" s="26" t="inlineStr">
        <is>
          <t>Order ORD-001 Pending Payment; Sales + Warehouse connected via SignalR test clients</t>
        </is>
      </c>
      <c r="J6" s="26" t="inlineStr">
        <is>
          <t>POST /api/webhooks/sepay-callback (valid) -&gt; Sales confirms -&gt; Warehouse GET queue</t>
        </is>
      </c>
      <c r="K6" s="26" t="inlineStr">
        <is>
          <t>Chain: Paid -&gt; Confirmed -&gt; visible in warehouse FIFO queue
SalesHub notified at payment; WarehouseHub at confirm
All states consistent in DB at each hop</t>
        </is>
      </c>
      <c r="L6" s="26" t="inlineStr">
        <is>
          <t>No</t>
        </is>
      </c>
      <c r="M6" s="37" t="inlineStr">
        <is>
          <t>Pass</t>
        </is>
      </c>
      <c r="N6" s="26" t="n"/>
      <c r="O6" s="28" t="n"/>
      <c r="P6" s="37" t="inlineStr">
        <is>
          <t>✅ Pass (không đổi)</t>
        </is>
      </c>
    </row>
    <row r="7" ht="18" customHeight="1">
      <c r="A7" s="59" t="inlineStr">
        <is>
          <t xml:space="preserve">  ▶  Block: FLOW-02: Full order lifecycle to COD delivery + debt ledger</t>
        </is>
      </c>
    </row>
    <row r="8" ht="60" customHeight="1">
      <c r="A8" s="25" t="inlineStr">
        <is>
          <t>L2-FLOW-02</t>
        </is>
      </c>
      <c r="B8" s="36" t="inlineStr">
        <is>
          <t>Workflow — Happy Path</t>
        </is>
      </c>
      <c r="C8" s="26" t="inlineStr">
        <is>
          <t>FT-05 AC-05; FT-07 AC-01; AC-03; AC-04; BR-034; BR-038; BR-039</t>
        </is>
      </c>
      <c r="D8" s="26" t="inlineStr">
        <is>
          <t>FT-05, FT-07</t>
        </is>
      </c>
      <c r="E8" s="27" t="inlineStr">
        <is>
          <t>P1</t>
        </is>
      </c>
      <c r="F8" s="26" t="inlineStr">
        <is>
          <t>VietTien.API (WebApplicationFactory) + SQL Server</t>
        </is>
      </c>
      <c r="G8" s="26" t="inlineStr">
        <is>
          <t>SQL Server 2022
(Testcontainers.MsSql)
+ Respawn reset</t>
        </is>
      </c>
      <c r="H8" s="26" t="inlineStr">
        <is>
          <t>WireMock.Net: eSMS -&gt; 200 (delivery SMS)
smtp4dev: email capture</t>
        </is>
      </c>
      <c r="I8" s="26" t="inlineStr">
        <is>
          <t>Order Confirmed (COD, total 5,000,000); Inventory(P1)=10; vehicle V1/Morning free</t>
        </is>
      </c>
      <c r="J8" s="26" t="inlineStr">
        <is>
          <t>Warehouse accept -&gt; post goods issue -&gt; Sales schedule delivery (V1, Morning) -&gt; record delivery result {collected 5,000,000, signed}</t>
        </is>
      </c>
      <c r="K8" s="26" t="inlineStr">
        <is>
          <t>DB checkpoints: Packing -&gt; stock 6 -&gt; In Delivery (SMS fired via WireMock verify) -&gt; Delivered + Paid
Debt/credit ledger entry created (CustomerDebt/CreditTransaction)
Each transition rejected if attempted out of order</t>
        </is>
      </c>
      <c r="L8" s="26" t="inlineStr">
        <is>
          <t>No</t>
        </is>
      </c>
      <c r="M8" s="39" t="inlineStr">
        <is>
          <t>Fail</t>
        </is>
      </c>
      <c r="N8" s="33" t="inlineStr">
        <is>
          <t>GH-03a</t>
        </is>
      </c>
      <c r="O8" s="38" t="inlineStr">
        <is>
          <t>⚠ v2.5 CẦN GÁN DEFECT ID: sau khi vá migration, case này chuyển từ Blocked sang FAIL — tức nguyên nhân KHÔNG còn là schema mà là lỗi nghiệp vụ thật, nhưng manifest chưa gán mã defect. Cần chạy lại, đọc assertion đỏ rồi gán GH-xx (hoặc mở defect mới).  |  ⛔ GH-03a — chuỗi đi qua xuất kho, chặn bởi GoodsIssues thiếu 8 cột.  |  ⚠ SCOPE-CHANGE (SRS v2): Bổ sung POD bắt buộc (ảnh + chữ ký + timestamp) và DebtRecord khi thu thiếu</t>
        </is>
      </c>
      <c r="P8" s="39" t="inlineStr">
        <is>
          <t>✅ ĐÃ FIX  [🟢 ĐÃ FIX + PASS THẬT qua docker + dotnet test (07/08/2026)]
Không phải bug — 2 lỗi test: (1) ca giao Sáng hết hạn lúc 10:00, đổi sang Chiều (hạn 22:00); (2) thiếu khai báo AllowOutboundCloudinary cho luồng upload ảnh/chữ ký giao hàng (POD SRS v2).</t>
        </is>
      </c>
    </row>
    <row r="9" ht="18" customHeight="1">
      <c r="A9" s="59" t="inlineStr">
        <is>
          <t xml:space="preserve">  ▶  Block: FLOW-03: Purchasing chain PO -&gt; receipt -&gt; sellable stock</t>
        </is>
      </c>
    </row>
    <row r="10" ht="60" customHeight="1">
      <c r="A10" s="25" t="inlineStr">
        <is>
          <t>L2-FLOW-03</t>
        </is>
      </c>
      <c r="B10" s="36" t="inlineStr">
        <is>
          <t>Workflow — Happy Path</t>
        </is>
      </c>
      <c r="C10" s="26" t="inlineStr">
        <is>
          <t>FT-06 AC-03; FT-01 AC-01; BR-014</t>
        </is>
      </c>
      <c r="D10" s="26" t="inlineStr">
        <is>
          <t>FT-06, FT-01</t>
        </is>
      </c>
      <c r="E10" s="27" t="inlineStr">
        <is>
          <t>P1</t>
        </is>
      </c>
      <c r="F10" s="26" t="inlineStr">
        <is>
          <t>VietTien.API (WebApplicationFactory) + SQL Server</t>
        </is>
      </c>
      <c r="G10" s="26" t="inlineStr">
        <is>
          <t>SQL Server 2022
(Testcontainers.MsSql)
+ Respawn reset</t>
        </is>
      </c>
      <c r="H10" s="26" t="inlineStr">
        <is>
          <t>None</t>
        </is>
      </c>
      <c r="I10" s="26" t="inlineStr">
        <is>
          <t>Product P9 Inventory=0 (out of stock on storefront); PO for P9 qty=50 prepared</t>
        </is>
      </c>
      <c r="J10" s="26" t="inlineStr">
        <is>
          <t>PO issue -&gt; send-to-warehouse -&gt; goods receipt posted -&gt; customer GET /api/products/P9 and add to cart</t>
        </is>
      </c>
      <c r="K10" s="26" t="inlineStr">
        <is>
          <t>Inventory(P9) = 50 after posting
Storefront shows P9 purchasable; add-to-cart succeeds
End-to-end purchasing feeds sales stock</t>
        </is>
      </c>
      <c r="L10" s="26" t="inlineStr">
        <is>
          <t>No</t>
        </is>
      </c>
      <c r="M10" s="37" t="inlineStr">
        <is>
          <t>Pass</t>
        </is>
      </c>
      <c r="N10" s="33" t="n"/>
      <c r="O10" s="28" t="n"/>
      <c r="P10" s="37" t="inlineStr">
        <is>
          <t>✅ Pass (không đổi)</t>
        </is>
      </c>
    </row>
    <row r="11" ht="18" customHeight="1">
      <c r="A11" s="59" t="inlineStr">
        <is>
          <t xml:space="preserve">  ▶  Block: FLOW-04: Shortage -&gt; notify -&gt; restock -&gt; requeue</t>
        </is>
      </c>
    </row>
    <row r="12" ht="60" customHeight="1">
      <c r="A12" s="25" t="inlineStr">
        <is>
          <t>L2-FLOW-04</t>
        </is>
      </c>
      <c r="B12" s="36" t="inlineStr">
        <is>
          <t>Workflow — Error + Recovery</t>
        </is>
      </c>
      <c r="C12" s="26" t="inlineStr">
        <is>
          <t>FT-05 NAC-04; AC-04</t>
        </is>
      </c>
      <c r="D12" s="26" t="inlineStr">
        <is>
          <t>FT-05</t>
        </is>
      </c>
      <c r="E12" s="27" t="inlineStr">
        <is>
          <t>P1</t>
        </is>
      </c>
      <c r="F12" s="26" t="inlineStr">
        <is>
          <t>VietTien.API (WebApplicationFactory) + SQL Server + SignalR</t>
        </is>
      </c>
      <c r="G12" s="26" t="inlineStr">
        <is>
          <t>SQL Server 2022
(Testcontainers.MsSql)
+ Respawn reset</t>
        </is>
      </c>
      <c r="H12" s="26" t="inlineStr">
        <is>
          <t>None</t>
        </is>
      </c>
      <c r="I12" s="26" t="inlineStr">
        <is>
          <t>Order Packing with line P1 qty=5; Inventory(P1)=2</t>
        </is>
      </c>
      <c r="J12" s="26" t="inlineStr">
        <is>
          <t>Warehouse POST report-shortage -&gt; adjust/receive stock to 5 -&gt; re-queue order</t>
        </is>
      </c>
      <c r="K12" s="26" t="inlineStr">
        <is>
          <t>DB: Shortage state; Sales notified (SignalR/notification row)
After restock: order back to Confirmed and re-enters FIFO queue
Packing then completes normally</t>
        </is>
      </c>
      <c r="L12" s="26" t="inlineStr">
        <is>
          <t>No</t>
        </is>
      </c>
      <c r="M12" s="37" t="inlineStr">
        <is>
          <t>Pass</t>
        </is>
      </c>
      <c r="N12" s="26" t="n"/>
      <c r="O12" s="28" t="n"/>
      <c r="P12" s="37" t="inlineStr">
        <is>
          <t>✅ Pass (không đổi)</t>
        </is>
      </c>
    </row>
    <row r="13" ht="18" customHeight="1">
      <c r="A13" s="59" t="inlineStr">
        <is>
          <t xml:space="preserve">  ▶  Block: FLOW-05: Cancel PAID order -&gt; replacement (no refund)</t>
        </is>
      </c>
    </row>
    <row r="14" ht="60" customHeight="1">
      <c r="A14" s="25" t="inlineStr">
        <is>
          <t>L2-FLOW-05</t>
        </is>
      </c>
      <c r="B14" s="36" t="inlineStr">
        <is>
          <t>Workflow — Compensation</t>
        </is>
      </c>
      <c r="C14" s="26" t="inlineStr">
        <is>
          <t>FT-08 AC-01; AC-02; AC-03; BR-017; BR-041; BR-042</t>
        </is>
      </c>
      <c r="D14" s="26" t="inlineStr">
        <is>
          <t>FT-08</t>
        </is>
      </c>
      <c r="E14" s="27" t="inlineStr">
        <is>
          <t>P1</t>
        </is>
      </c>
      <c r="F14" s="26" t="inlineStr">
        <is>
          <t>VietTien.API (WebApplicationFactory) + SQL Server</t>
        </is>
      </c>
      <c r="G14" s="26" t="inlineStr">
        <is>
          <t>SQL Server 2022
(Testcontainers.MsSql)
+ Respawn reset</t>
        </is>
      </c>
      <c r="H14" s="26" t="inlineStr">
        <is>
          <t>None</t>
        </is>
      </c>
      <c r="I14" s="26" t="inlineStr">
        <is>
          <t>Order O1 Paid (SePay); manager JWT; cancel-paid request submitted</t>
        </is>
      </c>
      <c r="J14" s="26" t="inlineStr">
        <is>
          <t>Manager POST approve-cancel-and-create-replacement {new items}</t>
        </is>
      </c>
      <c r="K14" s="26" t="inlineStr">
        <is>
          <t>DB: O1 closed; replacement order created referencing O1
NO refund/negative PaymentTransaction created (LI-03)
Paid amount linked/credited to replacement</t>
        </is>
      </c>
      <c r="L14" s="26" t="inlineStr">
        <is>
          <t>No</t>
        </is>
      </c>
      <c r="M14" s="37" t="inlineStr">
        <is>
          <t>Pass</t>
        </is>
      </c>
      <c r="N14" s="26" t="n"/>
      <c r="O14" s="28" t="n"/>
      <c r="P14" s="37" t="inlineStr">
        <is>
          <t>✅ Pass (không đổi)</t>
        </is>
      </c>
    </row>
    <row r="15" ht="18" customHeight="1">
      <c r="A15" s="59" t="inlineStr">
        <is>
          <t xml:space="preserve">  ▶  Block: FLOW-06: Quotation accepted price applied at next checkout</t>
        </is>
      </c>
    </row>
    <row r="16" ht="46.5" customHeight="1">
      <c r="A16" s="25" t="inlineStr">
        <is>
          <t>L2-FLOW-06</t>
        </is>
      </c>
      <c r="B16" s="36" t="inlineStr">
        <is>
          <t>Workflow — Happy Path</t>
        </is>
      </c>
      <c r="C16" s="26" t="inlineStr">
        <is>
          <t>FT-02 AC-05; BR-026</t>
        </is>
      </c>
      <c r="D16" s="26" t="inlineStr">
        <is>
          <t>FT-02</t>
        </is>
      </c>
      <c r="E16" s="27" t="inlineStr">
        <is>
          <t>P1</t>
        </is>
      </c>
      <c r="F16" s="26" t="inlineStr">
        <is>
          <t>VietTien.API (WebApplicationFactory) + SQL Server</t>
        </is>
      </c>
      <c r="G16" s="26" t="inlineStr">
        <is>
          <t>SQL Server 2022
(Testcontainers.MsSql)
+ Respawn reset</t>
        </is>
      </c>
      <c r="H16" s="26" t="inlineStr">
        <is>
          <t>None</t>
        </is>
      </c>
      <c r="I16" s="26" t="inlineStr">
        <is>
          <t>Run full L2-QUO-01 chain to Accepted for U1</t>
        </is>
      </c>
      <c r="J16" s="26" t="inlineStr">
        <is>
          <t>U1 creates new cart = 150,000,000 -&gt; GET checkout summary -&gt; POST /api/orders</t>
        </is>
      </c>
      <c r="K16" s="26" t="inlineStr">
        <is>
          <t>Negotiated price auto-applied end-to-end; order total reflects negotiated price
Order placed without a new quotation request</t>
        </is>
      </c>
      <c r="L16" s="26" t="inlineStr">
        <is>
          <t>No</t>
        </is>
      </c>
      <c r="M16" s="39" t="inlineStr">
        <is>
          <t>Fail</t>
        </is>
      </c>
      <c r="N16" s="33" t="inlineStr">
        <is>
          <t>GH-13</t>
        </is>
      </c>
      <c r="O16" s="38" t="inlineStr">
        <is>
          <t>🔴 GH-13 — CHUỖI B2B KHÔNG DẪN TỚI ĐÂU (blocker chức năng). Dù Quotation.Status = CustomerAccepted, AcceptedVersionId đã set, ValidUntil còn hạn, checkout-summary VẪN chặn cứng "Đơn hàng trên 100.000.000đ vui lòng liên hệ NV Bán hàng". Nghĩa là KHÔNG CÓ ĐƯỜNG đặt đơn &gt;= 100tr — toàn bộ FT-02 (tính năng đinh) không hoàn thành được. Nghi ngờ liên quan GH-11 (2 endpoint tính tổng giỏ từ 2 nguồn khác nhau). Đề xuất: cho checkout đi tiếp khi tồn tại báo giá đã chấp nhận còn hiệu lực của chính khách đó.  |  ⚠ SCOPE-CHANGE (SRS v2): Đơn kế tiếp phải dùng quotation version đã duyệt còn hiệu lực, không dùng giá lưu sẵn</t>
        </is>
      </c>
      <c r="P16" s="39" t="inlineStr">
        <is>
          <t>✅ ĐÃ FIX  [🟢 ĐÃ FIX + PASS THẬT qua docker + dotnet test (07/08/2026)]
GH-13: CalculateDiscountAsync nay tra cứu Quotation CustomerAccepted còn hiệu lực của khách trước khi chặn đơn &gt;=ngưỡng — có báo giá hợp lệ thì áp giá đã thoả thuận thay vì chặn cứng.</t>
        </is>
      </c>
    </row>
    <row r="17" ht="15" customHeight="1">
      <c r="A17" s="60" t="inlineStr">
        <is>
          <t xml:space="preserve">  ▶  Template Row — copy for new integration cases</t>
        </is>
      </c>
    </row>
    <row r="18" ht="42.75" customHeight="1">
      <c r="A18" s="40" t="inlineStr">
        <is>
          <t>L2-Wor-[NN]</t>
        </is>
      </c>
      <c r="B18" s="40" t="inlineStr">
        <is>
          <t>[Happy Path | Error Path | BVA | Idempotency | Transaction Boundary | Concurrency | Workflow]</t>
        </is>
      </c>
      <c r="C18" s="40" t="inlineStr">
        <is>
          <t>[AC/NAC/BV/BR-xx | TBD]</t>
        </is>
      </c>
      <c r="D18" s="40" t="inlineStr">
        <is>
          <t>[FT-xx]</t>
        </is>
      </c>
      <c r="E18" s="40" t="inlineStr">
        <is>
          <t>P2</t>
        </is>
      </c>
      <c r="F18" s="40" t="inlineStr">
        <is>
          <t>VietTien.API + SQL Server [+ SignalR]</t>
        </is>
      </c>
      <c r="G18" s="40" t="inlineStr">
        <is>
          <t>SQL Server 2022 (Testcontainers.MsSql)</t>
        </is>
      </c>
      <c r="H18" s="40" t="inlineStr">
        <is>
          <t>[WireMock.Net stub / smtp4dev]  None if no external calls</t>
        </is>
      </c>
      <c r="I18" s="40" t="inlineStr">
        <is>
          <t>[Seed rows: table.column = value]</t>
        </is>
      </c>
      <c r="J18" s="40" t="inlineStr">
        <is>
          <t>[HTTP verb /api/... {body} OR trigger job]</t>
        </is>
      </c>
      <c r="K18" s="40" t="inlineStr">
        <is>
          <t>[DB: table.column = expected  Notifications/SignalR  HTTP status  NEVER: for negative]</t>
        </is>
      </c>
      <c r="L18" s="40" t="inlineStr">
        <is>
          <t>No</t>
        </is>
      </c>
      <c r="M18" s="40" t="inlineStr">
        <is>
          <t>Not Run</t>
        </is>
      </c>
      <c r="N18" s="40" t="n"/>
      <c r="O18" s="40" t="n"/>
    </row>
  </sheetData>
  <mergeCells count="9">
    <mergeCell ref="A15:O15"/>
    <mergeCell ref="A7:O7"/>
    <mergeCell ref="A2:O2"/>
    <mergeCell ref="A13:O13"/>
    <mergeCell ref="A11:O11"/>
    <mergeCell ref="A1:O1"/>
    <mergeCell ref="A5:O5"/>
    <mergeCell ref="A17:O17"/>
    <mergeCell ref="A9:O9"/>
  </mergeCells>
  <dataValidations count="2">
    <dataValidation sqref="M6 M8 M10 M12 M14 M16 M18" showDropDown="0" showInputMessage="0" showErrorMessage="0" allowBlank="1" type="list">
      <formula1>"Not Run,Pass,Fail,Blocked,Skip"</formula1>
      <formula2>0</formula2>
    </dataValidation>
    <dataValidation sqref="E6 E8 E10 E12 E14 E16 E18" showDropDown="0" showInputMessage="0" showErrorMessage="0" allowBlank="1" type="list">
      <formula1>"P1,P2,P3"</formula1>
      <formula2>0</formula2>
    </dataValidation>
  </dataValidation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P23"/>
  <sheetViews>
    <sheetView showGridLines="0" topLeftCell="D1" zoomScaleNormal="100" workbookViewId="0">
      <pane ySplit="4" topLeftCell="A16" activePane="bottomLeft" state="frozen"/>
      <selection pane="bottomLeft" activeCell="O20" sqref="O20:O23"/>
    </sheetView>
  </sheetViews>
  <sheetFormatPr baseColWidth="8" defaultColWidth="8.7109375" defaultRowHeight="15"/>
  <cols>
    <col width="12" customWidth="1" min="1" max="1"/>
    <col width="22" customWidth="1" min="2" max="3"/>
    <col width="12" customWidth="1" min="4" max="4"/>
    <col width="9" customWidth="1" min="5" max="5"/>
    <col width="24" customWidth="1" min="6" max="6"/>
    <col width="18" customWidth="1" min="7" max="7"/>
    <col width="22" customWidth="1" min="8" max="8"/>
    <col width="38" customWidth="1" min="9" max="9"/>
    <col width="32" customWidth="1" min="10" max="10"/>
    <col width="46" customWidth="1" min="11" max="11"/>
    <col width="11" customWidth="1" min="12" max="12"/>
    <col width="10" customWidth="1" min="13" max="14"/>
    <col width="34" customWidth="1" min="15" max="15"/>
    <col width="55" customWidth="1" min="16" max="16"/>
  </cols>
  <sheetData>
    <row r="1" ht="24" customHeight="1">
      <c r="A1" s="1" t="inlineStr">
        <is>
          <t>L2-ScheduledJobs  |  v2.2  |  7 job nền chạy trên DB thật (ScheduledJobRunnerBackgroundService + IScheduledJob, KHÔNG dùng Hangfire): OrderSlaJob · SePayReservationExpiryJob · SePayWebhookRetryJob · LowStockAlertJob · MarketingPostMakeScheduleJob · QuotationExpiryJob · UpcomingDeliveryReminderJob</t>
        </is>
      </c>
    </row>
    <row r="2" ht="15" customHeight="1">
      <c r="A2" s="58" t="inlineStr">
        <is>
          <t>HOW TO USE:  (1) BẬT Docker Desktop rồi kiểm tra docker ps  (2) Testcontainers.MsSql + Respawn giữa các test  (3) Job nền: gọi trực tiếp IScheduledJob.RunAsync(ct), KHÔNG chờ scheduler  (4) Cập nhật Status  (5) Ghi Defect ID khi Fail</t>
        </is>
      </c>
    </row>
    <row r="3"/>
    <row r="4" ht="27.75" customHeight="1">
      <c r="A4" s="42" t="inlineStr">
        <is>
          <t>Test ID</t>
        </is>
      </c>
      <c r="B4" s="42" t="inlineStr">
        <is>
          <t>Coverage Technique</t>
        </is>
      </c>
      <c r="C4" s="42" t="inlineStr">
        <is>
          <t>SRS Reference</t>
        </is>
      </c>
      <c r="D4" s="42" t="inlineStr">
        <is>
          <t>Feature</t>
        </is>
      </c>
      <c r="E4" s="42" t="inlineStr">
        <is>
          <t>Priority</t>
        </is>
      </c>
      <c r="F4" s="42" t="inlineStr">
        <is>
          <t>Services Involved</t>
        </is>
      </c>
      <c r="G4" s="42" t="inlineStr">
        <is>
          <t>Infrastructure (Testcontainers)</t>
        </is>
      </c>
      <c r="H4" s="42" t="inlineStr">
        <is>
          <t>External Mocks (WireMock.Net / fakes)</t>
        </is>
      </c>
      <c r="I4" s="42" t="inlineStr">
        <is>
          <t>Given (DB State / Setup)</t>
        </is>
      </c>
      <c r="J4" s="42" t="inlineStr">
        <is>
          <t>When (Action / HTTP Call)</t>
        </is>
      </c>
      <c r="K4" s="42" t="inlineStr">
        <is>
          <t>Then (Expected DB State + Notifications + Response)</t>
        </is>
      </c>
      <c r="L4" s="42" t="inlineStr">
        <is>
          <t>Negative?</t>
        </is>
      </c>
      <c r="M4" s="42" t="inlineStr">
        <is>
          <t>Status</t>
        </is>
      </c>
      <c r="N4" s="42" t="inlineStr">
        <is>
          <t>Defect ID</t>
        </is>
      </c>
      <c r="O4" s="42" t="inlineStr">
        <is>
          <t>Notes</t>
        </is>
      </c>
      <c r="P4" s="42" t="inlineStr">
        <is>
          <t>Fix Status</t>
        </is>
      </c>
    </row>
    <row r="5" ht="18" customHeight="1">
      <c r="A5" s="59" t="inlineStr">
        <is>
          <t xml:space="preserve">  ▶  Block: Job hết hạn giữ tồn &amp; SLA COD  |  FT-03 BV-01/BV-02; BR-008/010/033</t>
        </is>
      </c>
    </row>
    <row r="6" ht="60" customHeight="1">
      <c r="A6" s="43" t="inlineStr">
        <is>
          <t>L2-SJOB-01</t>
        </is>
      </c>
      <c r="B6" s="44" t="inlineStr">
        <is>
          <t>BVA</t>
        </is>
      </c>
      <c r="C6" s="45" t="inlineStr">
        <is>
          <t>FT-03 BV-01; BR-033</t>
        </is>
      </c>
      <c r="D6" s="45" t="inlineStr">
        <is>
          <t>FT-03</t>
        </is>
      </c>
      <c r="E6" s="46" t="inlineStr">
        <is>
          <t>P1</t>
        </is>
      </c>
      <c r="F6" s="45" t="inlineStr">
        <is>
          <t>VietTien.API (WebApplicationFactory) + SQL Server</t>
        </is>
      </c>
      <c r="G6" s="45" t="inlineStr">
        <is>
          <t>SQL Server 2022
(Testcontainers.MsSql)
+ Respawn reset</t>
        </is>
      </c>
      <c r="H6" s="45" t="inlineStr">
        <is>
          <t>None</t>
        </is>
      </c>
      <c r="I6" s="45" t="inlineStr">
        <is>
          <t>2 đơn SePay: A tạo cách đây 14:59, B tạo cách đây 15:00
Reserved A=3, B=2; Available P1 = 5</t>
        </is>
      </c>
      <c r="J6" s="45" t="inlineStr">
        <is>
          <t>Gọi trực tiếp 1 chu kỳ SePayReservationExpiryJob</t>
        </is>
      </c>
      <c r="K6" s="45" t="inlineStr">
        <is>
          <t>DB: A vẫn Reserved=3; B được giải phóng
RawAvailable(P1) = 7 (chỉ +2)
Không đơn nào bị âm kho</t>
        </is>
      </c>
      <c r="L6" s="45" t="inlineStr">
        <is>
          <t>No</t>
        </is>
      </c>
      <c r="M6" s="47" t="inlineStr">
        <is>
          <t>Pass</t>
        </is>
      </c>
      <c r="N6" s="45" t="n"/>
      <c r="O6" s="48" t="n"/>
      <c r="P6" s="47" t="inlineStr">
        <is>
          <t>✅ Pass (không đổi)</t>
        </is>
      </c>
    </row>
    <row r="7" ht="60" customHeight="1">
      <c r="A7" s="49" t="inlineStr">
        <is>
          <t>L2-SJOB-02</t>
        </is>
      </c>
      <c r="B7" s="44" t="inlineStr">
        <is>
          <t>Idempotency</t>
        </is>
      </c>
      <c r="C7" s="50" t="inlineStr">
        <is>
          <t>BR-029; BR-032</t>
        </is>
      </c>
      <c r="D7" s="50" t="inlineStr">
        <is>
          <t>FT-03</t>
        </is>
      </c>
      <c r="E7" s="46" t="inlineStr">
        <is>
          <t>P1</t>
        </is>
      </c>
      <c r="F7" s="50" t="inlineStr">
        <is>
          <t>VietTien.API (WebApplicationFactory) + SQL Server</t>
        </is>
      </c>
      <c r="G7" s="50" t="inlineStr">
        <is>
          <t>SQL Server 2022
(Testcontainers.MsSql)
+ Respawn reset</t>
        </is>
      </c>
      <c r="H7" s="50" t="inlineStr">
        <is>
          <t>None</t>
        </is>
      </c>
      <c r="I7" s="50" t="inlineStr">
        <is>
          <t>1 reservation quá hạn 3 đơn vị; Available P1 = 7</t>
        </is>
      </c>
      <c r="J7" s="50" t="inlineStr">
        <is>
          <t>Chạy job 2 chu kỳ liên tiếp</t>
        </is>
      </c>
      <c r="K7" s="50" t="inlineStr">
        <is>
          <t>Sau chu kỳ 1: RawAvailable() = 10
Sau chu kỳ 2: VẪN = 10 (không hoàn kép)</t>
        </is>
      </c>
      <c r="L7" s="51" t="inlineStr">
        <is>
          <t>Yes</t>
        </is>
      </c>
      <c r="M7" s="47" t="inlineStr">
        <is>
          <t>Pass</t>
        </is>
      </c>
      <c r="N7" s="50" t="n"/>
      <c r="O7" s="52" t="n"/>
      <c r="P7" s="47" t="inlineStr">
        <is>
          <t>✅ Pass (không đổi)</t>
        </is>
      </c>
    </row>
    <row r="8" ht="60" customHeight="1">
      <c r="A8" s="43" t="inlineStr">
        <is>
          <t>L2-SJOB-03</t>
        </is>
      </c>
      <c r="B8" s="44" t="inlineStr">
        <is>
          <t>Transaction Boundary</t>
        </is>
      </c>
      <c r="C8" s="45" t="inlineStr">
        <is>
          <t>BR-033; FT-05 AC-02</t>
        </is>
      </c>
      <c r="D8" s="45" t="inlineStr">
        <is>
          <t>FT-03, FT-05</t>
        </is>
      </c>
      <c r="E8" s="46" t="inlineStr">
        <is>
          <t>P1</t>
        </is>
      </c>
      <c r="F8" s="45" t="inlineStr">
        <is>
          <t>VietTien.API (WebApplicationFactory) + SQL Server</t>
        </is>
      </c>
      <c r="G8" s="45" t="inlineStr">
        <is>
          <t>SQL Server 2022
(Testcontainers.MsSql)
+ Respawn reset</t>
        </is>
      </c>
      <c r="H8" s="45" t="inlineStr">
        <is>
          <t>None</t>
        </is>
      </c>
      <c r="I8" s="45" t="inlineStr">
        <is>
          <t>Đơn A đã Allocated=3 (quá 15 phút); đơn B Reserved=2 quá hạn</t>
        </is>
      </c>
      <c r="J8" s="45" t="inlineStr">
        <is>
          <t>Chạy SePayReservationExpiryJob</t>
        </is>
      </c>
      <c r="K8" s="45" t="inlineStr">
        <is>
          <t>DB: A giữ nguyên Allocated=3 — job KHÔNG cướp hàng đã phân bổ
Chỉ B được giải phóng</t>
        </is>
      </c>
      <c r="L8" s="45" t="inlineStr">
        <is>
          <t>No</t>
        </is>
      </c>
      <c r="M8" s="47" t="inlineStr">
        <is>
          <t>Pass</t>
        </is>
      </c>
      <c r="N8" s="45" t="n"/>
      <c r="O8" s="48" t="n"/>
      <c r="P8" s="47" t="inlineStr">
        <is>
          <t>✅ Pass (không đổi)</t>
        </is>
      </c>
    </row>
    <row r="9" ht="72.75" customHeight="1">
      <c r="A9" s="49" t="inlineStr">
        <is>
          <t>L2-SJOB-04</t>
        </is>
      </c>
      <c r="B9" s="44" t="inlineStr">
        <is>
          <t>BVA</t>
        </is>
      </c>
      <c r="C9" s="50" t="inlineStr">
        <is>
          <t>FT-03 BV-02; BR-010</t>
        </is>
      </c>
      <c r="D9" s="50" t="inlineStr">
        <is>
          <t>FT-03</t>
        </is>
      </c>
      <c r="E9" s="46" t="inlineStr">
        <is>
          <t>P1</t>
        </is>
      </c>
      <c r="F9" s="50" t="inlineStr">
        <is>
          <t>VietTien.API (WebApplicationFactory) + SQL Server + SignalR</t>
        </is>
      </c>
      <c r="G9" s="50" t="inlineStr">
        <is>
          <t>SQL Server 2022
(Testcontainers.MsSql)
+ Respawn reset</t>
        </is>
      </c>
      <c r="H9" s="50" t="inlineStr">
        <is>
          <t>None</t>
        </is>
      </c>
      <c r="I9" s="50" t="inlineStr">
        <is>
          <t>Đơn COD tạo cách đây [Theory] 24:59 / 25:00 / 29:59 / 30:00 / 34:59 / 35:00</t>
        </is>
      </c>
      <c r="J9" s="50" t="inlineStr">
        <is>
          <t>Chạy 1 chu kỳ OrderSlaJob cho từng mốc</t>
        </is>
      </c>
      <c r="K9" s="50" t="inlineStr">
        <is>
          <t>25:00 tạo đúng 1 cảnh báo cho Sales
30:00 tạo escalation Sales Manager
35:00 giải phóng reservation
Các mốc trước đó không sinh bản ghi nào</t>
        </is>
      </c>
      <c r="L9" s="50" t="inlineStr">
        <is>
          <t>No</t>
        </is>
      </c>
      <c r="M9" s="47" t="inlineStr">
        <is>
          <t>Pass</t>
        </is>
      </c>
      <c r="N9" s="50" t="n"/>
      <c r="O9" s="52" t="n"/>
      <c r="P9" s="47" t="inlineStr">
        <is>
          <t>✅ Pass (không đổi)</t>
        </is>
      </c>
    </row>
    <row r="10" ht="60" customHeight="1">
      <c r="A10" s="43" t="inlineStr">
        <is>
          <t>L2-SJOB-05</t>
        </is>
      </c>
      <c r="B10" s="44" t="inlineStr">
        <is>
          <t>Idempotency</t>
        </is>
      </c>
      <c r="C10" s="45" t="inlineStr">
        <is>
          <t>FT-09 AC-02; BR-049</t>
        </is>
      </c>
      <c r="D10" s="45" t="inlineStr">
        <is>
          <t>FT-03, FT-09</t>
        </is>
      </c>
      <c r="E10" s="46" t="inlineStr">
        <is>
          <t>P1</t>
        </is>
      </c>
      <c r="F10" s="45" t="inlineStr">
        <is>
          <t>VietTien.API (WebApplicationFactory) + SQL Server</t>
        </is>
      </c>
      <c r="G10" s="45" t="inlineStr">
        <is>
          <t>SQL Server 2022
(Testcontainers.MsSql)
+ Respawn reset</t>
        </is>
      </c>
      <c r="H10" s="45" t="inlineStr">
        <is>
          <t>None</t>
        </is>
      </c>
      <c r="I10" s="45" t="inlineStr">
        <is>
          <t>Đơn COD đã được cảnh báo mốc 25 phút ở chu kỳ trước</t>
        </is>
      </c>
      <c r="J10" s="45" t="inlineStr">
        <is>
          <t>Chạy thêm 1 chu kỳ OrderSlaJob</t>
        </is>
      </c>
      <c r="K10" s="45" t="inlineStr">
        <is>
          <t>DB: vẫn đúng 1 bản ghi cảnh báo cho nghiệp vụ này</t>
        </is>
      </c>
      <c r="L10" s="53" t="inlineStr">
        <is>
          <t>Yes</t>
        </is>
      </c>
      <c r="M10" s="47" t="inlineStr">
        <is>
          <t>Pass</t>
        </is>
      </c>
      <c r="N10" s="45" t="n"/>
      <c r="O10" s="48" t="n"/>
      <c r="P10" s="47" t="inlineStr">
        <is>
          <t>✅ Pass (không đổi)</t>
        </is>
      </c>
    </row>
    <row r="11" ht="18" customHeight="1">
      <c r="A11" s="59" t="inlineStr">
        <is>
          <t xml:space="preserve">  ▶  Block: Job retry webhook &amp; cảnh báo tồn thấp  |  BR-029; BR-049; FT-12 AC-04</t>
        </is>
      </c>
    </row>
    <row r="12" ht="60" customHeight="1">
      <c r="A12" s="43" t="inlineStr">
        <is>
          <t>L2-SJOB-06</t>
        </is>
      </c>
      <c r="B12" s="44" t="inlineStr">
        <is>
          <t>Idempotency</t>
        </is>
      </c>
      <c r="C12" s="45" t="inlineStr">
        <is>
          <t>FT-03 NAC-02; BR-029</t>
        </is>
      </c>
      <c r="D12" s="45" t="inlineStr">
        <is>
          <t>FT-03</t>
        </is>
      </c>
      <c r="E12" s="46" t="inlineStr">
        <is>
          <t>P1</t>
        </is>
      </c>
      <c r="F12" s="45" t="inlineStr">
        <is>
          <t>VietTien.API (WebApplicationFactory) + SQL Server</t>
        </is>
      </c>
      <c r="G12" s="45" t="inlineStr">
        <is>
          <t>SQL Server 2022
(Testcontainers.MsSql)
+ Respawn reset</t>
        </is>
      </c>
      <c r="H12" s="45" t="inlineStr">
        <is>
          <t>None</t>
        </is>
      </c>
      <c r="I12" s="45" t="inlineStr">
        <is>
          <t>Đơn đã Paid qua webhook, có đúng 1 PaymentTransaction
WebhookLog tương ứng ở trạng thái thất bại do lỗi ghi nhận</t>
        </is>
      </c>
      <c r="J12" s="45" t="inlineStr">
        <is>
          <t>Chạy SePayWebhookRetryJob</t>
        </is>
      </c>
      <c r="K12" s="45" t="inlineStr">
        <is>
          <t>DB: vẫn đúng 1 PaymentTransaction
Log chuyển Processed; không thông báo lặp cho Sales</t>
        </is>
      </c>
      <c r="L12" s="53" t="inlineStr">
        <is>
          <t>Yes</t>
        </is>
      </c>
      <c r="M12" s="47" t="inlineStr">
        <is>
          <t>Pass</t>
        </is>
      </c>
      <c r="N12" s="45" t="n"/>
      <c r="O12" s="48" t="n"/>
      <c r="P12" s="47" t="inlineStr">
        <is>
          <t>✅ Pass (không đổi)</t>
        </is>
      </c>
    </row>
    <row r="13" ht="60" customHeight="1">
      <c r="A13" s="49" t="inlineStr">
        <is>
          <t>L2-SJOB-07</t>
        </is>
      </c>
      <c r="B13" s="44" t="inlineStr">
        <is>
          <t>BVA</t>
        </is>
      </c>
      <c r="C13" s="50" t="inlineStr">
        <is>
          <t>BR-049; FT-09 BV-03</t>
        </is>
      </c>
      <c r="D13" s="50" t="inlineStr">
        <is>
          <t>FT-09</t>
        </is>
      </c>
      <c r="E13" s="46" t="inlineStr">
        <is>
          <t>P1</t>
        </is>
      </c>
      <c r="F13" s="50" t="inlineStr">
        <is>
          <t>VietTien.API (WebApplicationFactory) + SQL Server</t>
        </is>
      </c>
      <c r="G13" s="50" t="inlineStr">
        <is>
          <t>SQL Server 2022
(Testcontainers.MsSql)
+ Respawn reset</t>
        </is>
      </c>
      <c r="H13" s="50" t="inlineStr">
        <is>
          <t>None</t>
        </is>
      </c>
      <c r="I13" s="50" t="inlineStr">
        <is>
          <t>WebhookLog có retryCount = [Theory] max-1 / max / max+1</t>
        </is>
      </c>
      <c r="J13" s="50" t="inlineStr">
        <is>
          <t>Chạy SePayWebhookRetryJob</t>
        </is>
      </c>
      <c r="K13" s="50" t="inlineStr">
        <is>
          <t>Tới max: vẫn thử lại
Vượt max: dừng, đánh dấu thất bại cuối, tạo cảnh báo cho Admin</t>
        </is>
      </c>
      <c r="L13" s="51" t="inlineStr">
        <is>
          <t>Yes</t>
        </is>
      </c>
      <c r="M13" s="47" t="inlineStr">
        <is>
          <t>Pass</t>
        </is>
      </c>
      <c r="N13" s="50" t="n"/>
      <c r="O13" s="52" t="n"/>
      <c r="P13" s="47" t="inlineStr">
        <is>
          <t>✅ Pass (không đổi)</t>
        </is>
      </c>
    </row>
    <row r="14" ht="60" customHeight="1">
      <c r="A14" s="43" t="inlineStr">
        <is>
          <t>L2-SJOB-08</t>
        </is>
      </c>
      <c r="B14" s="44" t="inlineStr">
        <is>
          <t>BVA</t>
        </is>
      </c>
      <c r="C14" s="45" t="inlineStr">
        <is>
          <t>FT-12 AC-04; BV-03</t>
        </is>
      </c>
      <c r="D14" s="45" t="inlineStr">
        <is>
          <t>FT-12</t>
        </is>
      </c>
      <c r="E14" s="46" t="inlineStr">
        <is>
          <t>P1</t>
        </is>
      </c>
      <c r="F14" s="45" t="inlineStr">
        <is>
          <t>VietTien.API (WebApplicationFactory) + SQL Server</t>
        </is>
      </c>
      <c r="G14" s="45" t="inlineStr">
        <is>
          <t>SQL Server 2022
(Testcontainers.MsSql)
+ Respawn reset</t>
        </is>
      </c>
      <c r="H14" s="45" t="inlineStr">
        <is>
          <t>None</t>
        </is>
      </c>
      <c r="I14" s="45" t="inlineStr">
        <is>
          <t>Tồn P1 = [Theory] ngưỡng+1 / ngưỡng / ngưỡng-1</t>
        </is>
      </c>
      <c r="J14" s="45" t="inlineStr">
        <is>
          <t>Chạy LowStockAlertJob</t>
        </is>
      </c>
      <c r="K14" s="45" t="inlineStr">
        <is>
          <t>ngưỡng+1: không có LowStockAlert
ngưỡng và ngưỡng-1: đúng 1 alert đang mở với đủ kho + số lượng + hành động tiếp theo</t>
        </is>
      </c>
      <c r="L14" s="45" t="inlineStr">
        <is>
          <t>No</t>
        </is>
      </c>
      <c r="M14" s="47" t="inlineStr">
        <is>
          <t>Pass</t>
        </is>
      </c>
      <c r="N14" s="45" t="n"/>
      <c r="O14" s="48" t="n"/>
      <c r="P14" s="47" t="inlineStr">
        <is>
          <t>✅ Pass (không đổi)</t>
        </is>
      </c>
    </row>
    <row r="15" ht="60" customHeight="1">
      <c r="A15" s="49" t="inlineStr">
        <is>
          <t>L2-SJOB-09</t>
        </is>
      </c>
      <c r="B15" s="44" t="inlineStr">
        <is>
          <t>Idempotency</t>
        </is>
      </c>
      <c r="C15" s="50" t="inlineStr">
        <is>
          <t>FT-12 AC-04; FT-09 AC-02</t>
        </is>
      </c>
      <c r="D15" s="50" t="inlineStr">
        <is>
          <t>FT-12</t>
        </is>
      </c>
      <c r="E15" s="46" t="inlineStr">
        <is>
          <t>P1</t>
        </is>
      </c>
      <c r="F15" s="50" t="inlineStr">
        <is>
          <t>VietTien.API (WebApplicationFactory) + SQL Server</t>
        </is>
      </c>
      <c r="G15" s="50" t="inlineStr">
        <is>
          <t>SQL Server 2022
(Testcontainers.MsSql)
+ Respawn reset</t>
        </is>
      </c>
      <c r="H15" s="50" t="inlineStr">
        <is>
          <t>None</t>
        </is>
      </c>
      <c r="I15" s="50" t="inlineStr">
        <is>
          <t>P1 đã có alert tồn thấp đang mở</t>
        </is>
      </c>
      <c r="J15" s="50" t="inlineStr">
        <is>
          <t>Chạy LowStockAlertJob thêm 1 chu kỳ</t>
        </is>
      </c>
      <c r="K15" s="50" t="inlineStr">
        <is>
          <t>DB: vẫn đúng 1 alert (được cập nhật, không nhân bản)</t>
        </is>
      </c>
      <c r="L15" s="51" t="inlineStr">
        <is>
          <t>Yes</t>
        </is>
      </c>
      <c r="M15" s="47" t="inlineStr">
        <is>
          <t>Pass</t>
        </is>
      </c>
      <c r="N15" s="50" t="n"/>
      <c r="O15" s="52" t="n"/>
      <c r="P15" s="47" t="inlineStr">
        <is>
          <t>✅ Pass (không đổi)</t>
        </is>
      </c>
    </row>
    <row r="16" ht="60" customHeight="1">
      <c r="A16" s="43" t="inlineStr">
        <is>
          <t>L2-SJOB-10</t>
        </is>
      </c>
      <c r="B16" s="44" t="inlineStr">
        <is>
          <t>Workflow</t>
        </is>
      </c>
      <c r="C16" s="45" t="inlineStr">
        <is>
          <t>FT-10; BR-046; BR-049</t>
        </is>
      </c>
      <c r="D16" s="45" t="inlineStr">
        <is>
          <t>FT-10</t>
        </is>
      </c>
      <c r="E16" s="46" t="inlineStr">
        <is>
          <t>P1</t>
        </is>
      </c>
      <c r="F16" s="45" t="inlineStr">
        <is>
          <t>VietTien.API (WebApplicationFactory) + SQL Server</t>
        </is>
      </c>
      <c r="G16" s="45" t="inlineStr">
        <is>
          <t>SQL Server 2022
(Testcontainers.MsSql)
+ Respawn reset</t>
        </is>
      </c>
      <c r="H16" s="45" t="inlineStr">
        <is>
          <t>WireMock.Net: Make.com webhook -&gt; 200</t>
        </is>
      </c>
      <c r="I16" s="45" t="inlineStr">
        <is>
          <t>3 bài marketing: nháp tới giờ, đã duyệt chưa tới giờ, đã duyệt tới giờ</t>
        </is>
      </c>
      <c r="J16" s="45" t="inlineStr">
        <is>
          <t>Chạy MarketingPostMakeScheduleJob</t>
        </is>
      </c>
      <c r="K16" s="45" t="inlineStr">
        <is>
          <t>Chỉ bài thứ 3 gọi webhook (WireMock verify đúng 1 request)
Hai bài còn lại không đổi trạng thái</t>
        </is>
      </c>
      <c r="L16" s="45" t="inlineStr">
        <is>
          <t>No</t>
        </is>
      </c>
      <c r="M16" s="54" t="inlineStr">
        <is>
          <t>Fail</t>
        </is>
      </c>
      <c r="N16" s="53" t="inlineStr">
        <is>
          <t>GH-03b</t>
        </is>
      </c>
      <c r="O16" s="55" t="inlineStr">
        <is>
          <t>⚠ v2.5 CẦN GÁN DEFECT ID: sau khi vá migration, case này chuyển từ Blocked sang FAIL — tức nguyên nhân KHÔNG còn là schema mà là lỗi nghiệp vụ thật, nhưng manifest chưa gán mã defect. Cần chạy lại, đọc assertion đỏ rồi gán GH-xx (hoặc mở defect mới).  |  ⛔ GH-03b — bảng MarketingPosts KHÔNG TỒN TẠI trên DB dựng từ migrations (chưa có migration nào tạo bảng, không chỉ thiếu cột).  |  ✓ v2.2 WireMock.Net DÙNG ĐƯỢC: MakeWebhookService.cs:28 đọc MakeCom:WebhookUrl từ config  |  ✔ v2.1: MarketingPostService + MakeWebhookService + job đã có</t>
        </is>
      </c>
      <c r="P16" s="54" t="inlineStr">
        <is>
          <t>✅ ĐÃ FIX  [🟢 ĐÃ FIX + PASS THẬT qua docker + dotnet test (07/08/2026)]
Không phải bug — test seed MarketingPost thiếu CreatedByUserId (FK bắt buộc tới Users) gây lỗi insert; đã sửa test gán đúng user đã seed.</t>
        </is>
      </c>
    </row>
    <row r="17" ht="60" customHeight="1">
      <c r="A17" s="49" t="inlineStr">
        <is>
          <t>L2-SJOB-11</t>
        </is>
      </c>
      <c r="B17" s="44" t="inlineStr">
        <is>
          <t>Error Path</t>
        </is>
      </c>
      <c r="C17" s="50" t="inlineStr">
        <is>
          <t>BR-049; FT-09 AC-05</t>
        </is>
      </c>
      <c r="D17" s="50" t="inlineStr">
        <is>
          <t>FT-10, FT-09</t>
        </is>
      </c>
      <c r="E17" s="46" t="inlineStr">
        <is>
          <t>P1</t>
        </is>
      </c>
      <c r="F17" s="50" t="inlineStr">
        <is>
          <t>VietTien.API (WebApplicationFactory) + SQL Server</t>
        </is>
      </c>
      <c r="G17" s="50" t="inlineStr">
        <is>
          <t>SQL Server 2022
(Testcontainers.MsSql)
+ Respawn reset</t>
        </is>
      </c>
      <c r="H17" s="50" t="inlineStr">
        <is>
          <t>WireMock.Net: Make.com -&gt; 500</t>
        </is>
      </c>
      <c r="I17" s="50" t="inlineStr">
        <is>
          <t>Bài marketing đã duyệt, tới giờ đăng</t>
        </is>
      </c>
      <c r="J17" s="50" t="inlineStr">
        <is>
          <t>Chạy MarketingPostMakeScheduleJob</t>
        </is>
      </c>
      <c r="K17" s="50" t="inlineStr">
        <is>
          <t>DB: bài đánh dấu thất bại, giữ trong lịch sử
JobRun = Failed + retryCount
Có cảnh báo cho người phụ trách</t>
        </is>
      </c>
      <c r="L17" s="51" t="inlineStr">
        <is>
          <t>Yes</t>
        </is>
      </c>
      <c r="M17" s="54" t="inlineStr">
        <is>
          <t>Fail</t>
        </is>
      </c>
      <c r="N17" s="51" t="inlineStr">
        <is>
          <t>GH-03b</t>
        </is>
      </c>
      <c r="O17" s="56" t="inlineStr">
        <is>
          <t>⚠ v2.5 CẦN GÁN DEFECT ID: sau khi vá migration, case này chuyển từ Blocked sang FAIL — tức nguyên nhân KHÔNG còn là schema mà là lỗi nghiệp vụ thật, nhưng manifest chưa gán mã defect. Cần chạy lại, đọc assertion đỏ rồi gán GH-xx (hoặc mở defect mới).  |  ⛔ GH-03b — bảng MarketingPosts KHÔNG TỒN TẠI trên DB dựng từ migrations (chưa có migration nào tạo bảng, không chỉ thiếu cột).  |  ✓ v2.2 WireMock.Net DÙNG ĐƯỢC: MakeWebhookService đọc URL từ config  |  ✓ v2.2 ENDPOINT ĐÃ SỬA theo 209 route thật (31 controller): xem suaIntegration mục A/C</t>
        </is>
      </c>
      <c r="P17" s="54" t="inlineStr">
        <is>
          <t>✅ ĐÃ FIX  [🟢 ĐÃ FIX + PASS THẬT qua docker + dotnet test (07/08/2026)]
Không phải bug — cùng lỗi seed thiếu CreatedByUserId như SJOB-10; đã sửa test.</t>
        </is>
      </c>
    </row>
    <row r="19" ht="15" customHeight="1">
      <c r="A19" s="59" t="inlineStr">
        <is>
          <t xml:space="preserve">  ▶  Block: ⊕ v2.2 — Job còn thiếu trong v2.1  |  QuotationExpiryJob · UpcomingDeliveryReminderJob  |  FT-02; FT-07</t>
        </is>
      </c>
    </row>
    <row r="20" ht="60" customHeight="1">
      <c r="A20" s="25" t="inlineStr">
        <is>
          <t>L2-SJOB-12</t>
        </is>
      </c>
      <c r="B20" s="36" t="inlineStr">
        <is>
          <t>BVA</t>
        </is>
      </c>
      <c r="C20" s="26" t="inlineStr">
        <is>
          <t>FT-02 AC-04; BR-007</t>
        </is>
      </c>
      <c r="D20" s="26" t="inlineStr">
        <is>
          <t>FT-02</t>
        </is>
      </c>
      <c r="E20" s="27" t="inlineStr">
        <is>
          <t>P1</t>
        </is>
      </c>
      <c r="F20" s="26" t="inlineStr">
        <is>
          <t>VietTien.API (WebApplicationFactory) + SQL Server</t>
        </is>
      </c>
      <c r="G20" s="26" t="inlineStr">
        <is>
          <t>SQL Server 2022
(Testcontainers.MsSql)
+ Respawn reset</t>
        </is>
      </c>
      <c r="H20" s="26" t="inlineStr">
        <is>
          <t>None</t>
        </is>
      </c>
      <c r="I20" s="26" t="inlineStr">
        <is>
          <t>Báo giá Q1 ở trạng thái đã gửi khách, hạn hiệu lực đặt tại [Theory] NOW-1s / NOW / NOW+1s (mock clock)</t>
        </is>
      </c>
      <c r="J20" s="26" t="inlineStr">
        <is>
          <t>Gọi trực tiếp QuotationExpiryJob.RunAsync(ct)</t>
        </is>
      </c>
      <c r="K20" s="26" t="inlineStr">
        <is>
          <t>Trước hạn: trạng thái giữ nguyên
Tại/quá hạn: báo giá chuyển hết hiệu lực; khách không chấp nhận được nữa
Có thông báo cho Sales phụ trách</t>
        </is>
      </c>
      <c r="L20" s="26" t="inlineStr">
        <is>
          <t>No</t>
        </is>
      </c>
      <c r="M20" s="37" t="inlineStr">
        <is>
          <t>Pass</t>
        </is>
      </c>
      <c r="N20" s="26" t="n"/>
      <c r="O20" s="28" t="n"/>
      <c r="P20" s="37" t="inlineStr">
        <is>
          <t>✅ Pass (không đổi)</t>
        </is>
      </c>
    </row>
    <row r="21" ht="60" customHeight="1">
      <c r="A21" s="29" t="inlineStr">
        <is>
          <t>L2-SJOB-13</t>
        </is>
      </c>
      <c r="B21" s="36" t="inlineStr">
        <is>
          <t>Idempotency</t>
        </is>
      </c>
      <c r="C21" s="30" t="inlineStr">
        <is>
          <t>FT-02 AC-04; BR-029</t>
        </is>
      </c>
      <c r="D21" s="30" t="inlineStr">
        <is>
          <t>FT-02</t>
        </is>
      </c>
      <c r="E21" s="27" t="inlineStr">
        <is>
          <t>P1</t>
        </is>
      </c>
      <c r="F21" s="30" t="inlineStr">
        <is>
          <t>VietTien.API (WebApplicationFactory) + SQL Server</t>
        </is>
      </c>
      <c r="G21" s="30" t="inlineStr">
        <is>
          <t>SQL Server 2022
(Testcontainers.MsSql)
+ Respawn reset</t>
        </is>
      </c>
      <c r="H21" s="30" t="inlineStr">
        <is>
          <t>None</t>
        </is>
      </c>
      <c r="I21" s="30" t="inlineStr">
        <is>
          <t>Báo giá Q1 đã bị đánh dấu hết hiệu lực ở chu kỳ trước</t>
        </is>
      </c>
      <c r="J21" s="30" t="inlineStr">
        <is>
          <t>Chạy QuotationExpiryJob thêm 1 chu kỳ</t>
        </is>
      </c>
      <c r="K21" s="30" t="inlineStr">
        <is>
          <t>Không đổi trạng thái lần 2; không tạo thông báo trùng</t>
        </is>
      </c>
      <c r="L21" s="31" t="inlineStr">
        <is>
          <t>Yes</t>
        </is>
      </c>
      <c r="M21" s="37" t="inlineStr">
        <is>
          <t>Pass</t>
        </is>
      </c>
      <c r="N21" s="30" t="n"/>
      <c r="O21" s="32" t="n"/>
      <c r="P21" s="37" t="inlineStr">
        <is>
          <t>✅ Pass (không đổi)</t>
        </is>
      </c>
    </row>
    <row r="22" ht="60" customHeight="1">
      <c r="A22" s="25" t="inlineStr">
        <is>
          <t>L2-SJOB-14</t>
        </is>
      </c>
      <c r="B22" s="36" t="inlineStr">
        <is>
          <t>EP-Valid</t>
        </is>
      </c>
      <c r="C22" s="26" t="inlineStr">
        <is>
          <t>FT-07 AC-01; BR-037</t>
        </is>
      </c>
      <c r="D22" s="26" t="inlineStr">
        <is>
          <t>FT-07</t>
        </is>
      </c>
      <c r="E22" s="27" t="inlineStr">
        <is>
          <t>P1</t>
        </is>
      </c>
      <c r="F22" s="26" t="inlineStr">
        <is>
          <t>VietTien.API (WebApplicationFactory) + SQL Server</t>
        </is>
      </c>
      <c r="G22" s="26" t="inlineStr">
        <is>
          <t>SQL Server 2022
(Testcontainers.MsSql)
+ Respawn reset</t>
        </is>
      </c>
      <c r="H22" s="26" t="inlineStr">
        <is>
          <t>WireMock.Net: eSMS (xem cảnh báo hard-code URL ở L2-AUTH-01)
mail-sink container</t>
        </is>
      </c>
      <c r="I22" s="26" t="inlineStr">
        <is>
          <t>3 chuyến giao: 1 vào ngày mai, 1 hôm nay, 1 đã Delivered</t>
        </is>
      </c>
      <c r="J22" s="26" t="inlineStr">
        <is>
          <t>Gọi trực tiếp UpcomingDeliveryReminderJob.RunAsync(ct)</t>
        </is>
      </c>
      <c r="K22" s="26" t="inlineStr">
        <is>
          <t>Chỉ chuyến sắp tới được nhắc; chuyến đã giao xong bị bỏ qua
Ghi nhận đã nhắc để không nhắc lại</t>
        </is>
      </c>
      <c r="L22" s="26" t="inlineStr">
        <is>
          <t>No</t>
        </is>
      </c>
      <c r="M22" s="37" t="inlineStr">
        <is>
          <t>Pass</t>
        </is>
      </c>
      <c r="N22" s="26" t="n"/>
      <c r="O22" s="28" t="n"/>
      <c r="P22" s="37" t="inlineStr">
        <is>
          <t>✅ Pass (không đổi)</t>
        </is>
      </c>
    </row>
    <row r="23" ht="60" customHeight="1">
      <c r="A23" s="29" t="inlineStr">
        <is>
          <t>L2-SJOB-15</t>
        </is>
      </c>
      <c r="B23" s="36" t="inlineStr">
        <is>
          <t>Idempotency</t>
        </is>
      </c>
      <c r="C23" s="30" t="inlineStr">
        <is>
          <t>FT-07 AC-01; FT-09 AC-02</t>
        </is>
      </c>
      <c r="D23" s="30" t="inlineStr">
        <is>
          <t>FT-07</t>
        </is>
      </c>
      <c r="E23" s="27" t="inlineStr">
        <is>
          <t>P1</t>
        </is>
      </c>
      <c r="F23" s="30" t="inlineStr">
        <is>
          <t>VietTien.API (WebApplicationFactory) + SQL Server</t>
        </is>
      </c>
      <c r="G23" s="30" t="inlineStr">
        <is>
          <t>SQL Server 2022
(Testcontainers.MsSql)
+ Respawn reset</t>
        </is>
      </c>
      <c r="H23" s="30" t="inlineStr">
        <is>
          <t>None</t>
        </is>
      </c>
      <c r="I23" s="30" t="inlineStr">
        <is>
          <t>Chuyến giao ngày mai đã được nhắc ở chu kỳ trước</t>
        </is>
      </c>
      <c r="J23" s="30" t="inlineStr">
        <is>
          <t>Chạy UpcomingDeliveryReminderJob thêm 1 chu kỳ</t>
        </is>
      </c>
      <c r="K23" s="30" t="inlineStr">
        <is>
          <t>Không gửi nhắc lần 2 cho cùng chuyến</t>
        </is>
      </c>
      <c r="L23" s="31" t="inlineStr">
        <is>
          <t>Yes</t>
        </is>
      </c>
      <c r="M23" s="37" t="inlineStr">
        <is>
          <t>Pass</t>
        </is>
      </c>
      <c r="N23" s="30" t="n"/>
      <c r="O23" s="32" t="n"/>
      <c r="P23" s="37" t="inlineStr">
        <is>
          <t>✅ Pass (không đổi)</t>
        </is>
      </c>
    </row>
  </sheetData>
  <mergeCells count="5">
    <mergeCell ref="A2:O2"/>
    <mergeCell ref="A19:O19"/>
    <mergeCell ref="A11:O11"/>
    <mergeCell ref="A1:O1"/>
    <mergeCell ref="A5:O5"/>
  </mergeCells>
  <dataValidations count="2">
    <dataValidation sqref="M6:M10 M12:M17 M20:M23" showDropDown="0" showInputMessage="0" showErrorMessage="0" allowBlank="1" type="list">
      <formula1>"Not Run,Pass,Fail,Blocked,Skip,N/A"</formula1>
      <formula2>0</formula2>
    </dataValidation>
    <dataValidation sqref="E6:E10 E12:E17 E20:E23" showDropDown="0" showInputMessage="0" showErrorMessage="0" allowBlank="1" type="list">
      <formula1>"P1,P2,P3"</formula1>
      <formula2>0</formula2>
    </dataValidation>
  </dataValidation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P13"/>
  <sheetViews>
    <sheetView showGridLines="0" topLeftCell="D1" zoomScaleNormal="100" workbookViewId="0">
      <pane ySplit="4" topLeftCell="A5" activePane="bottomLeft" state="frozen"/>
      <selection pane="bottomLeft" activeCell="A11" sqref="A11"/>
    </sheetView>
  </sheetViews>
  <sheetFormatPr baseColWidth="8" defaultColWidth="8.7109375" defaultRowHeight="15"/>
  <cols>
    <col width="12" customWidth="1" min="1" max="1"/>
    <col width="22" customWidth="1" min="2" max="3"/>
    <col width="12" customWidth="1" min="4" max="4"/>
    <col width="9" customWidth="1" min="5" max="5"/>
    <col width="24" customWidth="1" min="6" max="6"/>
    <col width="18" customWidth="1" min="7" max="7"/>
    <col width="22" customWidth="1" min="8" max="8"/>
    <col width="38" customWidth="1" min="9" max="9"/>
    <col width="32" customWidth="1" min="10" max="10"/>
    <col width="46" customWidth="1" min="11" max="11"/>
    <col width="11" customWidth="1" min="12" max="12"/>
    <col width="10" customWidth="1" min="13" max="14"/>
    <col width="34" customWidth="1" min="15" max="15"/>
    <col width="55" customWidth="1" min="16" max="16"/>
  </cols>
  <sheetData>
    <row r="1" ht="24" customHeight="1">
      <c r="A1" s="1" t="inlineStr">
        <is>
          <t>L2-AfterSalesReturn  |  MỚI v2.1  |  Đổi/trả hàng, thu hồi, huỷ đơn đã thanh toán — OrderService methods mới (16–22/07)  |  FT-08</t>
        </is>
      </c>
    </row>
    <row r="2" ht="15" customHeight="1">
      <c r="A2" s="58" t="inlineStr">
        <is>
          <t>HOW TO USE:  (1) BẬT Docker Desktop rồi kiểm tra docker ps  (2) Testcontainers.MsSql + Respawn giữa các test  (3) Job nền: gọi trực tiếp IScheduledJob.RunAsync(ct), KHÔNG chờ scheduler  (4) Cập nhật Status  (5) Ghi Defect ID khi Fail</t>
        </is>
      </c>
    </row>
    <row r="3"/>
    <row r="4" ht="27.75" customHeight="1">
      <c r="A4" s="42" t="inlineStr">
        <is>
          <t>Test ID</t>
        </is>
      </c>
      <c r="B4" s="42" t="inlineStr">
        <is>
          <t>Coverage Technique</t>
        </is>
      </c>
      <c r="C4" s="42" t="inlineStr">
        <is>
          <t>SRS Reference</t>
        </is>
      </c>
      <c r="D4" s="42" t="inlineStr">
        <is>
          <t>Feature</t>
        </is>
      </c>
      <c r="E4" s="42" t="inlineStr">
        <is>
          <t>Priority</t>
        </is>
      </c>
      <c r="F4" s="42" t="inlineStr">
        <is>
          <t>Services Involved</t>
        </is>
      </c>
      <c r="G4" s="42" t="inlineStr">
        <is>
          <t>Infrastructure (Testcontainers)</t>
        </is>
      </c>
      <c r="H4" s="42" t="inlineStr">
        <is>
          <t>External Mocks (WireMock.Net / fakes)</t>
        </is>
      </c>
      <c r="I4" s="42" t="inlineStr">
        <is>
          <t>Given (DB State / Setup)</t>
        </is>
      </c>
      <c r="J4" s="42" t="inlineStr">
        <is>
          <t>When (Action / HTTP Call)</t>
        </is>
      </c>
      <c r="K4" s="42" t="inlineStr">
        <is>
          <t>Then (Expected DB State + Notifications + Response)</t>
        </is>
      </c>
      <c r="L4" s="42" t="inlineStr">
        <is>
          <t>Negative?</t>
        </is>
      </c>
      <c r="M4" s="42" t="inlineStr">
        <is>
          <t>Status</t>
        </is>
      </c>
      <c r="N4" s="42" t="inlineStr">
        <is>
          <t>Defect ID</t>
        </is>
      </c>
      <c r="O4" s="42" t="inlineStr">
        <is>
          <t>Notes</t>
        </is>
      </c>
      <c r="P4" s="42" t="inlineStr">
        <is>
          <t>Fix Status</t>
        </is>
      </c>
    </row>
    <row r="5" ht="18" customHeight="1">
      <c r="A5" s="59" t="inlineStr">
        <is>
          <t xml:space="preserve">  ▶  Block: Đổi/trả và thu hồi hàng  |  FT-08 AC-05; BR-019; BR-043</t>
        </is>
      </c>
    </row>
    <row r="6" ht="72.75" customHeight="1">
      <c r="A6" s="43" t="inlineStr">
        <is>
          <t>L2-RET-01</t>
        </is>
      </c>
      <c r="B6" s="44" t="inlineStr">
        <is>
          <t>Workflow</t>
        </is>
      </c>
      <c r="C6" s="45" t="inlineStr">
        <is>
          <t>FT-08 AC-05; BR-019</t>
        </is>
      </c>
      <c r="D6" s="45" t="inlineStr">
        <is>
          <t>FT-08</t>
        </is>
      </c>
      <c r="E6" s="46" t="inlineStr">
        <is>
          <t>P1</t>
        </is>
      </c>
      <c r="F6" s="45" t="inlineStr">
        <is>
          <t>VietTien.API (WebApplicationFactory) + SQL Server + SignalR</t>
        </is>
      </c>
      <c r="G6" s="45" t="inlineStr">
        <is>
          <t>SQL Server 2022
(Testcontainers.MsSql)
+ Respawn reset</t>
        </is>
      </c>
      <c r="H6" s="45" t="inlineStr">
        <is>
          <t>None</t>
        </is>
      </c>
      <c r="I6" s="45" t="inlineStr">
        <is>
          <t>Đơn O1 Delivered, dòng P1 giao 5; tồn khả dụng P1 = 10</t>
        </is>
      </c>
      <c r="J6" s="45" t="inlineStr">
        <is>
          <t>1. POST tạo yêu cầu đổi/trả (2 sp)
2. Sales Manager duyệt
3. POST lên lịch thu hồi
4. POST xác nhận đã thu hồi</t>
        </is>
      </c>
      <c r="K6" s="45" t="inlineStr">
        <is>
          <t>Sau B2: yêu cầu Approved, tạo nhiệm vụ thu hồi
Sau B4: hàng vào khu cách ly, RawAvailable(P1) VẪN = 10
Mỗi bước có bản ghi audit</t>
        </is>
      </c>
      <c r="L6" s="45" t="inlineStr">
        <is>
          <t>No</t>
        </is>
      </c>
      <c r="M6" s="54" t="inlineStr">
        <is>
          <t>Fail</t>
        </is>
      </c>
      <c r="N6" s="53" t="inlineStr">
        <is>
          <t>GH-03b</t>
        </is>
      </c>
      <c r="O6" s="62" t="inlineStr">
        <is>
          <t>⚠ v2.5 CẦN GÁN DEFECT ID: sau khi vá migration, case này chuyển từ Blocked sang FAIL — tức nguyên nhân KHÔNG còn là schema mà là lỗi nghiệp vụ thật, nhưng manifest chưa gán mã defect. Cần chạy lại, đọc assertion đỏ rồi gán GH-xx (hoặc mở defect mới).  |  ⛔ GH-03b — bảng ReturnExchangeRequests và 2 bảng con KHÔNG TỒN TẠI trên DB dựng từ migrations.  |  🟠 BẪY ASSERTION: Inventory.AvailableQuantity (Inventory.cs:24) bọc Math.Max(0, ...) -&gt; assert "không âm" LUÔN XANH kể cả khi đã oversell. Phải assert OnHandQuantity + RawAvailable() (biểu thức thô: OnHand - Reserved - Allocated - Damaged - Quarantine, CHƯA kẹp).  |  ◐ v2.1: OrderService đã có CreateReturnExchangeRequest/Process/SchedulePickup/ConfirmPickup; phần Quarantine cần xác nhận</t>
        </is>
      </c>
      <c r="P6" s="54" t="inlineStr">
        <is>
          <t>✅ ĐÃ FIX  [🟢 ĐÃ FIX + PASS THẬT qua docker + dotnet test (07/08/2026)]
BR-019: ConfirmPickupAsync nay cộng OnHandQuantity + QuarantineQuantity cho hàng thu hồi (vật lý về kho nhưng chưa khả dụng) + ghi StockTransaction. Cũng cần sửa SeedStockAsync pin đúng kho WH-DEFAULT.</t>
        </is>
      </c>
    </row>
    <row r="7" ht="60" customHeight="1">
      <c r="A7" s="49" t="inlineStr">
        <is>
          <t>L2-RET-02</t>
        </is>
      </c>
      <c r="B7" s="44" t="inlineStr">
        <is>
          <t>Error Path</t>
        </is>
      </c>
      <c r="C7" s="50" t="inlineStr">
        <is>
          <t>FT-08 NAC-05; NFR-SEC03</t>
        </is>
      </c>
      <c r="D7" s="50" t="inlineStr">
        <is>
          <t>FT-08</t>
        </is>
      </c>
      <c r="E7" s="46" t="inlineStr">
        <is>
          <t>P1</t>
        </is>
      </c>
      <c r="F7" s="50" t="inlineStr">
        <is>
          <t>VietTien.API (WebApplicationFactory) + SQL Server</t>
        </is>
      </c>
      <c r="G7" s="50" t="inlineStr">
        <is>
          <t>SQL Server 2022
(Testcontainers.MsSql)
+ Respawn reset</t>
        </is>
      </c>
      <c r="H7" s="50" t="inlineStr">
        <is>
          <t>None</t>
        </is>
      </c>
      <c r="I7" s="50" t="inlineStr">
        <is>
          <t>Yêu cầu R1 chờ duyệt; JWT vai trò Sales Staff</t>
        </is>
      </c>
      <c r="J7" s="50" t="inlineStr">
        <is>
          <t>POST duyệt yêu cầu R1 bằng JWT Sales Staff</t>
        </is>
      </c>
      <c r="K7" s="50" t="inlineStr">
        <is>
          <t>HTTP 403; DB: trạng thái R1 không đổi; không tạo nhiệm vụ thu hồi</t>
        </is>
      </c>
      <c r="L7" s="51" t="inlineStr">
        <is>
          <t>Yes</t>
        </is>
      </c>
      <c r="M7" s="54" t="inlineStr">
        <is>
          <t>Fail</t>
        </is>
      </c>
      <c r="N7" s="51" t="inlineStr">
        <is>
          <t>GH-03b</t>
        </is>
      </c>
      <c r="O7" s="56" t="inlineStr">
        <is>
          <t>⚠ v2.5 CẦN GÁN DEFECT ID: sau khi vá migration, case này chuyển từ Blocked sang FAIL — tức nguyên nhân KHÔNG còn là schema mà là lỗi nghiệp vụ thật, nhưng manifest chưa gán mã defect. Cần chạy lại, đọc assertion đỏ rồi gán GH-xx (hoặc mở defect mới).  |  ⛔ GH-03b — bảng ReturnExchangeRequests và 2 bảng con KHÔNG TỒN TẠI trên DB dựng từ migrations.</t>
        </is>
      </c>
      <c r="P7" s="54" t="inlineStr">
        <is>
          <t>✅ ĐÃ FIX (test đã sửa xong, chạy PASS thật)  [🟢 XÁC NHẬN QUA docker + dotnet test THẬT (07/08/2026, sau khi sửa 4 lỗi test)]
Sau khi sửa lỗi seed (SeedStockAsync) VÀ lỗi DTO (test gửi field Action="Approve" thay vì IsApproved=true, ReturnItems thay vì Items), test chạy PASS. Không cần sửa code ứng dụng.</t>
        </is>
      </c>
    </row>
    <row r="8" ht="60" customHeight="1">
      <c r="A8" s="43" t="inlineStr">
        <is>
          <t>L2-RET-03</t>
        </is>
      </c>
      <c r="B8" s="44" t="inlineStr">
        <is>
          <t>BVA</t>
        </is>
      </c>
      <c r="C8" s="45" t="inlineStr">
        <is>
          <t>FT-08 BV-03</t>
        </is>
      </c>
      <c r="D8" s="45" t="inlineStr">
        <is>
          <t>FT-08</t>
        </is>
      </c>
      <c r="E8" s="46" t="inlineStr">
        <is>
          <t>P1</t>
        </is>
      </c>
      <c r="F8" s="45" t="inlineStr">
        <is>
          <t>VietTien.API (WebApplicationFactory) + SQL Server</t>
        </is>
      </c>
      <c r="G8" s="45" t="inlineStr">
        <is>
          <t>SQL Server 2022
(Testcontainers.MsSql)
+ Respawn reset</t>
        </is>
      </c>
      <c r="H8" s="45" t="inlineStr">
        <is>
          <t>None</t>
        </is>
      </c>
      <c r="I8" s="45" t="inlineStr">
        <is>
          <t>Đơn O1 giao P1 = 5</t>
        </is>
      </c>
      <c r="J8" s="45" t="inlineStr">
        <is>
          <t>POST tạo yêu cầu với qty = [Theory] 0 / 5 / 6</t>
        </is>
      </c>
      <c r="K8" s="45" t="inlineStr">
        <is>
          <t>0 và 6 bị từ chối; 5 được chấp nhận
DB không có yêu cầu nào cho case bị từ chối</t>
        </is>
      </c>
      <c r="L8" s="53" t="inlineStr">
        <is>
          <t>Yes</t>
        </is>
      </c>
      <c r="M8" s="54" t="inlineStr">
        <is>
          <t>Fail</t>
        </is>
      </c>
      <c r="N8" s="53" t="inlineStr">
        <is>
          <t>GH-03b</t>
        </is>
      </c>
      <c r="O8" s="55" t="inlineStr">
        <is>
          <t>⚠ v2.5 CẦN GÁN DEFECT ID: sau khi vá migration, case này chuyển từ Blocked sang FAIL — tức nguyên nhân KHÔNG còn là schema mà là lỗi nghiệp vụ thật, nhưng manifest chưa gán mã defect. Cần chạy lại, đọc assertion đỏ rồi gán GH-xx (hoặc mở defect mới).  |  ⛔ GH-03b — bảng ReturnExchangeRequests và 2 bảng con KHÔNG TỒN TẠI trên DB dựng từ migrations.</t>
        </is>
      </c>
      <c r="P8" s="54" t="inlineStr">
        <is>
          <t>✅ ĐÃ FIX (test đã sửa xong, chạy PASS thật cả 3 case 0/5/6)  [🟢 XÁC NHẬN QUA docker + dotnet test THẬT (07/08/2026, sau khi sửa 4 lỗi test)]
Lỗi gốc: test gửi field "Items" nhưng DTO thật là "ReturnItems" (có [Range(1,max)]) nên danh sách hàng luôn rỗng, validate KHÔNG BAO GIỜ chạy tới. Sau khi sửa tên field, qty=0 bị chặn bởi [Range] tự động, qty=6 bị chặn bởi check thủ công trong OrderService (item.Quantity &gt; orderItem.Quantity), qty=5 được chấp nhận — đúng như spec BV-03. Không cần sửa code ứng dụng.</t>
        </is>
      </c>
    </row>
    <row r="9" ht="60" customHeight="1">
      <c r="A9" s="49" t="inlineStr">
        <is>
          <t>L2-RET-04</t>
        </is>
      </c>
      <c r="B9" s="44" t="inlineStr">
        <is>
          <t>Workflow</t>
        </is>
      </c>
      <c r="C9" s="50" t="inlineStr">
        <is>
          <t>FT-08 AC-03; BR-042; BR-043</t>
        </is>
      </c>
      <c r="D9" s="50" t="inlineStr">
        <is>
          <t>FT-08</t>
        </is>
      </c>
      <c r="E9" s="46" t="inlineStr">
        <is>
          <t>P1</t>
        </is>
      </c>
      <c r="F9" s="50" t="inlineStr">
        <is>
          <t>VietTien.API (WebApplicationFactory) + SQL Server</t>
        </is>
      </c>
      <c r="G9" s="50" t="inlineStr">
        <is>
          <t>SQL Server 2022
(Testcontainers.MsSql)
+ Respawn reset</t>
        </is>
      </c>
      <c r="H9" s="50" t="inlineStr">
        <is>
          <t>None</t>
        </is>
      </c>
      <c r="I9" s="50" t="inlineStr">
        <is>
          <t>R1 approved; P1 giá gốc 50.000; P2 giá hiện hành 70.000</t>
        </is>
      </c>
      <c r="J9" s="50" t="inlineStr">
        <is>
          <t>1. Tạo đơn thay thế CÙNG mã P1
2. Tạo đơn thay thế khác mã sang P2</t>
        </is>
      </c>
      <c r="K9" s="50" t="inlineStr">
        <is>
          <t>Cùng mã: đơn thay thế dùng giá 50.000, không phát sinh phải thu
Khác mã: dùng giá 70.000, chênh lệch được ghi nhận rõ ràng</t>
        </is>
      </c>
      <c r="L9" s="50" t="inlineStr">
        <is>
          <t>No</t>
        </is>
      </c>
      <c r="M9" s="54" t="inlineStr">
        <is>
          <t>Fail</t>
        </is>
      </c>
      <c r="N9" s="51" t="inlineStr">
        <is>
          <t>GH-03b</t>
        </is>
      </c>
      <c r="O9" s="56" t="inlineStr">
        <is>
          <t>⚠ v2.5 CẦN GÁN DEFECT ID: sau khi vá migration, case này chuyển từ Blocked sang FAIL — tức nguyên nhân KHÔNG còn là schema mà là lỗi nghiệp vụ thật, nhưng manifest chưa gán mã defect. Cần chạy lại, đọc assertion đỏ rồi gán GH-xx (hoặc mở defect mới).  |  ⛔ GH-03b — bảng ReturnExchangeRequests và 2 bảng con KHÔNG TỒN TẠI trên DB dựng từ migrations.</t>
        </is>
      </c>
      <c r="P9" s="54" t="inlineStr">
        <is>
          <t>✅ ĐÃ FIX (test đã sửa xong, chạy PASS thật)  [🟢 XÁC NHẬN QUA docker + dotnet test THẬT (07/08/2026, sau khi sửa 4 lỗi test)]
Cùng 2 lỗi test như RET-02/03 (Action/IsApproved + Items/ReturnItems). Sau khi sửa, luồng tạo đơn thay thế cùng SKU chạy đúng, dùng giá gốc. Không cần sửa code ứng dụng.</t>
        </is>
      </c>
    </row>
    <row r="10" ht="18" customHeight="1">
      <c r="A10" s="59" t="inlineStr">
        <is>
          <t xml:space="preserve">  ▶  Block: Huỷ đơn đã thanh toán  |  FT-08 AC-01; BR-016; BR-017</t>
        </is>
      </c>
    </row>
    <row r="11" ht="60" customHeight="1">
      <c r="A11" s="43" t="inlineStr">
        <is>
          <t>L2-RET-05</t>
        </is>
      </c>
      <c r="B11" s="44" t="inlineStr">
        <is>
          <t>Workflow</t>
        </is>
      </c>
      <c r="C11" s="45" t="inlineStr">
        <is>
          <t>FT-08 AC-01; BR-017</t>
        </is>
      </c>
      <c r="D11" s="45" t="inlineStr">
        <is>
          <t>FT-08</t>
        </is>
      </c>
      <c r="E11" s="46" t="inlineStr">
        <is>
          <t>P1</t>
        </is>
      </c>
      <c r="F11" s="45" t="inlineStr">
        <is>
          <t>VietTien.API (WebApplicationFactory) + SQL Server</t>
        </is>
      </c>
      <c r="G11" s="45" t="inlineStr">
        <is>
          <t>SQL Server 2022
(Testcontainers.MsSql)
+ Respawn reset</t>
        </is>
      </c>
      <c r="H11" s="45" t="inlineStr">
        <is>
          <t>None</t>
        </is>
      </c>
      <c r="I11" s="45" t="inlineStr">
        <is>
          <t>Đơn O1 đã PAID qua SePay, chưa giao</t>
        </is>
      </c>
      <c r="J11" s="45" t="inlineStr">
        <is>
          <t>1. POST yêu cầu huỷ đơn đã thanh toán
2. Sales Manager duyệt
3. Tạo đơn thay thế</t>
        </is>
      </c>
      <c r="K11" s="45" t="inlineStr">
        <is>
          <t>DB: Payment VẪN = PAID; KHÔNG có giao dịch hoàn tiền nào được tạo
Đơn gốc đóng, đơn thay thế tham chiếu đơn gốc</t>
        </is>
      </c>
      <c r="L11" s="45" t="inlineStr">
        <is>
          <t>No</t>
        </is>
      </c>
      <c r="M11" s="47" t="inlineStr">
        <is>
          <t>Pass</t>
        </is>
      </c>
      <c r="N11" s="45" t="n"/>
      <c r="O11" s="48" t="n"/>
      <c r="P11" s="47" t="inlineStr">
        <is>
          <t>✅ Pass (không đổi)</t>
        </is>
      </c>
    </row>
    <row r="12" ht="60" customHeight="1">
      <c r="A12" s="49" t="inlineStr">
        <is>
          <t>L2-RET-06</t>
        </is>
      </c>
      <c r="B12" s="44" t="inlineStr">
        <is>
          <t>Error Path</t>
        </is>
      </c>
      <c r="C12" s="50" t="inlineStr">
        <is>
          <t>FT-08 NAC-05; 4.4.1</t>
        </is>
      </c>
      <c r="D12" s="50" t="inlineStr">
        <is>
          <t>FT-08</t>
        </is>
      </c>
      <c r="E12" s="46" t="inlineStr">
        <is>
          <t>P1</t>
        </is>
      </c>
      <c r="F12" s="50" t="inlineStr">
        <is>
          <t>VietTien.API (WebApplicationFactory) + SQL Server</t>
        </is>
      </c>
      <c r="G12" s="50" t="inlineStr">
        <is>
          <t>SQL Server 2022
(Testcontainers.MsSql)
+ Respawn reset</t>
        </is>
      </c>
      <c r="H12" s="50" t="inlineStr">
        <is>
          <t>None</t>
        </is>
      </c>
      <c r="I12" s="50" t="inlineStr">
        <is>
          <t>Đơn O1 đang In Delivery</t>
        </is>
      </c>
      <c r="J12" s="50" t="inlineStr">
        <is>
          <t>POST yêu cầu huỷ</t>
        </is>
      </c>
      <c r="K12" s="50" t="inlineStr">
        <is>
          <t>HTTP 409; DB: không tạo yêu cầu huỷ; trạng thái đơn không đổi</t>
        </is>
      </c>
      <c r="L12" s="51" t="inlineStr">
        <is>
          <t>Yes</t>
        </is>
      </c>
      <c r="M12" s="54" t="inlineStr">
        <is>
          <t>Fail</t>
        </is>
      </c>
      <c r="N12" s="51" t="inlineStr">
        <is>
          <t>GH-14</t>
        </is>
      </c>
      <c r="O12" s="56" t="inlineStr">
        <is>
          <t>🔴 GH-14 — ĐƠN ĐANG GIAO VẪN NHẬN YÊU CẦU HUỶ. POST /api/delivery/{id}/request-cancel với DeliveryStatus.InDelivery trả 200 kèm "Yêu cầu hủy đơn đã được gửi lên Sales Manager". SRS 4.4.1 + FT-08 NAC-05 yêu cầu 409. Đề xuất: chặn theo DeliveryStatus TRƯỚC khi ghi nhận.  |  ⚠ REGRESSION commit 510915c (guard huỷ/thanh toán)</t>
        </is>
      </c>
      <c r="P12" s="54" t="inlineStr">
        <is>
          <t>✅ ĐÃ FIX  [🟢 ĐÃ FIX + PASS THẬT qua docker + dotnet test (07/08/2026)]
GH-14: RequestCancelPaidOrderAsync nay có guard DeliveryStatus==InDelivery (giống RequestCancelOrderAsync); đồng thời bỏ catch cục bộ ở DeliveryController để middleware map đúng 409.</t>
        </is>
      </c>
    </row>
    <row r="13" ht="60" customHeight="1">
      <c r="A13" s="43" t="inlineStr">
        <is>
          <t>L2-RET-07</t>
        </is>
      </c>
      <c r="B13" s="44" t="inlineStr">
        <is>
          <t>Concurrency</t>
        </is>
      </c>
      <c r="C13" s="45" t="inlineStr">
        <is>
          <t>NFR-A05; BR-029</t>
        </is>
      </c>
      <c r="D13" s="45" t="inlineStr">
        <is>
          <t>FT-08</t>
        </is>
      </c>
      <c r="E13" s="46" t="inlineStr">
        <is>
          <t>P1</t>
        </is>
      </c>
      <c r="F13" s="45" t="inlineStr">
        <is>
          <t>VietTien.API (WebApplicationFactory) + SQL Server</t>
        </is>
      </c>
      <c r="G13" s="45" t="inlineStr">
        <is>
          <t>SQL Server 2022
(Testcontainers.MsSql)
+ Respawn reset</t>
        </is>
      </c>
      <c r="H13" s="45" t="inlineStr">
        <is>
          <t>None</t>
        </is>
      </c>
      <c r="I13" s="45" t="inlineStr">
        <is>
          <t>Đơn O1 đã PAID; chuẩn bị 2 request duyệt huỷ đồng thời</t>
        </is>
      </c>
      <c r="J13" s="45" t="inlineStr">
        <is>
          <t>Bắn song song 2 request duyệt (barrier)</t>
        </is>
      </c>
      <c r="K13" s="45" t="inlineStr">
        <is>
          <t>Đúng 1 request thành công; chỉ 1 đơn thay thế được tạo
Giá trị đã trả không bị nhân đôi</t>
        </is>
      </c>
      <c r="L13" s="45" t="inlineStr">
        <is>
          <t>No</t>
        </is>
      </c>
      <c r="M13" s="54" t="inlineStr">
        <is>
          <t>Fail</t>
        </is>
      </c>
      <c r="N13" s="53" t="inlineStr">
        <is>
          <t>GH-15</t>
        </is>
      </c>
      <c r="O13" s="55" t="inlineStr">
        <is>
          <t>🔴🔴 GH-15 — NHÂN ĐÔI GIÁ TRỊ ĐÃ THANH TOÁN (defect nặng nhất toàn dự án). DeliveryController.ApproveCancelAndCreateReplacement không khoá trạng thái. Hai request song song ĐỀU trả 200, tạo 2 đơn thay thế (VT-RP-...270 và ...891), mỗi đơn ghi reallocatedAmount 3.000.000 + creditAllocated 2.000.000 -&gt; 5 triệu đã trả biến thành 10 triệu giá trị. Nặng hơn GH-02 vì đây là TỰ SINH RA TIỀN, không chỉ ghi trùng bản ghi. Cùng họ read-then-write với GH-02 và GH-04 — ba lần lặp ở ba khu vực khác nhau nên đây là THIẾU QUY ƯỚC XỬ LÝ ĐỒNG THỜI toàn dự án, không phải sự cố lẻ. Đề xuất: khoá bi quan trên Order, hoặc dùng RowVersion sẵn có + guarded UPDATE trên OrderStatus.</t>
        </is>
      </c>
      <c r="P13" s="54" t="inlineStr">
        <is>
          <t>✅ ĐÃ FIX  [🟢 ĐÃ FIX + PASS THẬT qua docker + dotnet test (07/08/2026)]
GH-15: RowVersion trên Order (chung fix với GH-02) khiến 2 request duyệt huỷ song song — request thua nhận DbUpdateConcurrencyException -&gt; 409, chỉ 1 đơn thay thế được tạo.</t>
        </is>
      </c>
    </row>
  </sheetData>
  <mergeCells count="4">
    <mergeCell ref="A10:O10"/>
    <mergeCell ref="A1:O1"/>
    <mergeCell ref="A2:O2"/>
    <mergeCell ref="A5:O5"/>
  </mergeCells>
  <dataValidations count="2">
    <dataValidation sqref="M6:M9 M11:M13" showDropDown="0" showInputMessage="0" showErrorMessage="0" allowBlank="1" type="list">
      <formula1>"Not Run,Pass,Fail,Blocked,Skip,N/A"</formula1>
      <formula2>0</formula2>
    </dataValidation>
    <dataValidation sqref="E6:E9 E11:E13" showDropDown="0" showInputMessage="0" showErrorMessage="0" allowBlank="1" type="list">
      <formula1>"P1,P2,P3"</formula1>
      <formula2>0</formula2>
    </dataValidation>
  </dataValidation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P13"/>
  <sheetViews>
    <sheetView showGridLines="0" topLeftCell="D1" zoomScaleNormal="100" workbookViewId="0">
      <pane ySplit="4" topLeftCell="A7" activePane="bottomLeft" state="frozen"/>
      <selection pane="bottomLeft" activeCell="O10" sqref="O10:O13"/>
    </sheetView>
  </sheetViews>
  <sheetFormatPr baseColWidth="8" defaultColWidth="8.7109375" defaultRowHeight="15"/>
  <cols>
    <col width="12" customWidth="1" min="1" max="1"/>
    <col width="22" customWidth="1" min="2" max="3"/>
    <col width="12" customWidth="1" min="4" max="4"/>
    <col width="9" customWidth="1" min="5" max="5"/>
    <col width="24" customWidth="1" min="6" max="6"/>
    <col width="18" customWidth="1" min="7" max="7"/>
    <col width="22" customWidth="1" min="8" max="8"/>
    <col width="38" customWidth="1" min="9" max="9"/>
    <col width="32" customWidth="1" min="10" max="10"/>
    <col width="46" customWidth="1" min="11" max="11"/>
    <col width="11" customWidth="1" min="12" max="12"/>
    <col width="10" customWidth="1" min="13" max="14"/>
    <col width="34" customWidth="1" min="15" max="15"/>
    <col width="55" customWidth="1" min="16" max="16"/>
  </cols>
  <sheetData>
    <row r="1" ht="24" customHeight="1">
      <c r="A1" s="1" t="inlineStr">
        <is>
          <t>L2-AdminConfigAudit  |  MỚI v2.1  |  SystemConfig · AuditLog · AdminUser · Dashboard/KPI chạy trên DB thật  |  FT-09</t>
        </is>
      </c>
    </row>
    <row r="2" ht="15" customHeight="1">
      <c r="A2" s="58" t="inlineStr">
        <is>
          <t>HOW TO USE:  (1) BẬT Docker Desktop rồi kiểm tra docker ps  (2) Testcontainers.MsSql + Respawn giữa các test  (3) Job nền: gọi trực tiếp IScheduledJob.RunAsync(ct), KHÔNG chờ scheduler  (4) Cập nhật Status  (5) Ghi Defect ID khi Fail</t>
        </is>
      </c>
    </row>
    <row r="4" ht="27.75" customHeight="1">
      <c r="A4" s="42" t="inlineStr">
        <is>
          <t>Test ID</t>
        </is>
      </c>
      <c r="B4" s="42" t="inlineStr">
        <is>
          <t>Coverage Technique</t>
        </is>
      </c>
      <c r="C4" s="42" t="inlineStr">
        <is>
          <t>SRS Reference</t>
        </is>
      </c>
      <c r="D4" s="42" t="inlineStr">
        <is>
          <t>Feature</t>
        </is>
      </c>
      <c r="E4" s="42" t="inlineStr">
        <is>
          <t>Priority</t>
        </is>
      </c>
      <c r="F4" s="42" t="inlineStr">
        <is>
          <t>Services Involved</t>
        </is>
      </c>
      <c r="G4" s="42" t="inlineStr">
        <is>
          <t>Infrastructure (Testcontainers)</t>
        </is>
      </c>
      <c r="H4" s="42" t="inlineStr">
        <is>
          <t>External Mocks (WireMock.Net / fakes)</t>
        </is>
      </c>
      <c r="I4" s="42" t="inlineStr">
        <is>
          <t>Given (DB State / Setup)</t>
        </is>
      </c>
      <c r="J4" s="42" t="inlineStr">
        <is>
          <t>When (Action / HTTP Call)</t>
        </is>
      </c>
      <c r="K4" s="42" t="inlineStr">
        <is>
          <t>Then (Expected DB State + Notifications + Response)</t>
        </is>
      </c>
      <c r="L4" s="42" t="inlineStr">
        <is>
          <t>Negative?</t>
        </is>
      </c>
      <c r="M4" s="42" t="inlineStr">
        <is>
          <t>Status</t>
        </is>
      </c>
      <c r="N4" s="42" t="inlineStr">
        <is>
          <t>Defect ID</t>
        </is>
      </c>
      <c r="O4" s="42" t="inlineStr">
        <is>
          <t>Notes</t>
        </is>
      </c>
      <c r="P4" s="42" t="inlineStr">
        <is>
          <t>Fix Status</t>
        </is>
      </c>
    </row>
    <row r="5" ht="18" customHeight="1">
      <c r="A5" s="59" t="inlineStr">
        <is>
          <t xml:space="preserve">  ▶  Block: Cấu hình có phiên bản &amp; audit bất biến  |  FT-09 AC-03/AC-04; BR-050; BR-048</t>
        </is>
      </c>
    </row>
    <row r="6" ht="60" customHeight="1">
      <c r="A6" s="43" t="inlineStr">
        <is>
          <t>L2-ADM-01</t>
        </is>
      </c>
      <c r="B6" s="44" t="inlineStr">
        <is>
          <t>Workflow</t>
        </is>
      </c>
      <c r="C6" s="45" t="inlineStr">
        <is>
          <t>FT-09 AC-03; NAC-04; BR-050</t>
        </is>
      </c>
      <c r="D6" s="45" t="inlineStr">
        <is>
          <t>FT-09</t>
        </is>
      </c>
      <c r="E6" s="46" t="inlineStr">
        <is>
          <t>P1</t>
        </is>
      </c>
      <c r="F6" s="45" t="inlineStr">
        <is>
          <t>VietTien.API (WebApplicationFactory) + SQL Server</t>
        </is>
      </c>
      <c r="G6" s="45" t="inlineStr">
        <is>
          <t>SQL Server 2022
(Testcontainers.MsSql)
+ Respawn reset</t>
        </is>
      </c>
      <c r="H6" s="45" t="inlineStr">
        <is>
          <t>None</t>
        </is>
      </c>
      <c r="I6" s="45" t="inlineStr">
        <is>
          <t>Giỏ hàng đang giữ giá (snapshot còn hạn) + 1 đơn đã hoàn tất</t>
        </is>
      </c>
      <c r="J6" s="45" t="inlineStr">
        <is>
          <t>1. PUT đổi bảng chiết khấu qua API cấu hình
2. GET lại checkout-summary của giỏ đang giữ giá
3. GET lại đơn đã hoàn tất</t>
        </is>
      </c>
      <c r="K6" s="45" t="inlineStr">
        <is>
          <t>DB: tạo phiên bản cấu hình MỚI, bản cũ vẫn còn
Giỏ giữ nguyên giá cũ; đơn cũ không bị tính lại
Có AuditLog kèm before/after</t>
        </is>
      </c>
      <c r="L6" s="45" t="inlineStr">
        <is>
          <t>No</t>
        </is>
      </c>
      <c r="M6" s="47" t="inlineStr">
        <is>
          <t>Pass</t>
        </is>
      </c>
      <c r="N6" s="45" t="n"/>
      <c r="O6" s="48" t="n"/>
      <c r="P6" s="47" t="inlineStr">
        <is>
          <t>✅ Pass (không đổi)</t>
        </is>
      </c>
    </row>
    <row r="7" ht="60" customHeight="1">
      <c r="A7" s="49" t="inlineStr">
        <is>
          <t>L2-ADM-02</t>
        </is>
      </c>
      <c r="B7" s="44" t="inlineStr">
        <is>
          <t>Transaction Boundary</t>
        </is>
      </c>
      <c r="C7" s="50" t="inlineStr">
        <is>
          <t>FT-09 AC-04; BR-022</t>
        </is>
      </c>
      <c r="D7" s="50" t="inlineStr">
        <is>
          <t>FT-09</t>
        </is>
      </c>
      <c r="E7" s="46" t="inlineStr">
        <is>
          <t>P1</t>
        </is>
      </c>
      <c r="F7" s="50" t="inlineStr">
        <is>
          <t>VietTien.API (WebApplicationFactory) + SQL Server</t>
        </is>
      </c>
      <c r="G7" s="50" t="inlineStr">
        <is>
          <t>SQL Server 2022
(Testcontainers.MsSql)
+ Respawn reset</t>
        </is>
      </c>
      <c r="H7" s="50" t="inlineStr">
        <is>
          <t>None</t>
        </is>
      </c>
      <c r="I7" s="50" t="inlineStr">
        <is>
          <t>Ép lỗi khi ghi AuditLog (ví dụ khoá bảng/constraint)</t>
        </is>
      </c>
      <c r="J7" s="50" t="inlineStr">
        <is>
          <t>PUT đổi một cấu hình được kiểm soát</t>
        </is>
      </c>
      <c r="K7" s="50" t="inlineStr">
        <is>
          <t>Cấu hình KHÔNG được lưu — audit là điều kiện bắt buộc của giao dịch
DB rollback trọn vẹn</t>
        </is>
      </c>
      <c r="L7" s="51" t="inlineStr">
        <is>
          <t>Yes</t>
        </is>
      </c>
      <c r="M7" s="47" t="inlineStr">
        <is>
          <t>Pass</t>
        </is>
      </c>
      <c r="N7" s="50" t="n"/>
      <c r="O7" s="52" t="n"/>
      <c r="P7" s="47" t="inlineStr">
        <is>
          <t>✅ Pass (không đổi)</t>
        </is>
      </c>
    </row>
    <row r="8" ht="60" customHeight="1">
      <c r="A8" s="43" t="inlineStr">
        <is>
          <t>L2-ADM-03</t>
        </is>
      </c>
      <c r="B8" s="44" t="inlineStr">
        <is>
          <t>Error Path</t>
        </is>
      </c>
      <c r="C8" s="45" t="inlineStr">
        <is>
          <t>FT-09 NAC-03; BR-048; NFR-SEC08</t>
        </is>
      </c>
      <c r="D8" s="45" t="inlineStr">
        <is>
          <t>FT-09</t>
        </is>
      </c>
      <c r="E8" s="46" t="inlineStr">
        <is>
          <t>P1</t>
        </is>
      </c>
      <c r="F8" s="45" t="inlineStr">
        <is>
          <t>VietTien.API (WebApplicationFactory) + SQL Server</t>
        </is>
      </c>
      <c r="G8" s="45" t="inlineStr">
        <is>
          <t>SQL Server 2022
(Testcontainers.MsSql)
+ Respawn reset</t>
        </is>
      </c>
      <c r="H8" s="45" t="inlineStr">
        <is>
          <t>None</t>
        </is>
      </c>
      <c r="I8" s="45" t="inlineStr">
        <is>
          <t>Có bản ghi AuditLog; tài khoản ứng dụng kết nối DB</t>
        </is>
      </c>
      <c r="J8" s="45" t="inlineStr">
        <is>
          <t>Thử UPDATE và DELETE trực tiếp bảng AuditLog bằng tài khoản ứng dụng</t>
        </is>
      </c>
      <c r="K8" s="45" t="inlineStr">
        <is>
          <t>Bị chặn ở mức DB (quyền INSERT-only)
Bản ghi giữ nguyên</t>
        </is>
      </c>
      <c r="L8" s="53" t="inlineStr">
        <is>
          <t>Yes</t>
        </is>
      </c>
      <c r="M8" s="47" t="inlineStr">
        <is>
          <t>Pass</t>
        </is>
      </c>
      <c r="N8" s="45" t="n"/>
      <c r="O8" s="48" t="n"/>
      <c r="P8" s="47" t="inlineStr">
        <is>
          <t>✅ Pass (không đổi)</t>
        </is>
      </c>
    </row>
    <row r="9" ht="18" customHeight="1">
      <c r="A9" s="59" t="inlineStr">
        <is>
          <t xml:space="preserve">  ▶  Block: Quản trị người dùng &amp; dashboard  |  FT-09 AC-01; NAC-01/NAC-02</t>
        </is>
      </c>
    </row>
    <row r="10" ht="72.75" customHeight="1">
      <c r="A10" s="43" t="inlineStr">
        <is>
          <t>L2-ADM-04</t>
        </is>
      </c>
      <c r="B10" s="44" t="inlineStr">
        <is>
          <t>Workflow</t>
        </is>
      </c>
      <c r="C10" s="45" t="inlineStr">
        <is>
          <t>FT-09 AC-04; BR-022; NFR-SEC02</t>
        </is>
      </c>
      <c r="D10" s="45" t="inlineStr">
        <is>
          <t>FT-09</t>
        </is>
      </c>
      <c r="E10" s="46" t="inlineStr">
        <is>
          <t>P1</t>
        </is>
      </c>
      <c r="F10" s="45" t="inlineStr">
        <is>
          <t>VietTien.API (WebApplicationFactory) + SQL Server</t>
        </is>
      </c>
      <c r="G10" s="45" t="inlineStr">
        <is>
          <t>SQL Server 2022
(Testcontainers.MsSql)
+ Respawn reset</t>
        </is>
      </c>
      <c r="H10" s="45" t="inlineStr">
        <is>
          <t>SMTP -&gt; smtp4dev</t>
        </is>
      </c>
      <c r="I10" s="45" t="inlineStr">
        <is>
          <t>Admin JWT; email nhân viên mới chưa tồn tại</t>
        </is>
      </c>
      <c r="J10" s="45" t="inlineStr">
        <is>
          <t>1. POST tạo tài khoản nhân viên
2. POST đổi vai trò
3. POST vô hiệu hoá tài khoản
4. Thử dùng refresh token cũ</t>
        </is>
      </c>
      <c r="K10" s="45" t="inlineStr">
        <is>
          <t>DB: PasswordHash != plaintext; 3 bản ghi AuditLog tương ứng
Sau B3: refresh token bị thu hồi, B4 trả 401</t>
        </is>
      </c>
      <c r="L10" s="45" t="inlineStr">
        <is>
          <t>No</t>
        </is>
      </c>
      <c r="M10" s="47" t="inlineStr">
        <is>
          <t>Pass</t>
        </is>
      </c>
      <c r="N10" s="45" t="n"/>
      <c r="O10" s="48" t="n"/>
      <c r="P10" s="47" t="inlineStr">
        <is>
          <t>✅ Pass (không đổi)</t>
        </is>
      </c>
    </row>
    <row r="11" ht="60" customHeight="1">
      <c r="A11" s="49" t="inlineStr">
        <is>
          <t>L2-ADM-05</t>
        </is>
      </c>
      <c r="B11" s="44" t="inlineStr">
        <is>
          <t>Error Path</t>
        </is>
      </c>
      <c r="C11" s="50" t="inlineStr">
        <is>
          <t>FT-09 NAC-02; NFR-SEC03</t>
        </is>
      </c>
      <c r="D11" s="50" t="inlineStr">
        <is>
          <t>FT-09</t>
        </is>
      </c>
      <c r="E11" s="46" t="inlineStr">
        <is>
          <t>P1</t>
        </is>
      </c>
      <c r="F11" s="50" t="inlineStr">
        <is>
          <t>VietTien.API (WebApplicationFactory) + SQL Server</t>
        </is>
      </c>
      <c r="G11" s="50" t="inlineStr">
        <is>
          <t>SQL Server 2022
(Testcontainers.MsSql)
+ Respawn reset</t>
        </is>
      </c>
      <c r="H11" s="50" t="inlineStr">
        <is>
          <t>None</t>
        </is>
      </c>
      <c r="I11" s="50" t="inlineStr">
        <is>
          <t>Admin JWT; có báo giá chờ duyệt và đề nghị điều chỉnh tồn kho</t>
        </is>
      </c>
      <c r="J11" s="50" t="inlineStr">
        <is>
          <t>Gọi trực tiếp API duyệt báo giá và duyệt điều chỉnh bằng JWT Admin</t>
        </is>
      </c>
      <c r="K11" s="50" t="inlineStr">
        <is>
          <t>Cả hai trả 403; DB không đổi trạng thái nghiệp vụ
Có bản ghi security/audit cho nỗ lực này</t>
        </is>
      </c>
      <c r="L11" s="51" t="inlineStr">
        <is>
          <t>Yes</t>
        </is>
      </c>
      <c r="M11" s="47" t="inlineStr">
        <is>
          <t>Pass</t>
        </is>
      </c>
      <c r="N11" s="50" t="n"/>
      <c r="O11" s="52" t="n"/>
      <c r="P11" s="47" t="inlineStr">
        <is>
          <t>✅ Pass (không đổi)</t>
        </is>
      </c>
    </row>
    <row r="12" ht="60" customHeight="1">
      <c r="A12" s="43" t="inlineStr">
        <is>
          <t>L2-ADM-06</t>
        </is>
      </c>
      <c r="B12" s="44" t="inlineStr">
        <is>
          <t>Error Path</t>
        </is>
      </c>
      <c r="C12" s="45" t="inlineStr">
        <is>
          <t>FT-09 NAC-01; BV-01; NFR-SEC03</t>
        </is>
      </c>
      <c r="D12" s="45" t="inlineStr">
        <is>
          <t>FT-09</t>
        </is>
      </c>
      <c r="E12" s="46" t="inlineStr">
        <is>
          <t>P1</t>
        </is>
      </c>
      <c r="F12" s="45" t="inlineStr">
        <is>
          <t>VietTien.API (WebApplicationFactory) + SQL Server</t>
        </is>
      </c>
      <c r="G12" s="45" t="inlineStr">
        <is>
          <t>SQL Server 2022
(Testcontainers.MsSql)
+ Respawn reset</t>
        </is>
      </c>
      <c r="H12" s="45" t="inlineStr">
        <is>
          <t>None</t>
        </is>
      </c>
      <c r="I12" s="45" t="inlineStr">
        <is>
          <t>S1 phụ trách 3 khách; S2 phụ trách 2 khách</t>
        </is>
      </c>
      <c r="J12" s="45" t="inlineStr">
        <is>
          <t>GET dashboard Sales Staff bằng JWT của S1 nhưng truyền id của S2</t>
        </is>
      </c>
      <c r="K12" s="45" t="inlineStr">
        <is>
          <t>Không trả dữ liệu của S2 (403 hoặc tự ép về phạm vi S1)</t>
        </is>
      </c>
      <c r="L12" s="53" t="inlineStr">
        <is>
          <t>Yes</t>
        </is>
      </c>
      <c r="M12" s="47" t="inlineStr">
        <is>
          <t>Pass</t>
        </is>
      </c>
      <c r="N12" s="45" t="n"/>
      <c r="O12" s="48" t="n"/>
      <c r="P12" s="47" t="inlineStr">
        <is>
          <t>✅ Pass (không đổi)</t>
        </is>
      </c>
    </row>
    <row r="13" ht="60" customHeight="1">
      <c r="A13" s="49" t="inlineStr">
        <is>
          <t>L2-ADM-07</t>
        </is>
      </c>
      <c r="B13" s="44" t="inlineStr">
        <is>
          <t>BVA</t>
        </is>
      </c>
      <c r="C13" s="50" t="inlineStr">
        <is>
          <t>FT-09 AC-01</t>
        </is>
      </c>
      <c r="D13" s="50" t="inlineStr">
        <is>
          <t>FT-09</t>
        </is>
      </c>
      <c r="E13" s="57" t="inlineStr">
        <is>
          <t>P2</t>
        </is>
      </c>
      <c r="F13" s="50" t="inlineStr">
        <is>
          <t>VietTien.API (WebApplicationFactory) + SQL Server</t>
        </is>
      </c>
      <c r="G13" s="50" t="inlineStr">
        <is>
          <t>SQL Server 2022
(Testcontainers.MsSql)
+ Respawn reset</t>
        </is>
      </c>
      <c r="H13" s="50" t="inlineStr">
        <is>
          <t>None</t>
        </is>
      </c>
      <c r="I13" s="50" t="inlineStr">
        <is>
          <t>Đơn tạo lúc 00:00:00 ngày đầu kỳ và 23:59:59 ngày cuối kỳ; 1 đơn trước kỳ, 1 đơn sau kỳ</t>
        </is>
      </c>
      <c r="J13" s="50" t="inlineStr">
        <is>
          <t>GET KPI snapshot theo kỳ</t>
        </is>
      </c>
      <c r="K13" s="50" t="inlineStr">
        <is>
          <t>Hai đơn biên ĐƯỢC tính; hai đơn ngoài kỳ bị loại
Đơn Cancelled không tính vào doanh thu</t>
        </is>
      </c>
      <c r="L13" s="50" t="inlineStr">
        <is>
          <t>No</t>
        </is>
      </c>
      <c r="M13" s="47" t="inlineStr">
        <is>
          <t>Pass</t>
        </is>
      </c>
      <c r="N13" s="50" t="n"/>
      <c r="O13" s="52" t="n"/>
      <c r="P13" s="47" t="inlineStr">
        <is>
          <t>✅ Pass (không đổi)</t>
        </is>
      </c>
    </row>
  </sheetData>
  <mergeCells count="4">
    <mergeCell ref="A1:O1"/>
    <mergeCell ref="A9:O9"/>
    <mergeCell ref="A2:O2"/>
    <mergeCell ref="A5:O5"/>
  </mergeCells>
  <dataValidations count="2">
    <dataValidation sqref="M6:M8 M10:M13" showDropDown="0" showInputMessage="0" showErrorMessage="0" allowBlank="1" type="list">
      <formula1>"Not Run,Pass,Fail,Blocked,Skip,N/A"</formula1>
      <formula2>0</formula2>
    </dataValidation>
    <dataValidation sqref="E6:E8 E10:E13" showDropDown="0" showInputMessage="0" showErrorMessage="0" allowBlank="1" type="list">
      <formula1>"P1,P2,P3"</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2026-05-24T04:21:42Z</dcterms:created>
  <dcterms:modified xsi:type="dcterms:W3CDTF">2026-08-07T12:15:05Z</dcterms:modified>
  <cp:lastModifiedBy>Khánh Trần</cp:lastModifiedBy>
  <cp:revision>0</cp:revision>
</cp:coreProperties>
</file>