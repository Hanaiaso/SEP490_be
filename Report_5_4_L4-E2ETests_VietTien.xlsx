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TestCase List" sheetId="2" r:id="rId5"/>
    <sheet state="visible" name="L4-CriticalPaths" sheetId="3" r:id="rId6"/>
    <sheet state="visible" name="L4-UserJourneys" sheetId="4" r:id="rId7"/>
    <sheet state="visible" name="L4-Permissions" sheetId="5" r:id="rId8"/>
    <sheet state="visible" name="L4-SessionManagement" sheetId="6" r:id="rId9"/>
    <sheet state="visible" name="L4-Responsive (Optional)" sheetId="7" r:id="rId10"/>
    <sheet state="visible" name="L4-AdminMarketing" sheetId="8" r:id="rId11"/>
  </sheets>
  <definedNames/>
  <calcPr/>
  <extLst>
    <ext uri="GoogleSheetsCustomDataVersion2">
      <go:sheetsCustomData xmlns:go="http://customooxmlschemas.google.com/" r:id="rId12" roundtripDataChecksum="sKWasGcTB2C/QAkbYJ4guEwy5JUfLsowE7nmKl8jNAg="/>
    </ext>
  </extLst>
</workbook>
</file>

<file path=xl/sharedStrings.xml><?xml version="1.0" encoding="utf-8"?>
<sst xmlns="http://schemas.openxmlformats.org/spreadsheetml/2006/main" count="1112" uniqueCount="442">
  <si>
    <t>TestCase List  |  L4 E2E Test index — SRS v2.0.0  |  v1.3 đóng khoảng trống truy vết AC/NAC</t>
  </si>
  <si>
    <t>Level 4 — E2E Test  |  Test Case Specification Template</t>
  </si>
  <si>
    <t>L4-UserJourneys  |  Hành trình nghiệp vụ đầy đủ theo SC-01..SC-06 của SRS v2</t>
  </si>
  <si>
    <t>L4-CriticalPaths  |  Smoke test — chạy sau mỗi lần deploy  |  6 case  |  Mục tiêu &lt; 12 phút</t>
  </si>
  <si>
    <t>Total test cases</t>
  </si>
  <si>
    <t>HOW TO USE:  (1) Đọc Introduction  (2) Đối chiếu route + data-testid với FE trước khi viết script  (3) Chạy npx playwright test trên staging  (4) Cập nhật Status  (5) Ghi Defect ID khi Fail</t>
  </si>
  <si>
    <t>Primary tool: Playwright (TypeScript)  ·  Trình duyệt thật, không mock  ·  Môi trường staging: ASP.NET Core 8 + SQL Server 2022 + React/Vite</t>
  </si>
  <si>
    <t>Test ID</t>
  </si>
  <si>
    <t>Coverage Technique</t>
  </si>
  <si>
    <t>🎯  Purpose — What does this test level verify?</t>
  </si>
  <si>
    <t>SRS Reference</t>
  </si>
  <si>
    <t>Feature</t>
  </si>
  <si>
    <t>Priority</t>
  </si>
  <si>
    <t>P1</t>
  </si>
  <si>
    <t>Actor (Role)</t>
  </si>
  <si>
    <t>Verify that real users can complete their goals using the full application — from browser through UI, API, and database — with nothing mocked.
Key question: 'Can the user successfully accomplish what they need to do?'</t>
  </si>
  <si>
    <t>Entry Point (URL / Page)</t>
  </si>
  <si>
    <t>Precondition (DB + Auth + Sandbox)</t>
  </si>
  <si>
    <t>✅  In Scope</t>
  </si>
  <si>
    <t>Test Steps (Browser Actions)</t>
  </si>
  <si>
    <t>Expected UI Result</t>
  </si>
  <si>
    <t>• Full stack: Browser → API ASP.NET Core → SQL Server 2022 → SignalR/Hangfire
• Nothing mocked — all systems real (or sandboxed: payment gateway, courier API)
• User journeys: complete flows from login to goal completion
• RBAC on UI: correct menu items, buttons, and data visible per role
• Session management: login, logout, token refresh, multiple tabs
• Browser behavior: navigation, form validation, error messages, toasts</t>
  </si>
  <si>
    <t>Negative?</t>
  </si>
  <si>
    <t>Status</t>
  </si>
  <si>
    <t>❌  Out of Scope</t>
  </si>
  <si>
    <t>Defect ID</t>
  </si>
  <si>
    <t>Notes</t>
  </si>
  <si>
    <t>P2</t>
  </si>
  <si>
    <t xml:space="preserve">  ▶  SC-01 — Đăng ký, mua hàng, định giá và báo giá</t>
  </si>
  <si>
    <t>• Internal method logic (→ L1)
• DB/queue integration (→ L2)
• API contract details and HTTP headers (→ L3)
• Performance under load (→ L3)
• Security attack vectors (→ L3)
• Scenarios that do not require a browser (→ L3-APIFlows)</t>
  </si>
  <si>
    <t>🔬  Coverage Techniques</t>
  </si>
  <si>
    <t>P3</t>
  </si>
  <si>
    <t>Critical Path (Smoke): Happy path only. Fast (&lt; 10 min total). Run after every deploy to verify system is not dead-on-arrival.
User Journey (Regression): Full flow including important error paths. Run before merge to main. Covers AC-xx and key NAC-xx from SRS.
Permission Boundary: Verify each role sees exactly what they should — correct menu items, buttons visible/hidden, 403 on forbidden pages.
Session Management: Login → action → logout → back button. Silent refresh during active session. Multiple tabs consistency.
Negative UI: Verify error messages, inline validation, disabled buttons — that the UI communicates failures clearly (NFR-U03).</t>
  </si>
  <si>
    <t>L4-UJ-01</t>
  </si>
  <si>
    <t xml:space="preserve">  ▶  Critical Paths — Smoke suite  |  Chỉ happy path  |  Chạy sau mỗi deploy</t>
  </si>
  <si>
    <t>User Journey</t>
  </si>
  <si>
    <t>🛠️  Primary Tool</t>
  </si>
  <si>
    <t>Negative tests</t>
  </si>
  <si>
    <t>FT-01 AC-02; AC-04; BR-023; BR-024; SC-01</t>
  </si>
  <si>
    <t>L4-CP-01</t>
  </si>
  <si>
    <t>Critical Path</t>
  </si>
  <si>
    <t>Playwright (TypeScript)  ·  Trình duyệt thật, không mock  ·  Môi trường staging: ASP.NET Core 8 + SQL Server 2022 + React/Vite</t>
  </si>
  <si>
    <t>Pass</t>
  </si>
  <si>
    <t>FT-01</t>
  </si>
  <si>
    <t>FT-01 AC-05; FT-03 AC-04; SC-01</t>
  </si>
  <si>
    <t>FT-01, FT-03</t>
  </si>
  <si>
    <t>📋  Column Definitions — How to fill each column</t>
  </si>
  <si>
    <t>Fail</t>
  </si>
  <si>
    <t>Guest → Customer</t>
  </si>
  <si>
    <t>Customer</t>
  </si>
  <si>
    <t>/register → /verify-otp → /profile</t>
  </si>
  <si>
    <t>/login → /products → /cart → /checkout</t>
  </si>
  <si>
    <t>Email chưa tồn tại trong hệ thống
SMS sandbox bật
Hộp thư test truy cập được</t>
  </si>
  <si>
    <t>TK: customer1@viettien.test / Test@123 (đã verify)
SKU-001 còn tồn &gt;= 2
Giỏ hàng trống trước khi chạy</t>
  </si>
  <si>
    <t>Format: L4-[SheetAbbr]-[NN]
Examples: L4-CP-01, L4-F01-03, L4-PERM-02, L4-SESS-01</t>
  </si>
  <si>
    <t>Not Run</t>
  </si>
  <si>
    <t>1. Đăng ký bằng email mới
2. Mở email, bấm link xác thực
3. Đăng nhập, vào hồ sơ
4. Thêm địa chỉ giao hàng, đặt làm mặc định
5. Xác thực số điện thoại bằng OTP</t>
  </si>
  <si>
    <t>1. Vào /login, nhập email + mật khẩu, bấm Đăng nhập
2. Vào /products, mở SKU-001, chọn số lượng 1, bấm Thêm vào giỏ
3. Mở /cart, kiểm tra 1 dòng, bấm Thanh toán
4. Chọn địa chỉ giao, chọn COD, bấm Đặt hàng</t>
  </si>
  <si>
    <t>Trang xác nhận đơn hiển thị
Mã đơn hiện đúng định dạng
Trạng thái hiển thị 'Chờ xác nhận'
Email xác nhận nhận được (smtp4dev/mailbox test)</t>
  </si>
  <si>
    <t>Tài khoản chỉ hoạt động SAU khi xác thực email
Chỉ 1 địa chỉ mặc định tồn tại
OTP sai/hết hạn báo lỗi rõ ràng bằng tiếng Việt</t>
  </si>
  <si>
    <t>No</t>
  </si>
  <si>
    <t>Values: Critical Path, User Journey - Happy, User Journey - Error, Permission Boundary, Session Management, Negative UI</t>
  </si>
  <si>
    <t>L4-CP-02</t>
  </si>
  <si>
    <t>L4-UJ-02</t>
  </si>
  <si>
    <t>Sheet</t>
  </si>
  <si>
    <t>Nhóm / Block</t>
  </si>
  <si>
    <t>Status (live link)</t>
  </si>
  <si>
    <t>FT-02 AC-01; BV-01; BR-006; SC-01</t>
  </si>
  <si>
    <t>Defect ID (live link)</t>
  </si>
  <si>
    <t>L4-CriticalPaths</t>
  </si>
  <si>
    <t>Critical Paths — Smoke suite</t>
  </si>
  <si>
    <t>The role performing the test.
Values: Customer, Warehouse Staff, Manager, Admin
For multi-user tests: list both (e.g. Staff A + Staff B)</t>
  </si>
  <si>
    <t>FT-03 AC-02; BR-009</t>
  </si>
  <si>
    <t>Starting URL or page name from Screen Design Spec.
Example: /login (P-00)
Example: /orders (P-02a Order Queue)</t>
  </si>
  <si>
    <t>FT-02</t>
  </si>
  <si>
    <t>FT-03</t>
  </si>
  <si>
    <t>Everything needed before the first browser action:
  • User account and credentials
  • DB state (orders, stock, etc.)
  • Sandbox config (payment: succeed/fail; courier: respond/timeout)</t>
  </si>
  <si>
    <t>/products → /cart</t>
  </si>
  <si>
    <t>Customer + SePay sandbox</t>
  </si>
  <si>
    <t>Có SKU đủ tồn để đạt từng mốc giá</t>
  </si>
  <si>
    <t>/checkout → màn hình QR</t>
  </si>
  <si>
    <t>Numbered browser actions:
  1. Navigate to [URL]
  2. Click [element name]
  3. Type [value] in [field]
  4. Wait for [condition]
  5. Assert [visible state]
Each step should be a discrete user action.</t>
  </si>
  <si>
    <t>1. Thêm hàng cho tới khi tổng &lt; 10.000.000đ, xem đơn giá
2. Thêm tiếp để tổng đạt 10.000.000đ
3. Thêm tiếp để tổng đạt 100.000.000đ</t>
  </si>
  <si>
    <t>Đơn ORD-SMOKE ở trạng thái chờ thanh toán
SePay sandbox sẵn sàng</t>
  </si>
  <si>
    <t>&lt; 10 triệu: giá niêm yết
&gt;= 10 triệu: hiển thị chiết khấu bậc
&gt;= 100 triệu: ẨN nút thanh toán, hiện 'Yêu cầu báo giá'</t>
  </si>
  <si>
    <t>1. Chọn thanh toán SePay ở bước cuối checkout
2. Quan sát mã QR + mã tham chiếu + đồng hồ đếm ngược
3. Kích hoạt webhook sandbox với đúng số tiền
4. Chờ giao diện tự cập nhật</t>
  </si>
  <si>
    <t>QR + mã tham chiếu hiển thị, đếm ngược 15 phút chạy
Sau webhook: trạng thái đổi sang 'Đã thanh toán' KHÔNG cần tải lại trang (SignalR)</t>
  </si>
  <si>
    <t>What the user SEES in the browser:
  • Visible headings, text, badges
  • Button enabled/disabled state
  • Toast messages
  • Page navigation (redirect to /X)
  • DB side-effect (optional — query to verify)</t>
  </si>
  <si>
    <t>Yes = test expects an error, blocked action, or rejection shown in UI.</t>
  </si>
  <si>
    <t>L4-UJ-03</t>
  </si>
  <si>
    <t>Not Run / Pass / Fail / Blocked / Skip</t>
  </si>
  <si>
    <t>L4-CP-03</t>
  </si>
  <si>
    <t>FT-02 AC-04; AC-05; BR-027; SC-01</t>
  </si>
  <si>
    <t>Issue tracker reference when Status = Fail.</t>
  </si>
  <si>
    <t>FT-05 AC-01; AC-04; BR-011</t>
  </si>
  <si>
    <t>FT-05</t>
  </si>
  <si>
    <t>Customer + Sales Staff + Sales Manager + CEO</t>
  </si>
  <si>
    <t>Playwright selector hints, test data file, known flakiness, sandbox config.</t>
  </si>
  <si>
    <t>Warehouse Staff</t>
  </si>
  <si>
    <t>/negotiations (khách)  →  /sales/negotiation  →  /sales-manager/manager-negotiation  →  CEOPortal tab "price-negotiation"</t>
  </si>
  <si>
    <t>/warehouse/fulfillment/orders</t>
  </si>
  <si>
    <t>Giỏ 120.000.000đ
4 tài khoản 4 vai trò</t>
  </si>
  <si>
    <t>TK: warehouse1@viettien.test
Đơn ORD-SMOKE đã CONFIRMED</t>
  </si>
  <si>
    <t>1. Khách gửi yêu cầu báo giá
2. Sales nhận việc, trao đổi tin nhắn, gửi giá đề xuất
3. Sales Manager duyệt
4. CEO duyệt lần cuối
5. Khách chấp nhận và đặt hàng</t>
  </si>
  <si>
    <t>📝  How to Fill — Step by step</t>
  </si>
  <si>
    <t>Mỗi vai trò chỉ thấy đúng phần việc của mình
Khách KHÔNG chấp nhận được version chưa qua đủ 2 cấp
Sau khi chấp nhận: checkout dùng đúng giá đã duyệt</t>
  </si>
  <si>
    <t>1. Đăng nhập vai trò Warehouse Staff
2. Mở danh sách đơn cần soạn
3. Nhận đơn ORD-SMOKE
4. Nhập số lượng soạn thực tế và số kiện</t>
  </si>
  <si>
    <t>Đơn xuất hiện trong hàng đợi
Sau khi nhận: trạng thái đổi sang đang soạn, phiếu khoá theo nhân viên
Lưu số lượng + số kiện thành công</t>
  </si>
  <si>
    <t>L4-UJ-14</t>
  </si>
  <si>
    <t>1. For L4-CriticalPaths: identify the minimum set of happy paths that verify the system is usable. Max 6 cases, &lt; 2 min each.</t>
  </si>
  <si>
    <t>FT-01 AC-03; BV-03; NAC-05; BR-028; SC-01</t>
  </si>
  <si>
    <t>L4-CP-04</t>
  </si>
  <si>
    <t>FT-05 AC-05; BR-034</t>
  </si>
  <si>
    <t>2. For L4-UserJourneys: take each Screen Flow (F-01..F-05) and write Happy + key Error paths. Verify side effects (DB state, toast messages).</t>
  </si>
  <si>
    <t>/profile/addresses  →  /checkout  →  /profile/orders/:orderId</t>
  </si>
  <si>
    <t>Warehouse Staff + Sales Staff</t>
  </si>
  <si>
    <t>3. For L4-Permissions: for each role, list pages and buttons they CANNOT access. Write one test per forbidden action.</t>
  </si>
  <si>
    <t>/warehouse/fulfillment/handover  →  /warehouse/fulfillment/goods-issue</t>
  </si>
  <si>
    <t>Khách đã có 1 địa chỉ mặc định và 1 đơn hàng cũ dùng địa chỉ đó</t>
  </si>
  <si>
    <t>Đơn ORD-SMOKE đã soạn xong, N kiện
2 tài khoản: kho + sales cùng truy cập</t>
  </si>
  <si>
    <t>1. Thêm địa chỉ mới và đặt làm mặc định
2. Thử xoá địa chỉ đã dùng cho đơn cũ
3. Đặt đơn mới, sau đó sửa lại địa chỉ và thông tin VAT trong hồ sơ
4. Mở lại chi tiết đơn vừa đặt</t>
  </si>
  <si>
    <t>1. Nhân viên kho xác nhận N kiện + đính kèm bằng chứng
2. Nhân viên Sales xác nhận đúng N kiện
3. Quan sát trạng thái bàn giao</t>
  </si>
  <si>
    <t>4. For L4-SessionManagement: cover login per role, logout + back button, silent refresh (wait 16 min), account lock UI message.</t>
  </si>
  <si>
    <t>Luôn chỉ có ĐÚNG 1 địa chỉ mặc định
Không xoá cứng được địa chỉ đã dùng — hệ thống giải thích và chỉ cho ngừng sử dụng
Địa chỉ giao và thông tin VAT trên đơn đã đặt GIỮ NGUYÊN dù hồ sơ đã đổi</t>
  </si>
  <si>
    <t>Chỉ khi CẢ HAI xác nhận cùng số kiện thì mới cho phép xuất kho
Biên bản bàn giao lưu đủ 2 danh tính + thời điểm</t>
  </si>
  <si>
    <t>5. Check if the test actually requires a browser. If it only needs HTTP calls, move to L3-APIFlows.</t>
  </si>
  <si>
    <t>DEF-L4-001</t>
  </si>
  <si>
    <t>sales-confirm tra 403 cho tai khoan SalesStaff. HandoverController.cs:35-36 khai role "Sales" — gia tri khong ton tai trong enum SystemRole -&gt; khong the du 2 chu ky.</t>
  </si>
  <si>
    <t>6. Write Precondition explicitly — another developer must be able to run this test from scratch.</t>
  </si>
  <si>
    <t xml:space="preserve">  ▶  SC-02 — Thanh toán, phân công Sales và thực hiện đơn</t>
  </si>
  <si>
    <t>L4-CP-05</t>
  </si>
  <si>
    <t>7. Use Playwright page.waitForSelector() or expect(locator).toBeVisible() — not sleep().</t>
  </si>
  <si>
    <t>FT-07 AC-01; AC-03; BR-038</t>
  </si>
  <si>
    <t>FT-07</t>
  </si>
  <si>
    <t>8. Run tests against staging → update Status → add Defect ID if Fail.</t>
  </si>
  <si>
    <t>Sales Staff</t>
  </si>
  <si>
    <t>/sales/delivery/arrangement  →  /sales/delivery</t>
  </si>
  <si>
    <t>Đơn đã bàn giao
Xe 1 còn trống ca Morning</t>
  </si>
  <si>
    <t>L4-UJ-04</t>
  </si>
  <si>
    <t>🎨  Priority &amp; Status Legend</t>
  </si>
  <si>
    <t>1. Mở màn hình sắp xếp giao hàng, chọn xe 1 + ca Morning + ngày
2. Bắt đầu chuyến
3. Ghi nhận giao thành công: tải ảnh + chữ ký khách</t>
  </si>
  <si>
    <t>Đơn chuyển 'Đang giao'
Không cho lưu khi thiếu ảnh hoặc chữ ký
Sau khi đủ bằng chứng: trạng thái 'Đã giao'</t>
  </si>
  <si>
    <t>FT-04 AC-02; AC-04; BR-002; SC-02</t>
  </si>
  <si>
    <t>FT-04</t>
  </si>
  <si>
    <t>P1 — Critical</t>
  </si>
  <si>
    <t>Blocked</t>
  </si>
  <si>
    <t>DEF-L4-002</t>
  </si>
  <si>
    <t>Customer + Sales Manager</t>
  </si>
  <si>
    <t>GET /api/delivery/trips -&gt; 404. Module chuyen giao hang chua trien khai (trung DEF-L3-004).</t>
  </si>
  <si>
    <t>/sales-manager/round-robin  ·  /sales/change-requests</t>
  </si>
  <si>
    <t>Must pass before any release. Blocking.</t>
  </si>
  <si>
    <t>L4-CP-06</t>
  </si>
  <si>
    <t>Có &gt;= 2 Sales Staff đang hoạt động</t>
  </si>
  <si>
    <t>1. Đăng ký 3 khách mới liên tiếp
2. Sales Manager mở màn hình round-robin xem phân công
3. Một khách gửi yêu cầu đổi Sales kèm lý do
4. Sales Manager duyệt</t>
  </si>
  <si>
    <t>FT-01 AC-01; NFR-U03</t>
  </si>
  <si>
    <t>3 khách được chia luân phiên, không trùng, không bỏ sót
Khách chỉ tạo được 1 yêu cầu đang mở
Sau khi duyệt: chủ sở hữu mới, đơn CŨ vẫn giữ tên Sales cũ</t>
  </si>
  <si>
    <t>P2 — High</t>
  </si>
  <si>
    <t>Guest</t>
  </si>
  <si>
    <t>Should pass. Non-blocking but important.</t>
  </si>
  <si>
    <t>/ (trang chủ)</t>
  </si>
  <si>
    <t>Không đăng nhập
Có ít nhất 10 sản phẩm Active</t>
  </si>
  <si>
    <t>L4-UJ-05</t>
  </si>
  <si>
    <t>P3 — Medium</t>
  </si>
  <si>
    <t>1. Mở trang chủ
2. Tìm kiếm theo từ khoá
3. Lọc theo danh mục, chuyển trang
4. Mở chi tiết 1 sản phẩm</t>
  </si>
  <si>
    <t>Trang tải, hiển thị sản phẩm
Kết quả tìm/lọc/phân trang đúng
Sản phẩm ngừng kinh doanh KHÔNG xuất hiện</t>
  </si>
  <si>
    <t>FT-03 AC-03; NAC-03; BR-016; SC-02</t>
  </si>
  <si>
    <t>Nice to have in this cycle.</t>
  </si>
  <si>
    <t>Sales Manager</t>
  </si>
  <si>
    <t>/sales-manager/sepay-exceptions</t>
  </si>
  <si>
    <t xml:space="preserve">  ▶  Template Row — copy khi thêm case mới</t>
  </si>
  <si>
    <t>Có giao dịch SePay không khớp/đến muộn nằm trong danh sách ngoại lệ</t>
  </si>
  <si>
    <t>1. Mở màn hình ngoại lệ SePay
2. Xem bằng chứng giao dịch
3. Thử phân bổ lại vào đơn đúng
4. Thử xác nhận thủ công mà KHÔNG nhập lý do/bằng chứng</t>
  </si>
  <si>
    <t>Danh sách chỉ hiện ngoại lệ chưa xử lý
Xác nhận thủ công bị chặn khi thiếu bằng chứng
Sau khi xử lý: đơn rời khỏi danh sách ngoại lệ</t>
  </si>
  <si>
    <t>L4-XX-[NN]</t>
  </si>
  <si>
    <t>[Critical Path | User Journey | Permission | Session | Responsive]</t>
  </si>
  <si>
    <t xml:space="preserve">  ▶  SC-03 — Giao hàng, thu COD và hậu mãi</t>
  </si>
  <si>
    <t>Skip</t>
  </si>
  <si>
    <t>[FT-xx AC/NAC/BV-xx; BR-xxx; SC-xx]</t>
  </si>
  <si>
    <t>[FT-xx]</t>
  </si>
  <si>
    <t>[Vai trò]</t>
  </si>
  <si>
    <t>L4-UJ-06</t>
  </si>
  <si>
    <t>[/route hoặc tên màn hình]</t>
  </si>
  <si>
    <t>[TK test + trạng thái DB + sandbox]</t>
  </si>
  <si>
    <t>FT-07 AC-04; NAC-04; BV-02; BR-039; SC-03</t>
  </si>
  <si>
    <t>1. ...
2. ...
3. ...</t>
  </si>
  <si>
    <t>[Người dùng THẤY gì trên màn hình]</t>
  </si>
  <si>
    <t>/sales/delivery/collection</t>
  </si>
  <si>
    <t>Đơn A: COD, còn nợ 5.000.000đ
Đơn B: đã thanh toán SePay</t>
  </si>
  <si>
    <t>1. Mở đơn A, nhập số tiền thu = 3.000.000đ
2. Quan sát phần còn nợ
3. Mở đơn B, thử nhập tiền thu</t>
  </si>
  <si>
    <t>Đơn A: ghi đúng 3.000.000đ + tạo công nợ 2.000.000đ
Đơn B: hiển thị cảnh báo 'ĐÃ THANH TOÁN — KHÔNG THU TIỀN', ô nhập bị khoá</t>
  </si>
  <si>
    <t>GET /api/delivery/collections -&gt; 404. Thu COD chua co endpoint (trung DEF-L3-004).</t>
  </si>
  <si>
    <t>L4-UJ-07</t>
  </si>
  <si>
    <t>FT-08 AC-01; AC-02; AC-03; BR-017; SC-03</t>
  </si>
  <si>
    <t>FT-08</t>
  </si>
  <si>
    <t>/profile/orders/:orderId → luồng huỷ đơn đã thanh toán</t>
  </si>
  <si>
    <t>Đơn đã PAID qua SePay</t>
  </si>
  <si>
    <t>1. Khách gửi yêu cầu huỷ đơn đã thanh toán
2. Sales Manager duyệt
3. Sales tạo đơn thay thế
4. Xem số dư credit của khách</t>
  </si>
  <si>
    <t>KHÔNG có tuỳ chọn hoàn tiền ở bất kỳ màn hình nào
Giá trị đã trả được chuyển sang đơn thay thế
Phần dư hiện thành credit của đúng khách đó</t>
  </si>
  <si>
    <t>L4-UJ-08</t>
  </si>
  <si>
    <t>FT-08 AC-05; BR-019; SC-03</t>
  </si>
  <si>
    <t>L4-UserJourneys</t>
  </si>
  <si>
    <t>/warehouse/inv-management/quarantine  ·  /warehouse/purchase/quality-inspection</t>
  </si>
  <si>
    <t>SC-01 — Đăng ký, mua hàng, định giá và báo giá</t>
  </si>
  <si>
    <t>Có hàng trả về do lỗi chất lượng</t>
  </si>
  <si>
    <t>1. Ghi nhận hàng trả về
2. Mở khu cách ly, kiểm tra hàng
3. Nhập kết quả kiểm định: đạt / hỏng
4. Thử đưa hàng chưa kiểm định vào tồn bán được</t>
  </si>
  <si>
    <t>Hàng trả về vào khu cách ly, KHÔNG cộng vào tồn khả dụng
Chỉ sau kiểm định + phê duyệt mới được nhập lại
Thao tác bỏ qua kiểm định bị chặn</t>
  </si>
  <si>
    <t xml:space="preserve">  ▶  SC-06 — Mua hàng, chuyển kho và kiểm soát tồn kho</t>
  </si>
  <si>
    <t>L4-UJ-09</t>
  </si>
  <si>
    <t>FT-06 AC-01; AC-03; AC-05; BR-014; SC-06</t>
  </si>
  <si>
    <t>FT-06</t>
  </si>
  <si>
    <t>CEO + Warehouse Staff</t>
  </si>
  <si>
    <t>CEOPortal tab "purchase-orders"  →  /warehouse/purchase/goods-receipt</t>
  </si>
  <si>
    <t>Nhà cung cấp SUP-01 đã tạo
SKU-001 tồn = 10</t>
  </si>
  <si>
    <t>1. CEO tạo PO, phát hành, gửi kho
2. Kho tạo phiếu nhập từ PO
3. Nhập số lượng nhận + hàng hỏng/thiếu
4. Post phiếu nhập
5. Xem lại tồn kho</t>
  </si>
  <si>
    <t>Tồn kho KHÔNG đổi ở bước 1-3
Sau khi post: tồn tăng đúng phần đạt chất lượng
Hàng hỏng ghi riêng, không vào tồn bán được
Phiếu đã post không sửa được</t>
  </si>
  <si>
    <t>L4-UJ-10</t>
  </si>
  <si>
    <t>FT-11 AC-01; AC-02; AC-03; BR-035; SC-06</t>
  </si>
  <si>
    <t>FT-11</t>
  </si>
  <si>
    <t>/warehouse/transfer/stock-transfer  →  /warehouse/purchase/receiving-comparison</t>
  </si>
  <si>
    <t>WH-TRADE có SKU-001 tồn 20; WH-PROD tồn 5</t>
  </si>
  <si>
    <t>1. Tạo phiếu chuyển 10 từ WH-TRADE sang WH-PROD
2. Post phiếu xuất
3. Kho nhận ghi nhận thực nhận 9 (thiếu 1)
4. Xem chênh lệch</t>
  </si>
  <si>
    <t>Sau bước 2: WH-TRADE giảm 10, hiện 10 đang chuyển
Sau bước 3: WH-PROD tăng 9, tạo bản ghi chênh lệch 1
Số chênh lệch KHÔNG tự cân bằng</t>
  </si>
  <si>
    <t>L4-UJ-11</t>
  </si>
  <si>
    <t>FT-12 AC-01; AC-02; AC-03; BR-044; SC-06</t>
  </si>
  <si>
    <t>SC-02 — Thanh toán, phân công Sales và thực hiện đơn</t>
  </si>
  <si>
    <t>FT-12</t>
  </si>
  <si>
    <t>Warehouse Staff + CEO</t>
  </si>
  <si>
    <t>/warehouse/inv-management/inventory-count  ·  /warehouse/inv-management/stock-adjustment</t>
  </si>
  <si>
    <t>Ngưỡng duyệt điều chỉnh đã cấu hình</t>
  </si>
  <si>
    <t>1. Kho mở phiên kiểm kê, hệ thống chốt số lý thuyết
2. Nhập số đếm thực tế lệch
3. Gửi đề nghị điều chỉnh vượt ngưỡng
4. CEO duyệt và post</t>
  </si>
  <si>
    <t>Số lý thuyết bị khoá, không sửa được
Tồn kho KHÔNG đổi cho tới khi post
Vượt ngưỡng bắt buộc CEO duyệt
Sau post: tồn đổi đúng phần chênh lệch</t>
  </si>
  <si>
    <t>DEF-L4-003</t>
  </si>
  <si>
    <t>GET /api/inventory/count-sessions -&gt; 404. Phien kiem ke chua trien khai (trung DEF-L3-005).</t>
  </si>
  <si>
    <t>L4-UJ-12</t>
  </si>
  <si>
    <t>FT-12 AC-05; BR-045; SC-06</t>
  </si>
  <si>
    <t>/warehouse/production/issue</t>
  </si>
  <si>
    <t>SC-03 — Giao hàng, thu COD và hậu mãi</t>
  </si>
  <si>
    <t>Có vật tư trong kho</t>
  </si>
  <si>
    <t>1. Tạo phiếu xuất vật tư cho sản xuất ngoài
2. Bỏ trống người nhận / số phiếu / ảnh ký, bấm lưu
3. Nhập đủ và lưu lại</t>
  </si>
  <si>
    <t>Bước 2 bị chặn, chỉ rõ trường còn thiếu
Bước 3 thành công, tồn giảm đúng 1 lần, ảnh ký lưu kèm</t>
  </si>
  <si>
    <t>L4-UJ-13</t>
  </si>
  <si>
    <t>FT-12 AC-04; BV-03; BR-049; SC-06</t>
  </si>
  <si>
    <t>/warehouse/inv-management  ·  thông báo hệ thống</t>
  </si>
  <si>
    <t>SKU-002 có ngưỡng tồn thấp đã cấu hình; tồn hiện tại = ngưỡng + 1</t>
  </si>
  <si>
    <t>1. Xuất 1 đơn vị để tồn bằng đúng ngưỡng
2. Mở danh sách cảnh báo tồn thấp
3. Xuất thêm 1 đơn vị nữa rồi xem lại danh sách</t>
  </si>
  <si>
    <t>Trước ngưỡng: không có cảnh báo
Từ ngưỡng trở xuống: hiện ĐÚNG 1 cảnh báo kèm số lượng hiện tại, ngưỡng, kho và hành động tiếp theo
Xuống thêm không sinh cảnh báo thứ hai mà cập nhật cảnh báo đang có</t>
  </si>
  <si>
    <t>GET /api/inventory/low-stock-alerts -&gt; 404. Canh bao ton thap chua co endpoint (trung DEF-L3-005).</t>
  </si>
  <si>
    <t>L4-Permissions  |  Ma trận uỷ quyền trên giao diện — 7 vai trò của SRS v2  |  NFR-SEC03; FT-09 NAC-01/NAC-02</t>
  </si>
  <si>
    <t>SC-06 — Mua hàng, chuyển kho và kiểm soát tồn kho</t>
  </si>
  <si>
    <t xml:space="preserve">  ▶  Chặn truy cập theo vai trò (kiểm tra ở UI, không chỉ ẩn nút)</t>
  </si>
  <si>
    <t>L4-PM-01</t>
  </si>
  <si>
    <t>Permission</t>
  </si>
  <si>
    <t>NFR-SEC03; FT-01 NAC-05</t>
  </si>
  <si>
    <t>/checkout (gõ thẳng URL)</t>
  </si>
  <si>
    <t>Chưa đăng nhập</t>
  </si>
  <si>
    <t>1. Gõ trực tiếp /checkout vào thanh địa chỉ
2. Quan sát</t>
  </si>
  <si>
    <t>Bị chuyển về /login
Nội dung checkout KHÔNG render</t>
  </si>
  <si>
    <t>Yes</t>
  </si>
  <si>
    <t>L4-PM-02</t>
  </si>
  <si>
    <t>NFR-SEC03</t>
  </si>
  <si>
    <t>FT-09</t>
  </si>
  <si>
    <t>/warehouse/dashboard (gõ thẳng URL)</t>
  </si>
  <si>
    <t>Đăng nhập vai trò Customer</t>
  </si>
  <si>
    <t>1. Gõ URL portal kho
2. Quan sát</t>
  </si>
  <si>
    <t>Từ chối truy cập / chuyển hướng
Không hiển thị dữ liệu kho</t>
  </si>
  <si>
    <t>L4-PM-03</t>
  </si>
  <si>
    <t>NFR-SEC03; BR-027</t>
  </si>
  <si>
    <t>CEOPortal tab "price-negotiation"</t>
  </si>
  <si>
    <t>L4-Permissions</t>
  </si>
  <si>
    <t>Đăng nhập vai trò Sales Staff</t>
  </si>
  <si>
    <t>Chặn truy cập theo vai trò (kiểm tra ở UI, không chỉ ẩn nút)</t>
  </si>
  <si>
    <t>1. Mở màn hình duyệt báo giá cấp CEO
2. Thử bấm nút duyệt (nếu render)</t>
  </si>
  <si>
    <t>Không vào được màn hình; nếu gọi API trực tiếp -&gt; 403
Trạng thái báo giá không đổi</t>
  </si>
  <si>
    <t>L4-PM-04</t>
  </si>
  <si>
    <t>NFR-SEC03; FT-09 NAC-02</t>
  </si>
  <si>
    <t>Admin</t>
  </si>
  <si>
    <t>CEOPortal tab "price-negotiation"  ·  /warehouse/inv-management/stock-adjustment</t>
  </si>
  <si>
    <t>Đăng nhập vai trò Admin</t>
  </si>
  <si>
    <t>1. Thử duyệt báo giá
2. Thử duyệt điều chỉnh tồn kho</t>
  </si>
  <si>
    <t>Admin KHÔNG thực hiện được phê duyệt nghiệp vụ (SRS v2 tách vai trò)
Các thao tác quản trị kỹ thuật vẫn dùng bình thường</t>
  </si>
  <si>
    <t>DEF-L4-005</t>
  </si>
  <si>
    <t>API chan Admin dung (ceo-decision 403, inventory adjust 403) NHUNG UI van cho Admin mo /warehouse/inv-management/stock-adjustment va /ceo/* (App.tsx:76,79).</t>
  </si>
  <si>
    <t>L4-PM-05</t>
  </si>
  <si>
    <t>NFR-SEC03; FT-04 NAC-04</t>
  </si>
  <si>
    <t>/sales-manager/change-requests</t>
  </si>
  <si>
    <t>Có yêu cầu đổi Sales đang mở</t>
  </si>
  <si>
    <t>1. Mở chi tiết yêu cầu đổi Sales của chính mình
2. Tìm nút Duyệt / Từ chối</t>
  </si>
  <si>
    <t>Sales Staff chỉ giải trình được, KHÔNG có quyền duyệt/từ chối/xoá</t>
  </si>
  <si>
    <t>L4-PM-06</t>
  </si>
  <si>
    <t>NFR-SEC03; FT-05 NAC-05</t>
  </si>
  <si>
    <t>/warehouse/fulfillment/orders (kho khác)</t>
  </si>
  <si>
    <t>Nhân viên thuộc WH-TRADE</t>
  </si>
  <si>
    <t>1. Thử mở/thao tác phiếu của WH-PROD</t>
  </si>
  <si>
    <t>Bị chặn theo phạm vi kho được gán</t>
  </si>
  <si>
    <t>L4-PM-07</t>
  </si>
  <si>
    <t>/profile/orders/:orderId của khách khác</t>
  </si>
  <si>
    <t>Đơn thuộc khách khác</t>
  </si>
  <si>
    <t>1. Đổi id trên URL sang đơn của khách khác</t>
  </si>
  <si>
    <t>Không hiển thị dữ liệu; báo không tìm thấy hoặc từ chối truy cập</t>
  </si>
  <si>
    <t>L4-SM-01</t>
  </si>
  <si>
    <t>L4-SessionManagement</t>
  </si>
  <si>
    <t>Vòng đời phiên</t>
  </si>
  <si>
    <t>NFR-SEC02</t>
  </si>
  <si>
    <t>L4-SM-02</t>
  </si>
  <si>
    <t>L4-SessionManagement  |  Phiên đăng nhập, refresh token, đa tab  |  NFR-SEC02</t>
  </si>
  <si>
    <t>L4-SM-03</t>
  </si>
  <si>
    <t>L4-SM-04</t>
  </si>
  <si>
    <t>FT-01 AC-05; BR-025</t>
  </si>
  <si>
    <t xml:space="preserve">  ▶  Vòng đời phiên</t>
  </si>
  <si>
    <t>L4-SM-05</t>
  </si>
  <si>
    <t>Session</t>
  </si>
  <si>
    <t>FT-01 NAC-03; BV-01; BR-025</t>
  </si>
  <si>
    <t>/products</t>
  </si>
  <si>
    <t>Đăng nhập thành công, access token sắp hết hạn</t>
  </si>
  <si>
    <t>1. Ở yên trên trang cho tới khi access token hết hạn
2. Thực hiện một thao tác cần xác thực (thêm giỏ hàng)</t>
  </si>
  <si>
    <t>Hệ thống tự refresh ngầm, thao tác thành công
Người dùng KHÔNG bị đá ra trang đăng nhập</t>
  </si>
  <si>
    <t>L4-RS-01</t>
  </si>
  <si>
    <t>L4-Responsive (Optional)</t>
  </si>
  <si>
    <t>Giao diện đáp ứng và ngôn ngữ</t>
  </si>
  <si>
    <t>NFR-U01</t>
  </si>
  <si>
    <t>L4-RS-02</t>
  </si>
  <si>
    <t>Refresh token bị thu hồi (đăng xuất ở nơi khác)</t>
  </si>
  <si>
    <t>1. Thu hồi refresh token phía server
2. Thực hiện thao tác cần xác thực</t>
  </si>
  <si>
    <t>Bị chuyển về /login
Dữ liệu phiên bị xoá khỏi trình duyệt</t>
  </si>
  <si>
    <t>2 tab cùng lúc</t>
  </si>
  <si>
    <t>L4-RS-03</t>
  </si>
  <si>
    <t>Đăng nhập ở tab A và tab B</t>
  </si>
  <si>
    <t>1. Đăng xuất ở tab A
2. Chuyển sang tab B, thao tác</t>
  </si>
  <si>
    <t>Tab B cũng mất phiên, chuyển về đăng nhập (không dùng token đã thu hồi)</t>
  </si>
  <si>
    <t>NFR-U02</t>
  </si>
  <si>
    <t>/cart</t>
  </si>
  <si>
    <t>Giỏ hàng có 2 dòng, snapshot còn hạn</t>
  </si>
  <si>
    <t>L4-RS-04</t>
  </si>
  <si>
    <t>1. Đăng xuất
2. Đăng nhập lại
3. Mở giỏ hàng</t>
  </si>
  <si>
    <t>Giỏ hàng được khôi phục đúng dòng + số lượng (giỏ gắn tài khoản)</t>
  </si>
  <si>
    <t>NFR-U03</t>
  </si>
  <si>
    <t>L4-AM-01</t>
  </si>
  <si>
    <t>L4-AdminMarketing</t>
  </si>
  <si>
    <t>SC-04 — Quản trị, bảng điều khiển, cảnh báo và nhật ký</t>
  </si>
  <si>
    <t>Snapshot giỏ tạo cách đây 24:00:01</t>
  </si>
  <si>
    <t>FT-09 AC-04; BR-022; NFR-SEC02; SC-04</t>
  </si>
  <si>
    <t>1. Mở lại giỏ hàng
2. Thử bấm thanh toán</t>
  </si>
  <si>
    <t>Hiện cảnh báo giá đã hết hạn bằng tiếng Việt
Bị chặn cho tới khi bấm làm mới và xác nhận lại giá</t>
  </si>
  <si>
    <t>DEF-L4-007</t>
  </si>
  <si>
    <t>Sau khi day Carts.UpdatedAt lui 24:00:01, gio van cho thanh toan; khong co canh bao gia het han va khong bat lam moi gia. Khong tim thay logic 24h o CartService lan Cart.jsx.</t>
  </si>
  <si>
    <t>L4-AM-02</t>
  </si>
  <si>
    <t>FT-09 AC-03; NAC-04; BV-02; BR-050; SC-04</t>
  </si>
  <si>
    <t>L4-AM-03</t>
  </si>
  <si>
    <t>FT-09 NAC-03; BR-048; NFR-SEC08; SC-04</t>
  </si>
  <si>
    <t>L4-AM-04</t>
  </si>
  <si>
    <t>FT-09 AC-05; BV-03; BR-049; NFR-A04; SC-04</t>
  </si>
  <si>
    <t>L4-AM-05</t>
  </si>
  <si>
    <t>SC-05 — Marketing hỗ trợ AI và đăng Facebook  ·  Đổi trả (SC-03)</t>
  </si>
  <si>
    <t>FT-10 AC-01; AC-02; AC-03; BR-046; NFR-P07; SC-05</t>
  </si>
  <si>
    <t>L4-AM-06</t>
  </si>
  <si>
    <t>FT-10 NAC-01; NAC-02; BR-046; NFR-SEC03; SC-05</t>
  </si>
  <si>
    <t>L4-AM-09</t>
  </si>
  <si>
    <t>FT-10 NAC-03; BV-01; BV-02; SC-05</t>
  </si>
  <si>
    <t>L4-AM-10</t>
  </si>
  <si>
    <t>FT-10 NAC-04; BV-03; NFR-SEC07; SC-05</t>
  </si>
  <si>
    <t>L4-AM-11</t>
  </si>
  <si>
    <t>FT-10 AC-04; AC-05; BR-003; BR-049; SC-05</t>
  </si>
  <si>
    <t>L4-AM-07</t>
  </si>
  <si>
    <t>L4-AM-08</t>
  </si>
  <si>
    <t>FT-08 AC-03; BV-02; BR-042; BR-043; SC-03</t>
  </si>
  <si>
    <t>L4-AdminMarketing  |  MỚI v2.1  |  Quản trị người dùng, cấu hình, marketing, đổi/trả trên giao diện  |  FT-09; FT-10; FT-08</t>
  </si>
  <si>
    <t>L4-Responsive  |  NFR-U01 (&gt;= 375px) · NFR-U02 (tiếng Việt) · NFR-U03 (checkout &lt;= 4 bước)</t>
  </si>
  <si>
    <t>HOW TO USE:  (1) Đối chiếu route + data-testid với FE  (2) Chạy npx playwright test trên staging  (3) Cập nhật Status  (4) Ghi Defect ID khi Fail</t>
  </si>
  <si>
    <t xml:space="preserve">  ▶  Giao diện đáp ứng và ngôn ngữ</t>
  </si>
  <si>
    <t xml:space="preserve">  ▶  Block: SC-04 — Quản trị, bảng điều khiển, cảnh báo và nhật ký  |  FT-09</t>
  </si>
  <si>
    <t>Responsive</t>
  </si>
  <si>
    <t>/products, /cart, /checkout @ 375px</t>
  </si>
  <si>
    <t>Viewport 375x812 (iPhone SE/mini)</t>
  </si>
  <si>
    <t>1. Duyệt sản phẩm, thêm giỏ, mở checkout ở 375px
2. Kiểm tra cuộn ngang</t>
  </si>
  <si>
    <t>Không có cuộn ngang
Các nút thao tác chính bấm được</t>
  </si>
  <si>
    <t>/admin/users  (AdminPortal)</t>
  </si>
  <si>
    <t>TK Admin
Email nhân viên mới chưa tồn tại</t>
  </si>
  <si>
    <t>1. Đăng nhập Admin, mở quản lý người dùng
2. Tạo tài khoản nhân viên mới, chọn vai trò
3. Đổi vai trò của tài khoản vừa tạo
4. Vô hiệu hoá tài khoản
5. Đăng nhập bằng tài khoản đó</t>
  </si>
  <si>
    <t>Tạo/đổi vai trò thành công, hiện trong danh sách
Sau khi vô hiệu hoá: KHÔNG đăng nhập được
Mọi thay đổi đều xuất hiện trong nhật ký kiểm toán</t>
  </si>
  <si>
    <t>/sales/delivery/collection @ 375px</t>
  </si>
  <si>
    <t>Viewport 375px</t>
  </si>
  <si>
    <t>1. Mở màn hình ghi nhận giao hàng và thu tiền trên mobile</t>
  </si>
  <si>
    <t>Nhập liệu và tải ảnh dùng được trên điện thoại (Sales dùng ngoài đường)</t>
  </si>
  <si>
    <t>Localization</t>
  </si>
  <si>
    <t>Admin + Customer</t>
  </si>
  <si>
    <t>/admin/settings  →  /cart</t>
  </si>
  <si>
    <t>Có giỏ hàng đang giữ giá và đơn đã hoàn tất</t>
  </si>
  <si>
    <t>1. Admin đổi bảng chiết khấu, đặt hiệu lực từ ngày mai
2. Khách mở lại giỏ đang giữ giá
3. Khách mở lại đơn đã hoàn tất</t>
  </si>
  <si>
    <t>Toàn bộ luồng đặt hàng</t>
  </si>
  <si>
    <t>Giỏ giữ NGUYÊN giá cũ
Đơn cũ không bị tính lại
Cấu hình mới chỉ áp dụng từ thời điểm hiệu lực</t>
  </si>
  <si>
    <t>Ngôn ngữ hệ thống mặc định</t>
  </si>
  <si>
    <t>1. Đi hết luồng đặt hàng, chụp lại mọi thông báo lỗi/xác nhận</t>
  </si>
  <si>
    <t>100% văn bản người dùng thấy là tiếng Việt
Định dạng tiền tệ và ngày theo chuẩn VN</t>
  </si>
  <si>
    <t>Usability</t>
  </si>
  <si>
    <t>/admin/audit-log</t>
  </si>
  <si>
    <t>/cart → hoàn tất đặt hàng</t>
  </si>
  <si>
    <t>Có bản ghi nhật ký</t>
  </si>
  <si>
    <t>1. Mở nhật ký kiểm toán
2. Tìm nút sửa/xoá bản ghi
3. Thử xuất CSV</t>
  </si>
  <si>
    <t>Giỏ đã có hàng, địa chỉ mặc định đã lưu</t>
  </si>
  <si>
    <t>1. Đếm số lần click/số trang từ giỏ tới khi chọn xong phương thức thanh toán</t>
  </si>
  <si>
    <t>KHÔNG có chức năng sửa/xoá
Xuất CSV hoạt động, PII đã được che</t>
  </si>
  <si>
    <t>Tối đa 4 click/trang</t>
  </si>
  <si>
    <t>/admin/settings (system health)</t>
  </si>
  <si>
    <t>Có job đã chạy thành công, job thất bại và job chưa chạy</t>
  </si>
  <si>
    <t>1. Mở màn hình theo dõi job
2. Đối chiếu trạng thái từng job</t>
  </si>
  <si>
    <t>Job lỗi hiển thị rõ số lần thử lại và lỗi
Job chưa chạy KHÔNG bị hiển thị là khoẻ mạnh</t>
  </si>
  <si>
    <t xml:space="preserve">  ▶  Block: SC-05 — Marketing hỗ trợ AI và đăng Facebook  ·  Đổi trả (SC-03)  |  FT-10; FT-08</t>
  </si>
  <si>
    <t>FT-10</t>
  </si>
  <si>
    <t>Sales Staff + Sales Manager</t>
  </si>
  <si>
    <t>/admin/ai-marketing  ·  /admin/marketing-history</t>
  </si>
  <si>
    <t>TK Sales Staff và Sales Manager
Dịch vụ AI/Make sandbox bật</t>
  </si>
  <si>
    <t>1. Sales tạo bài, yêu cầu sinh nội dung + ảnh
2. Gửi duyệt
3. Sales Manager xem, duyệt và hẹn giờ
4. Chờ tới giờ, kiểm tra kết quả</t>
  </si>
  <si>
    <t>Khi AI đang xử lý: màn hình báo đang xử lý, không treo
Sales KHÔNG tự đăng được bài chưa duyệt
Sau khi đăng: lưu link bài, hiện trong lịch sử</t>
  </si>
  <si>
    <t>DEF-L4-004</t>
  </si>
  <si>
    <t>Workbook ghi /admin/ai-marketing nhung route do la stub ComingSoon (AdminPortal.tsx:205-207). Chuc nang that o /sales/ai-content-studio.</t>
  </si>
  <si>
    <t>Bài M1 do chính Sales này tạo, đang chờ duyệt</t>
  </si>
  <si>
    <t>1. Mở bài của mình
2. Tìm nút Duyệt</t>
  </si>
  <si>
    <t>Không có/không dùng được nút Duyệt
Gọi API trực tiếp cũng bị từ chối</t>
  </si>
  <si>
    <t>/admin/ai-marketing</t>
  </si>
  <si>
    <t>Có bài đang chờ duyệt
Hàng đợi đã có 30 bài được hẹn giờ</t>
  </si>
  <si>
    <t>1. Duyệt bài và chọn thời điểm đăng ĐÃ QUA
2. Chọn lại thời điểm trong tương lai
3. Với hàng đợi đã đủ 30 bài, thử hẹn thêm bài thứ 31</t>
  </si>
  <si>
    <t>Bước 1 bị chặn, báo lỗi tiếng Việt rõ ràng
Bước 2 thành công, bài chuyển sang đã hẹn giờ
Bước 3 bị chặn và hiển thị giới hạn hàng đợi; lịch cũ không đổi</t>
  </si>
  <si>
    <t>Có bài nháp
File thử: .exe đổi đuôi .png và ảnh vượt giới hạn dung lượng</t>
  </si>
  <si>
    <t>1. Tải lên file sai định dạng
2. Tải lên ảnh vượt dung lượng cho phép
3. Thử gửi duyệt bài</t>
  </si>
  <si>
    <t>Cả hai file đều bị từ chối kèm thông báo rõ lý do
File không được gắn vào bài
Bài không gửi duyệt được khi đính kèm không hợp lệ</t>
  </si>
  <si>
    <t>POST /api/marketing-posts/{id}/media -&gt; 404. Upload media chua trien khai; khong kiem duoc NFR-SEC07.</t>
  </si>
  <si>
    <t>Admin + Sales Manager</t>
  </si>
  <si>
    <t>/admin/marketing-history</t>
  </si>
  <si>
    <t>Một bài đăng thành công, một bài bị Facebook trả lỗi
Khách A đang thuộc Sales S1</t>
  </si>
  <si>
    <t>1. Mở lịch sử đăng bài, xem số liệu tương tác của bài thành công
2. Xem bài lỗi, bấm thử lại
3. Kiểm tra người phụ trách của khách A sau khi khách vào từ bài viết</t>
  </si>
  <si>
    <t>Số liệu tương tác gắn đúng bài đã đăng
Bài lỗi giữ nguyên nội dung đã duyệt, thử lại KHÔNG tạo bài trùng trên Facebook
Khách A VẪN thuộc Sales S1</t>
  </si>
  <si>
    <t>GET /api/marketing-posts/{id}/metrics -&gt; 404. Chi so tuong tac chua trien khai.</t>
  </si>
  <si>
    <t>Customer + Sales Manager + Sales Staff</t>
  </si>
  <si>
    <t>/profile/orders/:orderId  →  /sales/pickup-arrangement</t>
  </si>
  <si>
    <t>Đơn đã giao, khách báo lỗi 2 sản phẩm</t>
  </si>
  <si>
    <t>1. Khách tạo yêu cầu đổi/trả kèm ảnh
2. Sales Manager duyệt
3. Sales lên lịch thu hồi
4. Sales xác nhận đã thu hồi hàng</t>
  </si>
  <si>
    <t>Khách theo dõi được tiến độ
Sau khi thu hồi: hàng KHÔNG cộng vào tồn bán được
Sales Staff không tự duyệt được yêu cầu</t>
  </si>
  <si>
    <t>Workbook ghi /sales/pickup-arrangement nhung route khong ton tai trong SalesPortal.tsx (roi vao catch-all ve Dashboard).</t>
  </si>
  <si>
    <t>/sales/orders (tạo đơn thay thế)</t>
  </si>
  <si>
    <t>Yêu cầu đổi đã duyệt; P1 giá gốc 50.000; P2 giá hiện hành 70.000</t>
  </si>
  <si>
    <t>1. Tạo đơn thay thế CÙNG mã P1
2. Tạo đơn thay thế đổi sang mã P2
3. Đối chiếu số tiền hiển thị</t>
  </si>
  <si>
    <t>Cùng mã: giữ giá gốc 50.000, không phát sinh phải thu
Khác mã: dùng giá 70.000, chênh lệch hiển thị rõ cho khách</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</si>
</sst>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2.0"/>
      <color rgb="FFFFFFFF"/>
      <name val="Arial"/>
    </font>
    <font/>
    <font>
      <b/>
      <sz val="16.0"/>
      <color rgb="FFFFFFFF"/>
      <name val="Arial"/>
    </font>
    <font>
      <b/>
      <sz val="9.0"/>
      <color rgb="FF375623"/>
      <name val="Arial"/>
    </font>
    <font>
      <sz val="9.0"/>
      <color rgb="FF375623"/>
      <name val="Arial"/>
    </font>
    <font>
      <i/>
      <sz val="9.0"/>
      <color rgb="FF595959"/>
      <name val="Arial"/>
    </font>
    <font>
      <b/>
      <sz val="10.0"/>
      <color rgb="FFFFFFFF"/>
      <name val="Arial"/>
    </font>
    <font>
      <b/>
      <sz val="10.0"/>
      <color rgb="FF000000"/>
      <name val="Arial"/>
    </font>
    <font>
      <sz val="9.0"/>
      <color rgb="FF000000"/>
      <name val="Arial"/>
    </font>
    <font>
      <b/>
      <sz val="9.0"/>
      <color rgb="FFC00000"/>
      <name val="Arial"/>
    </font>
    <font>
      <sz val="9.0"/>
      <color rgb="FF595959"/>
      <name val="Arial"/>
    </font>
    <font>
      <sz val="9.0"/>
      <color rgb="FF2E7D32"/>
      <name val="Arial"/>
    </font>
    <font>
      <b/>
      <sz val="9.0"/>
      <color rgb="FFFFFFFF"/>
      <name val="Arial"/>
    </font>
    <font>
      <b/>
      <sz val="9.0"/>
      <color rgb="FF595959"/>
      <name val="Arial"/>
    </font>
    <font>
      <b/>
      <sz val="9.0"/>
      <color rgb="FF7F6000"/>
      <name val="Arial"/>
    </font>
    <font>
      <b/>
      <sz val="9.0"/>
      <color rgb="FF5C3292"/>
      <name val="Arial"/>
    </font>
    <font>
      <sz val="9.0"/>
      <color rgb="FFC00000"/>
      <name val="Arial"/>
    </font>
    <font>
      <b/>
      <sz val="9.0"/>
      <color rgb="FF806000"/>
      <name val="Arial"/>
    </font>
  </fonts>
  <fills count="17">
    <fill>
      <patternFill patternType="none"/>
    </fill>
    <fill>
      <patternFill patternType="lightGray"/>
    </fill>
    <fill>
      <patternFill patternType="solid">
        <fgColor rgb="FF375623"/>
        <bgColor rgb="FF375623"/>
      </patternFill>
    </fill>
    <fill>
      <patternFill patternType="solid">
        <fgColor rgb="FFF2F2F2"/>
        <bgColor rgb="FFF2F2F2"/>
      </patternFill>
    </fill>
    <fill>
      <patternFill patternType="solid">
        <fgColor rgb="FFE2EFDA"/>
        <bgColor rgb="FFE2EFDA"/>
      </patternFill>
    </fill>
    <fill>
      <patternFill patternType="solid">
        <fgColor rgb="FFFFF2CC"/>
        <bgColor rgb="FFFFF2CC"/>
      </patternFill>
    </fill>
    <fill>
      <patternFill patternType="solid">
        <fgColor rgb="FF1F6B75"/>
        <bgColor rgb="FF1F6B75"/>
      </patternFill>
    </fill>
    <fill>
      <patternFill patternType="solid">
        <fgColor rgb="FFD6EEF0"/>
        <bgColor rgb="FFD6EEF0"/>
      </patternFill>
    </fill>
    <fill>
      <patternFill patternType="solid">
        <fgColor rgb="FFFCE4D6"/>
        <bgColor rgb="FFFCE4D6"/>
      </patternFill>
    </fill>
    <fill>
      <patternFill patternType="solid">
        <fgColor rgb="FFFFFFFF"/>
        <bgColor rgb="FFFFFFFF"/>
      </patternFill>
    </fill>
    <fill>
      <patternFill patternType="solid">
        <fgColor rgb="FFF7F7F7"/>
        <bgColor rgb="FFF7F7F7"/>
      </patternFill>
    </fill>
    <fill>
      <patternFill patternType="solid">
        <fgColor rgb="FF1F3864"/>
        <bgColor rgb="FF1F3864"/>
      </patternFill>
    </fill>
    <fill>
      <patternFill patternType="solid">
        <fgColor rgb="FFDEEAF1"/>
        <bgColor rgb="FFDEEAF1"/>
      </patternFill>
    </fill>
    <fill>
      <patternFill patternType="solid">
        <fgColor rgb="FFC00000"/>
        <bgColor rgb="FFC00000"/>
      </patternFill>
    </fill>
    <fill>
      <patternFill patternType="solid">
        <fgColor rgb="FF7F6000"/>
        <bgColor rgb="FF7F6000"/>
      </patternFill>
    </fill>
    <fill>
      <patternFill patternType="solid">
        <fgColor rgb="FF2E75B6"/>
        <bgColor rgb="FF2E75B6"/>
      </patternFill>
    </fill>
    <fill>
      <patternFill patternType="solid">
        <fgColor rgb="FFEBE2F5"/>
        <bgColor rgb="FFEBE2F5"/>
      </patternFill>
    </fill>
  </fills>
  <borders count="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6E0B4"/>
      </left>
      <right style="thin">
        <color rgb="FFC6E0B4"/>
      </right>
      <top style="thin">
        <color rgb="FFC6E0B4"/>
      </top>
      <bottom style="thin">
        <color rgb="FFC6E0B4"/>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shrinkToFit="0" vertical="center" wrapText="1"/>
    </xf>
    <xf borderId="2" fillId="0" fontId="2" numFmtId="0" xfId="0" applyBorder="1" applyFont="1"/>
    <xf borderId="1" fillId="2" fontId="3" numFmtId="0" xfId="0" applyAlignment="1" applyBorder="1" applyFont="1">
      <alignment horizontal="left" vertical="center"/>
    </xf>
    <xf borderId="3" fillId="0" fontId="2" numFmtId="0" xfId="0" applyBorder="1" applyFont="1"/>
    <xf borderId="4" fillId="3" fontId="4" numFmtId="0" xfId="0" applyBorder="1" applyFill="1" applyFont="1"/>
    <xf borderId="1" fillId="4" fontId="5" numFmtId="0" xfId="0" applyAlignment="1" applyBorder="1" applyFill="1" applyFont="1">
      <alignment vertical="center"/>
    </xf>
    <xf borderId="1" fillId="3" fontId="6" numFmtId="0" xfId="0" applyAlignment="1" applyBorder="1" applyFont="1">
      <alignment horizontal="left" vertical="center"/>
    </xf>
    <xf borderId="5" fillId="2" fontId="7" numFmtId="0" xfId="0" applyAlignment="1" applyBorder="1" applyFont="1">
      <alignment shrinkToFit="0" vertical="center" wrapText="1"/>
    </xf>
    <xf borderId="4" fillId="0" fontId="8" numFmtId="0" xfId="0" applyBorder="1" applyFont="1"/>
    <xf borderId="1" fillId="2" fontId="7" numFmtId="0" xfId="0" applyAlignment="1" applyBorder="1" applyFont="1">
      <alignment horizontal="left" vertical="center"/>
    </xf>
    <xf borderId="1" fillId="4" fontId="9" numFmtId="0" xfId="0" applyAlignment="1" applyBorder="1" applyFont="1">
      <alignment horizontal="left" shrinkToFit="0" vertical="top" wrapText="1"/>
    </xf>
    <xf borderId="1" fillId="2" fontId="7" numFmtId="0" xfId="0" applyAlignment="1" applyBorder="1" applyFont="1">
      <alignment vertical="center"/>
    </xf>
    <xf borderId="5" fillId="4" fontId="4" numFmtId="0" xfId="0" applyAlignment="1" applyBorder="1" applyFont="1">
      <alignment shrinkToFit="0" vertical="top" wrapText="1"/>
    </xf>
    <xf borderId="5" fillId="5" fontId="9" numFmtId="0" xfId="0" applyAlignment="1" applyBorder="1" applyFill="1" applyFont="1">
      <alignment shrinkToFit="0" vertical="top" wrapText="1"/>
    </xf>
    <xf borderId="1" fillId="6" fontId="7" numFmtId="0" xfId="0" applyAlignment="1" applyBorder="1" applyFill="1" applyFont="1">
      <alignment horizontal="left" vertical="center"/>
    </xf>
    <xf borderId="5" fillId="4" fontId="9" numFmtId="0" xfId="0" applyAlignment="1" applyBorder="1" applyFont="1">
      <alignment shrinkToFit="0" vertical="top" wrapText="1"/>
    </xf>
    <xf borderId="1" fillId="7" fontId="9" numFmtId="0" xfId="0" applyAlignment="1" applyBorder="1" applyFill="1" applyFont="1">
      <alignment horizontal="left" shrinkToFit="0" vertical="top" wrapText="1"/>
    </xf>
    <xf borderId="5" fillId="8" fontId="10" numFmtId="0" xfId="0" applyAlignment="1" applyBorder="1" applyFill="1" applyFont="1">
      <alignment shrinkToFit="0" vertical="top" wrapText="1"/>
    </xf>
    <xf borderId="4" fillId="4" fontId="4" numFmtId="0" xfId="0" applyAlignment="1" applyBorder="1" applyFont="1">
      <alignment horizontal="left" shrinkToFit="0" vertical="top" wrapText="1"/>
    </xf>
    <xf borderId="6" fillId="9" fontId="9" numFmtId="0" xfId="0" applyAlignment="1" applyBorder="1" applyFill="1" applyFont="1">
      <alignment horizontal="left" shrinkToFit="0" vertical="top" wrapText="1"/>
    </xf>
    <xf borderId="7" fillId="0" fontId="2" numFmtId="0" xfId="0" applyBorder="1" applyFont="1"/>
    <xf borderId="5" fillId="3" fontId="11" numFmtId="0" xfId="0" applyAlignment="1" applyBorder="1" applyFont="1">
      <alignment shrinkToFit="0" vertical="top" wrapText="1"/>
    </xf>
    <xf borderId="4" fillId="2" fontId="7" numFmtId="0" xfId="0" applyAlignment="1" applyBorder="1" applyFont="1">
      <alignment shrinkToFit="0" vertical="center" wrapText="1"/>
    </xf>
    <xf borderId="5" fillId="9" fontId="4" numFmtId="0" xfId="0" applyAlignment="1" applyBorder="1" applyFont="1">
      <alignment shrinkToFit="0" vertical="top" wrapText="1"/>
    </xf>
    <xf borderId="6" fillId="3" fontId="9" numFmtId="0" xfId="0" applyAlignment="1" applyBorder="1" applyFont="1">
      <alignment horizontal="left" shrinkToFit="0" vertical="top" wrapText="1"/>
    </xf>
    <xf borderId="4" fillId="10" fontId="4" numFmtId="0" xfId="0" applyAlignment="1" applyBorder="1" applyFill="1" applyFont="1">
      <alignment shrinkToFit="0" vertical="top" wrapText="1"/>
    </xf>
    <xf borderId="4" fillId="10" fontId="9" numFmtId="0" xfId="0" applyAlignment="1" applyBorder="1" applyFont="1">
      <alignment shrinkToFit="0" vertical="top" wrapText="1"/>
    </xf>
    <xf borderId="5" fillId="9" fontId="9" numFmtId="0" xfId="0" applyAlignment="1" applyBorder="1" applyFont="1">
      <alignment shrinkToFit="0" vertical="top" wrapText="1"/>
    </xf>
    <xf borderId="4" fillId="8" fontId="10" numFmtId="0" xfId="0" applyAlignment="1" applyBorder="1" applyFont="1">
      <alignment shrinkToFit="0" vertical="top" wrapText="1"/>
    </xf>
    <xf borderId="4" fillId="10" fontId="12" numFmtId="0" xfId="0" applyAlignment="1" applyBorder="1" applyFont="1">
      <alignment shrinkToFit="0" vertical="top" wrapText="1"/>
    </xf>
    <xf borderId="4" fillId="9" fontId="4" numFmtId="0" xfId="0" applyAlignment="1" applyBorder="1" applyFont="1">
      <alignment shrinkToFit="0" vertical="top" wrapText="1"/>
    </xf>
    <xf borderId="4" fillId="9" fontId="9" numFmtId="0" xfId="0" applyAlignment="1" applyBorder="1" applyFont="1">
      <alignment shrinkToFit="0" vertical="top" wrapText="1"/>
    </xf>
    <xf borderId="4" fillId="9" fontId="12" numFmtId="0" xfId="0" applyAlignment="1" applyBorder="1" applyFont="1">
      <alignment shrinkToFit="0" vertical="top" wrapText="1"/>
    </xf>
    <xf borderId="1" fillId="11" fontId="7" numFmtId="0" xfId="0" applyAlignment="1" applyBorder="1" applyFill="1" applyFont="1">
      <alignment horizontal="left" vertical="center"/>
    </xf>
    <xf borderId="1" fillId="9" fontId="9" numFmtId="0" xfId="0" applyAlignment="1" applyBorder="1" applyFont="1">
      <alignment horizontal="left" shrinkToFit="0" vertical="top" wrapText="1"/>
    </xf>
    <xf borderId="1" fillId="12" fontId="9" numFmtId="0" xfId="0" applyAlignment="1" applyBorder="1" applyFill="1" applyFont="1">
      <alignment horizontal="left" shrinkToFit="0" vertical="top" wrapText="1"/>
    </xf>
    <xf borderId="4" fillId="13" fontId="13" numFmtId="0" xfId="0" applyAlignment="1" applyBorder="1" applyFill="1" applyFont="1">
      <alignment horizontal="center" vertical="center"/>
    </xf>
    <xf borderId="6" fillId="0" fontId="9" numFmtId="0" xfId="0" applyAlignment="1" applyBorder="1" applyFont="1">
      <alignment horizontal="left" vertical="center"/>
    </xf>
    <xf borderId="4" fillId="14" fontId="13" numFmtId="0" xfId="0" applyAlignment="1" applyBorder="1" applyFill="1" applyFont="1">
      <alignment horizontal="center" vertical="center"/>
    </xf>
    <xf borderId="4" fillId="15" fontId="13" numFmtId="0" xfId="0" applyAlignment="1" applyBorder="1" applyFill="1" applyFont="1">
      <alignment horizontal="center" vertical="center"/>
    </xf>
    <xf borderId="4" fillId="3" fontId="14" numFmtId="0" xfId="0" applyAlignment="1" applyBorder="1" applyFont="1">
      <alignment horizontal="center" vertical="center"/>
    </xf>
    <xf borderId="1" fillId="2" fontId="7" numFmtId="0" xfId="0" applyBorder="1" applyFont="1"/>
    <xf borderId="4" fillId="4" fontId="4" numFmtId="0" xfId="0" applyAlignment="1" applyBorder="1" applyFont="1">
      <alignment horizontal="center" vertical="center"/>
    </xf>
    <xf borderId="4" fillId="8" fontId="10" numFmtId="0" xfId="0" applyAlignment="1" applyBorder="1" applyFont="1">
      <alignment horizontal="center" vertical="center"/>
    </xf>
    <xf borderId="4" fillId="5" fontId="15" numFmtId="0" xfId="0" applyAlignment="1" applyBorder="1" applyFont="1">
      <alignment horizontal="center" vertical="center"/>
    </xf>
    <xf borderId="4" fillId="16" fontId="16" numFmtId="0" xfId="0" applyAlignment="1" applyBorder="1" applyFill="1" applyFont="1">
      <alignment horizontal="center" vertical="center"/>
    </xf>
    <xf borderId="5" fillId="4" fontId="10" numFmtId="0" xfId="0" applyAlignment="1" applyBorder="1" applyFont="1">
      <alignment shrinkToFit="0" vertical="top" wrapText="1"/>
    </xf>
    <xf borderId="5" fillId="9" fontId="10" numFmtId="0" xfId="0" applyAlignment="1" applyBorder="1" applyFont="1">
      <alignment shrinkToFit="0" vertical="top" wrapText="1"/>
    </xf>
    <xf borderId="5" fillId="9" fontId="17" numFmtId="0" xfId="0" applyAlignment="1" applyBorder="1" applyFont="1">
      <alignment shrinkToFit="0" vertical="top" wrapText="1"/>
    </xf>
    <xf borderId="5" fillId="3" fontId="11" numFmtId="0" xfId="0" applyAlignment="1" applyBorder="1" applyFont="1">
      <alignment readingOrder="0" shrinkToFit="0" vertical="top" wrapText="1"/>
    </xf>
    <xf borderId="4" fillId="4" fontId="4" numFmtId="0" xfId="0" applyAlignment="1" applyBorder="1" applyFont="1">
      <alignment shrinkToFit="0" vertical="top" wrapText="1"/>
    </xf>
    <xf borderId="4" fillId="5" fontId="9" numFmtId="0" xfId="0" applyAlignment="1" applyBorder="1" applyFont="1">
      <alignment shrinkToFit="0" vertical="top" wrapText="1"/>
    </xf>
    <xf borderId="5" fillId="4" fontId="18" numFmtId="0" xfId="0" applyAlignment="1" applyBorder="1" applyFont="1">
      <alignment shrinkToFit="0" vertical="top" wrapText="1"/>
    </xf>
    <xf borderId="4" fillId="4" fontId="9" numFmtId="0" xfId="0" applyAlignment="1" applyBorder="1" applyFont="1">
      <alignment shrinkToFit="0" vertical="top" wrapText="1"/>
    </xf>
    <xf borderId="5" fillId="9" fontId="18" numFmtId="0" xfId="0" applyAlignment="1" applyBorder="1" applyFont="1">
      <alignment shrinkToFit="0" vertical="top" wrapText="1"/>
    </xf>
    <xf borderId="4" fillId="3" fontId="11" numFmtId="0" xfId="0" applyAlignment="1" applyBorder="1" applyFont="1">
      <alignment shrinkToFit="0" vertical="top" wrapText="1"/>
    </xf>
    <xf borderId="4" fillId="4" fontId="17" numFmtId="0" xfId="0" applyAlignment="1" applyBorder="1" applyFont="1">
      <alignment shrinkToFit="0" vertical="top" wrapText="1"/>
    </xf>
    <xf borderId="4" fillId="9" fontId="1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showGridLines="0" workbookViewId="0"/>
  </sheetViews>
  <sheetFormatPr customHeight="1" defaultColWidth="14.43" defaultRowHeight="15.0"/>
  <cols>
    <col customWidth="1" min="1" max="1" width="2.0"/>
    <col customWidth="1" min="2" max="2" width="28.0"/>
    <col customWidth="1" min="3" max="3" width="60.0"/>
    <col customWidth="1" min="4" max="4" width="28.0"/>
    <col customWidth="1" min="5" max="5" width="2.0"/>
    <col customWidth="1" min="6" max="26" width="8.71"/>
  </cols>
  <sheetData>
    <row r="1" ht="39.75" customHeight="1">
      <c r="B1" s="4" t="s">
        <v>1</v>
      </c>
      <c r="C1" s="3"/>
      <c r="D1" s="5"/>
    </row>
    <row r="2" ht="15.75" customHeight="1">
      <c r="B2" s="8" t="s">
        <v>6</v>
      </c>
      <c r="C2" s="3"/>
      <c r="D2" s="5"/>
    </row>
    <row r="4" ht="19.5" customHeight="1">
      <c r="B4" s="11" t="s">
        <v>9</v>
      </c>
      <c r="C4" s="3"/>
      <c r="D4" s="5"/>
    </row>
    <row r="5" ht="42.0" customHeight="1">
      <c r="B5" s="12" t="s">
        <v>15</v>
      </c>
      <c r="C5" s="3"/>
      <c r="D5" s="5"/>
    </row>
    <row r="7" ht="19.5" customHeight="1">
      <c r="B7" s="11" t="s">
        <v>18</v>
      </c>
      <c r="C7" s="3"/>
      <c r="D7" s="5"/>
    </row>
    <row r="8" ht="84.0" customHeight="1">
      <c r="B8" s="12" t="s">
        <v>21</v>
      </c>
      <c r="C8" s="3"/>
      <c r="D8" s="5"/>
    </row>
    <row r="10" ht="19.5" customHeight="1">
      <c r="B10" s="11" t="s">
        <v>24</v>
      </c>
      <c r="C10" s="3"/>
      <c r="D10" s="5"/>
    </row>
    <row r="11" ht="84.0" customHeight="1">
      <c r="B11" s="12" t="s">
        <v>29</v>
      </c>
      <c r="C11" s="3"/>
      <c r="D11" s="5"/>
    </row>
    <row r="13" ht="19.5" customHeight="1">
      <c r="B13" s="11" t="s">
        <v>30</v>
      </c>
      <c r="C13" s="3"/>
      <c r="D13" s="5"/>
    </row>
    <row r="14" ht="126.0" customHeight="1">
      <c r="B14" s="12" t="s">
        <v>32</v>
      </c>
      <c r="C14" s="3"/>
      <c r="D14" s="5"/>
    </row>
    <row r="16" ht="19.5" customHeight="1">
      <c r="B16" s="16" t="s">
        <v>36</v>
      </c>
      <c r="C16" s="3"/>
      <c r="D16" s="5"/>
    </row>
    <row r="17" ht="27.75" customHeight="1">
      <c r="B17" s="18" t="s">
        <v>41</v>
      </c>
      <c r="C17" s="3"/>
      <c r="D17" s="5"/>
    </row>
    <row r="19" ht="19.5" customHeight="1">
      <c r="B19" s="11" t="s">
        <v>46</v>
      </c>
      <c r="C19" s="3"/>
      <c r="D19" s="5"/>
    </row>
    <row r="20" ht="25.5" customHeight="1">
      <c r="B20" s="20" t="s">
        <v>7</v>
      </c>
      <c r="C20" s="21" t="s">
        <v>54</v>
      </c>
      <c r="D20" s="22"/>
    </row>
    <row r="21" ht="18.0" customHeight="1">
      <c r="B21" s="20" t="s">
        <v>8</v>
      </c>
      <c r="C21" s="26" t="s">
        <v>61</v>
      </c>
      <c r="D21" s="22"/>
    </row>
    <row r="22" ht="39.0" customHeight="1">
      <c r="B22" s="20" t="s">
        <v>14</v>
      </c>
      <c r="C22" s="21" t="s">
        <v>71</v>
      </c>
      <c r="D22" s="22"/>
    </row>
    <row r="23" ht="39.0" customHeight="1">
      <c r="B23" s="20" t="s">
        <v>16</v>
      </c>
      <c r="C23" s="26" t="s">
        <v>73</v>
      </c>
      <c r="D23" s="22"/>
    </row>
    <row r="24" ht="51.75" customHeight="1">
      <c r="B24" s="20" t="s">
        <v>17</v>
      </c>
      <c r="C24" s="21" t="s">
        <v>76</v>
      </c>
      <c r="D24" s="22"/>
    </row>
    <row r="25" ht="90.75" customHeight="1">
      <c r="B25" s="20" t="s">
        <v>19</v>
      </c>
      <c r="C25" s="26" t="s">
        <v>81</v>
      </c>
      <c r="D25" s="22"/>
    </row>
    <row r="26" ht="78.0" customHeight="1">
      <c r="B26" s="20" t="s">
        <v>20</v>
      </c>
      <c r="C26" s="21" t="s">
        <v>87</v>
      </c>
      <c r="D26" s="22"/>
    </row>
    <row r="27" ht="18.0" customHeight="1">
      <c r="B27" s="20" t="s">
        <v>22</v>
      </c>
      <c r="C27" s="26" t="s">
        <v>88</v>
      </c>
      <c r="D27" s="22"/>
    </row>
    <row r="28" ht="18.0" customHeight="1">
      <c r="B28" s="20" t="s">
        <v>23</v>
      </c>
      <c r="C28" s="21" t="s">
        <v>90</v>
      </c>
      <c r="D28" s="22"/>
    </row>
    <row r="29" ht="18.0" customHeight="1">
      <c r="B29" s="20" t="s">
        <v>25</v>
      </c>
      <c r="C29" s="26" t="s">
        <v>93</v>
      </c>
      <c r="D29" s="22"/>
    </row>
    <row r="30" ht="18.0" customHeight="1">
      <c r="B30" s="20" t="s">
        <v>26</v>
      </c>
      <c r="C30" s="21" t="s">
        <v>97</v>
      </c>
      <c r="D30" s="22"/>
    </row>
    <row r="31" ht="15.75" customHeight="1"/>
    <row r="32" ht="19.5" customHeight="1">
      <c r="B32" s="35" t="s">
        <v>104</v>
      </c>
      <c r="C32" s="3"/>
      <c r="D32" s="5"/>
    </row>
    <row r="33" ht="15.75" customHeight="1">
      <c r="B33" s="36" t="s">
        <v>109</v>
      </c>
      <c r="C33" s="3"/>
      <c r="D33" s="5"/>
    </row>
    <row r="34" ht="15.75" customHeight="1">
      <c r="B34" s="37" t="s">
        <v>113</v>
      </c>
      <c r="C34" s="3"/>
      <c r="D34" s="5"/>
    </row>
    <row r="35" ht="15.75" customHeight="1">
      <c r="B35" s="36" t="s">
        <v>116</v>
      </c>
      <c r="C35" s="3"/>
      <c r="D35" s="5"/>
    </row>
    <row r="36" ht="15.75" customHeight="1">
      <c r="B36" s="37" t="s">
        <v>122</v>
      </c>
      <c r="C36" s="3"/>
      <c r="D36" s="5"/>
    </row>
    <row r="37" ht="15.75" customHeight="1">
      <c r="B37" s="36" t="s">
        <v>125</v>
      </c>
      <c r="C37" s="3"/>
      <c r="D37" s="5"/>
    </row>
    <row r="38" ht="15.75" customHeight="1">
      <c r="B38" s="37" t="s">
        <v>128</v>
      </c>
      <c r="C38" s="3"/>
      <c r="D38" s="5"/>
    </row>
    <row r="39" ht="15.75" customHeight="1">
      <c r="B39" s="36" t="s">
        <v>131</v>
      </c>
      <c r="C39" s="3"/>
      <c r="D39" s="5"/>
    </row>
    <row r="40" ht="15.75" customHeight="1">
      <c r="B40" s="37" t="s">
        <v>134</v>
      </c>
      <c r="C40" s="3"/>
      <c r="D40" s="5"/>
    </row>
    <row r="41" ht="15.75" customHeight="1"/>
    <row r="42" ht="18.0" customHeight="1">
      <c r="B42" s="35" t="s">
        <v>139</v>
      </c>
      <c r="C42" s="3"/>
      <c r="D42" s="5"/>
    </row>
    <row r="43" ht="18.0" customHeight="1">
      <c r="B43" s="38" t="s">
        <v>144</v>
      </c>
      <c r="C43" s="39" t="s">
        <v>150</v>
      </c>
      <c r="D43" s="22"/>
    </row>
    <row r="44" ht="18.0" customHeight="1">
      <c r="B44" s="40" t="s">
        <v>156</v>
      </c>
      <c r="C44" s="39" t="s">
        <v>158</v>
      </c>
      <c r="D44" s="22"/>
    </row>
    <row r="45" ht="18.0" customHeight="1">
      <c r="B45" s="41" t="s">
        <v>162</v>
      </c>
      <c r="C45" s="39" t="s">
        <v>166</v>
      </c>
      <c r="D45" s="22"/>
    </row>
    <row r="46" ht="15.75" customHeight="1"/>
    <row r="47" ht="18.0" customHeight="1">
      <c r="B47" s="42" t="s">
        <v>55</v>
      </c>
    </row>
    <row r="48" ht="18.0" customHeight="1">
      <c r="B48" s="44" t="s">
        <v>42</v>
      </c>
    </row>
    <row r="49" ht="18.0" customHeight="1">
      <c r="B49" s="45" t="s">
        <v>47</v>
      </c>
    </row>
    <row r="50" ht="18.0" customHeight="1">
      <c r="B50" s="46" t="s">
        <v>145</v>
      </c>
    </row>
    <row r="51" ht="18.0" customHeight="1">
      <c r="B51" s="47" t="s">
        <v>176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D1"/>
    <mergeCell ref="B2:D2"/>
    <mergeCell ref="B4:D4"/>
    <mergeCell ref="B5:D5"/>
    <mergeCell ref="B7:D7"/>
    <mergeCell ref="B8:D8"/>
    <mergeCell ref="B10:D10"/>
    <mergeCell ref="B11:D11"/>
    <mergeCell ref="B13:D13"/>
    <mergeCell ref="B14:D14"/>
    <mergeCell ref="B16:D16"/>
    <mergeCell ref="B17:D17"/>
    <mergeCell ref="B19:D19"/>
    <mergeCell ref="C20:D20"/>
    <mergeCell ref="C21:D21"/>
    <mergeCell ref="C22:D22"/>
    <mergeCell ref="C23:D23"/>
    <mergeCell ref="C24:D24"/>
    <mergeCell ref="C25:D25"/>
    <mergeCell ref="C26:D26"/>
    <mergeCell ref="C27:D27"/>
    <mergeCell ref="C28:D28"/>
    <mergeCell ref="C29:D29"/>
    <mergeCell ref="C30:D30"/>
    <mergeCell ref="B32:D32"/>
    <mergeCell ref="B33:D33"/>
    <mergeCell ref="B34:D34"/>
    <mergeCell ref="B35:D35"/>
    <mergeCell ref="C44:D44"/>
    <mergeCell ref="C45:D45"/>
    <mergeCell ref="B36:D36"/>
    <mergeCell ref="B37:D37"/>
    <mergeCell ref="B38:D38"/>
    <mergeCell ref="B39:D39"/>
    <mergeCell ref="B40:D40"/>
    <mergeCell ref="B42:D42"/>
    <mergeCell ref="C43:D4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2.0"/>
    <col customWidth="1" min="2" max="2" width="26.0"/>
    <col customWidth="1" min="3" max="3" width="34.0"/>
    <col customWidth="1" min="4" max="4" width="28.0"/>
    <col customWidth="1" min="5" max="5" width="9.0"/>
    <col customWidth="1" min="6" max="6" width="10.0"/>
    <col customWidth="1" min="7" max="8" width="14.0"/>
    <col customWidth="1" min="9" max="26" width="8.71"/>
  </cols>
  <sheetData>
    <row r="1" ht="24.0" customHeight="1">
      <c r="A1" s="1" t="s">
        <v>0</v>
      </c>
      <c r="B1" s="3"/>
      <c r="C1" s="3"/>
      <c r="D1" s="3"/>
      <c r="E1" s="3"/>
      <c r="F1" s="3"/>
      <c r="G1" s="3"/>
      <c r="H1" s="5"/>
    </row>
    <row r="3" ht="15.0" customHeight="1">
      <c r="A3" s="6" t="s">
        <v>4</v>
      </c>
      <c r="B3" s="10">
        <f>COUNTA(A7:A798)</f>
        <v>47</v>
      </c>
      <c r="C3" s="6" t="s">
        <v>13</v>
      </c>
      <c r="D3" s="10">
        <f>COUNTIF(E7:E798,"P1")</f>
        <v>35</v>
      </c>
      <c r="E3" s="6" t="s">
        <v>27</v>
      </c>
      <c r="F3" s="10">
        <f>COUNTIF(E7:E798,"P2")</f>
        <v>12</v>
      </c>
      <c r="G3" s="6" t="s">
        <v>31</v>
      </c>
      <c r="H3" s="10">
        <f>COUNTIF(E7:E798,"P3")</f>
        <v>0</v>
      </c>
    </row>
    <row r="4" ht="15.0" customHeight="1">
      <c r="A4" s="6" t="s">
        <v>37</v>
      </c>
      <c r="B4" s="10">
        <f>COUNTIF(F7:F798,"Yes")</f>
        <v>14</v>
      </c>
      <c r="C4" s="6" t="s">
        <v>42</v>
      </c>
      <c r="D4" s="10">
        <f>COUNTIF(G7:G798,"Pass")</f>
        <v>36</v>
      </c>
      <c r="E4" s="6" t="s">
        <v>47</v>
      </c>
      <c r="F4" s="10">
        <f>COUNTIF(G7:G798,"Fail")</f>
        <v>3</v>
      </c>
      <c r="G4" s="6" t="s">
        <v>55</v>
      </c>
      <c r="H4" s="10">
        <f>COUNTIF(G7:G798,"Not Run")</f>
        <v>0</v>
      </c>
    </row>
    <row r="6" ht="23.25" customHeight="1">
      <c r="A6" s="24" t="s">
        <v>7</v>
      </c>
      <c r="B6" s="24" t="s">
        <v>64</v>
      </c>
      <c r="C6" s="24" t="s">
        <v>65</v>
      </c>
      <c r="D6" s="24" t="s">
        <v>10</v>
      </c>
      <c r="E6" s="24" t="s">
        <v>12</v>
      </c>
      <c r="F6" s="24" t="s">
        <v>22</v>
      </c>
      <c r="G6" s="24" t="s">
        <v>66</v>
      </c>
      <c r="H6" s="24" t="s">
        <v>68</v>
      </c>
    </row>
    <row r="7" ht="15.0" customHeight="1">
      <c r="A7" s="27" t="s">
        <v>39</v>
      </c>
      <c r="B7" s="28" t="s">
        <v>69</v>
      </c>
      <c r="C7" s="28" t="s">
        <v>70</v>
      </c>
      <c r="D7" s="28" t="s">
        <v>44</v>
      </c>
      <c r="E7" s="30" t="s">
        <v>13</v>
      </c>
      <c r="F7" s="28" t="s">
        <v>60</v>
      </c>
      <c r="G7" s="31" t="str">
        <f>'L4-CriticalPaths'!L6</f>
        <v>Pass</v>
      </c>
      <c r="H7" s="31" t="str">
        <f>'L4-CriticalPaths'!M6</f>
        <v/>
      </c>
    </row>
    <row r="8" ht="15.0" customHeight="1">
      <c r="A8" s="32" t="s">
        <v>62</v>
      </c>
      <c r="B8" s="33" t="s">
        <v>69</v>
      </c>
      <c r="C8" s="33" t="s">
        <v>70</v>
      </c>
      <c r="D8" s="33" t="s">
        <v>72</v>
      </c>
      <c r="E8" s="30" t="s">
        <v>13</v>
      </c>
      <c r="F8" s="33" t="s">
        <v>60</v>
      </c>
      <c r="G8" s="34" t="str">
        <f>'L4-CriticalPaths'!L7</f>
        <v>Pass</v>
      </c>
      <c r="H8" s="34" t="str">
        <f>'L4-CriticalPaths'!M7</f>
        <v/>
      </c>
    </row>
    <row r="9" ht="15.0" customHeight="1">
      <c r="A9" s="27" t="s">
        <v>91</v>
      </c>
      <c r="B9" s="28" t="s">
        <v>69</v>
      </c>
      <c r="C9" s="28" t="s">
        <v>70</v>
      </c>
      <c r="D9" s="28" t="s">
        <v>94</v>
      </c>
      <c r="E9" s="30" t="s">
        <v>13</v>
      </c>
      <c r="F9" s="28" t="s">
        <v>60</v>
      </c>
      <c r="G9" s="31" t="str">
        <f>'L4-CriticalPaths'!L8</f>
        <v>Pass</v>
      </c>
      <c r="H9" s="31" t="str">
        <f>'L4-CriticalPaths'!M8</f>
        <v/>
      </c>
    </row>
    <row r="10" ht="15.0" customHeight="1">
      <c r="A10" s="32" t="s">
        <v>111</v>
      </c>
      <c r="B10" s="33" t="s">
        <v>69</v>
      </c>
      <c r="C10" s="33" t="s">
        <v>70</v>
      </c>
      <c r="D10" s="33" t="s">
        <v>112</v>
      </c>
      <c r="E10" s="30" t="s">
        <v>13</v>
      </c>
      <c r="F10" s="33" t="s">
        <v>60</v>
      </c>
      <c r="G10" s="34" t="str">
        <f>'L4-CriticalPaths'!L9</f>
        <v>Fail</v>
      </c>
      <c r="H10" s="34" t="str">
        <f>'L4-CriticalPaths'!M9</f>
        <v>DEF-L4-001</v>
      </c>
    </row>
    <row r="11" ht="15.0" customHeight="1">
      <c r="A11" s="27" t="s">
        <v>130</v>
      </c>
      <c r="B11" s="28" t="s">
        <v>69</v>
      </c>
      <c r="C11" s="28" t="s">
        <v>70</v>
      </c>
      <c r="D11" s="28" t="s">
        <v>132</v>
      </c>
      <c r="E11" s="30" t="s">
        <v>13</v>
      </c>
      <c r="F11" s="28" t="s">
        <v>60</v>
      </c>
      <c r="G11" s="31" t="str">
        <f>'L4-CriticalPaths'!L10</f>
        <v>Blocked</v>
      </c>
      <c r="H11" s="31" t="str">
        <f>'L4-CriticalPaths'!M10</f>
        <v>DEF-L4-002</v>
      </c>
    </row>
    <row r="12" ht="15.0" customHeight="1">
      <c r="A12" s="32" t="s">
        <v>151</v>
      </c>
      <c r="B12" s="33" t="s">
        <v>69</v>
      </c>
      <c r="C12" s="33" t="s">
        <v>70</v>
      </c>
      <c r="D12" s="33" t="s">
        <v>154</v>
      </c>
      <c r="E12" s="30" t="s">
        <v>13</v>
      </c>
      <c r="F12" s="33" t="s">
        <v>60</v>
      </c>
      <c r="G12" s="34" t="str">
        <f>'L4-CriticalPaths'!L11</f>
        <v>Pass</v>
      </c>
      <c r="H12" s="34" t="str">
        <f>'L4-CriticalPaths'!M11</f>
        <v/>
      </c>
    </row>
    <row r="13" ht="15.0" customHeight="1">
      <c r="A13" s="27" t="s">
        <v>33</v>
      </c>
      <c r="B13" s="28" t="s">
        <v>200</v>
      </c>
      <c r="C13" s="28" t="s">
        <v>202</v>
      </c>
      <c r="D13" s="28" t="s">
        <v>38</v>
      </c>
      <c r="E13" s="30" t="s">
        <v>13</v>
      </c>
      <c r="F13" s="28" t="s">
        <v>60</v>
      </c>
      <c r="G13" s="31" t="str">
        <f>'L4-UserJourneys'!L6</f>
        <v>Pass</v>
      </c>
      <c r="H13" s="31" t="str">
        <f>'L4-UserJourneys'!M6</f>
        <v/>
      </c>
    </row>
    <row r="14" ht="15.0" customHeight="1">
      <c r="A14" s="32" t="s">
        <v>63</v>
      </c>
      <c r="B14" s="33" t="s">
        <v>200</v>
      </c>
      <c r="C14" s="33" t="s">
        <v>202</v>
      </c>
      <c r="D14" s="33" t="s">
        <v>67</v>
      </c>
      <c r="E14" s="30" t="s">
        <v>13</v>
      </c>
      <c r="F14" s="33" t="s">
        <v>60</v>
      </c>
      <c r="G14" s="34" t="str">
        <f>'L4-UserJourneys'!L7</f>
        <v>Pass</v>
      </c>
      <c r="H14" s="34" t="str">
        <f>'L4-UserJourneys'!M7</f>
        <v/>
      </c>
    </row>
    <row r="15" ht="15.0" customHeight="1">
      <c r="A15" s="27" t="s">
        <v>89</v>
      </c>
      <c r="B15" s="28" t="s">
        <v>200</v>
      </c>
      <c r="C15" s="28" t="s">
        <v>202</v>
      </c>
      <c r="D15" s="28" t="s">
        <v>92</v>
      </c>
      <c r="E15" s="30" t="s">
        <v>13</v>
      </c>
      <c r="F15" s="28" t="s">
        <v>60</v>
      </c>
      <c r="G15" s="31" t="str">
        <f>'L4-UserJourneys'!L8</f>
        <v>Pass</v>
      </c>
      <c r="H15" s="31" t="str">
        <f>'L4-UserJourneys'!M8</f>
        <v/>
      </c>
    </row>
    <row r="16" ht="15.0" customHeight="1">
      <c r="A16" s="32" t="s">
        <v>108</v>
      </c>
      <c r="B16" s="33" t="s">
        <v>200</v>
      </c>
      <c r="C16" s="33" t="s">
        <v>202</v>
      </c>
      <c r="D16" s="33" t="s">
        <v>110</v>
      </c>
      <c r="E16" s="30" t="s">
        <v>27</v>
      </c>
      <c r="F16" s="33" t="s">
        <v>60</v>
      </c>
      <c r="G16" s="34" t="str">
        <f>'L4-UserJourneys'!L9</f>
        <v>Pass</v>
      </c>
      <c r="H16" s="34" t="str">
        <f>'L4-UserJourneys'!M9</f>
        <v/>
      </c>
    </row>
    <row r="17" ht="15.0" customHeight="1">
      <c r="A17" s="27" t="s">
        <v>138</v>
      </c>
      <c r="B17" s="28" t="s">
        <v>200</v>
      </c>
      <c r="C17" s="28" t="s">
        <v>224</v>
      </c>
      <c r="D17" s="28" t="s">
        <v>142</v>
      </c>
      <c r="E17" s="30" t="s">
        <v>13</v>
      </c>
      <c r="F17" s="28" t="s">
        <v>60</v>
      </c>
      <c r="G17" s="31" t="str">
        <f>'L4-UserJourneys'!L11</f>
        <v>Pass</v>
      </c>
      <c r="H17" s="31" t="str">
        <f>'L4-UserJourneys'!M11</f>
        <v/>
      </c>
    </row>
    <row r="18" ht="15.0" customHeight="1">
      <c r="A18" s="32" t="s">
        <v>161</v>
      </c>
      <c r="B18" s="33" t="s">
        <v>200</v>
      </c>
      <c r="C18" s="33" t="s">
        <v>224</v>
      </c>
      <c r="D18" s="33" t="s">
        <v>165</v>
      </c>
      <c r="E18" s="30" t="s">
        <v>13</v>
      </c>
      <c r="F18" s="33" t="s">
        <v>60</v>
      </c>
      <c r="G18" s="34" t="str">
        <f>'L4-UserJourneys'!L12</f>
        <v>Pass</v>
      </c>
      <c r="H18" s="34" t="str">
        <f>'L4-UserJourneys'!M12</f>
        <v/>
      </c>
    </row>
    <row r="19" ht="15.0" customHeight="1">
      <c r="A19" s="27" t="s">
        <v>180</v>
      </c>
      <c r="B19" s="28" t="s">
        <v>200</v>
      </c>
      <c r="C19" s="28" t="s">
        <v>236</v>
      </c>
      <c r="D19" s="28" t="s">
        <v>183</v>
      </c>
      <c r="E19" s="30" t="s">
        <v>13</v>
      </c>
      <c r="F19" s="28" t="s">
        <v>60</v>
      </c>
      <c r="G19" s="31" t="str">
        <f>'L4-UserJourneys'!L14</f>
        <v>Blocked</v>
      </c>
      <c r="H19" s="31" t="str">
        <f>'L4-UserJourneys'!M14</f>
        <v>DEF-L4-002</v>
      </c>
    </row>
    <row r="20" ht="15.0" customHeight="1">
      <c r="A20" s="32" t="s">
        <v>191</v>
      </c>
      <c r="B20" s="33" t="s">
        <v>200</v>
      </c>
      <c r="C20" s="33" t="s">
        <v>236</v>
      </c>
      <c r="D20" s="33" t="s">
        <v>192</v>
      </c>
      <c r="E20" s="30" t="s">
        <v>13</v>
      </c>
      <c r="F20" s="33" t="s">
        <v>60</v>
      </c>
      <c r="G20" s="34" t="str">
        <f>'L4-UserJourneys'!L15</f>
        <v>Pass</v>
      </c>
      <c r="H20" s="34" t="str">
        <f>'L4-UserJourneys'!M15</f>
        <v/>
      </c>
    </row>
    <row r="21" ht="15.0" customHeight="1">
      <c r="A21" s="27" t="s">
        <v>198</v>
      </c>
      <c r="B21" s="28" t="s">
        <v>200</v>
      </c>
      <c r="C21" s="28" t="s">
        <v>236</v>
      </c>
      <c r="D21" s="28" t="s">
        <v>199</v>
      </c>
      <c r="E21" s="30" t="s">
        <v>27</v>
      </c>
      <c r="F21" s="28" t="s">
        <v>60</v>
      </c>
      <c r="G21" s="31" t="str">
        <f>'L4-UserJourneys'!L16</f>
        <v>Pass</v>
      </c>
      <c r="H21" s="31" t="str">
        <f>'L4-UserJourneys'!M16</f>
        <v/>
      </c>
    </row>
    <row r="22" ht="15.0" customHeight="1">
      <c r="A22" s="32" t="s">
        <v>207</v>
      </c>
      <c r="B22" s="33" t="s">
        <v>200</v>
      </c>
      <c r="C22" s="33" t="s">
        <v>248</v>
      </c>
      <c r="D22" s="33" t="s">
        <v>208</v>
      </c>
      <c r="E22" s="30" t="s">
        <v>13</v>
      </c>
      <c r="F22" s="33" t="s">
        <v>60</v>
      </c>
      <c r="G22" s="34" t="str">
        <f>'L4-UserJourneys'!L18</f>
        <v>Pass</v>
      </c>
      <c r="H22" s="34" t="str">
        <f>'L4-UserJourneys'!M18</f>
        <v/>
      </c>
    </row>
    <row r="23" ht="15.0" customHeight="1">
      <c r="A23" s="27" t="s">
        <v>215</v>
      </c>
      <c r="B23" s="28" t="s">
        <v>200</v>
      </c>
      <c r="C23" s="28" t="s">
        <v>248</v>
      </c>
      <c r="D23" s="28" t="s">
        <v>216</v>
      </c>
      <c r="E23" s="30" t="s">
        <v>13</v>
      </c>
      <c r="F23" s="28" t="s">
        <v>60</v>
      </c>
      <c r="G23" s="31" t="str">
        <f>'L4-UserJourneys'!L19</f>
        <v>Pass</v>
      </c>
      <c r="H23" s="31" t="str">
        <f>'L4-UserJourneys'!M19</f>
        <v/>
      </c>
    </row>
    <row r="24" ht="15.0" customHeight="1">
      <c r="A24" s="32" t="s">
        <v>222</v>
      </c>
      <c r="B24" s="33" t="s">
        <v>200</v>
      </c>
      <c r="C24" s="33" t="s">
        <v>248</v>
      </c>
      <c r="D24" s="33" t="s">
        <v>223</v>
      </c>
      <c r="E24" s="30" t="s">
        <v>13</v>
      </c>
      <c r="F24" s="33" t="s">
        <v>60</v>
      </c>
      <c r="G24" s="34" t="str">
        <f>'L4-UserJourneys'!L20</f>
        <v>Blocked</v>
      </c>
      <c r="H24" s="34" t="str">
        <f>'L4-UserJourneys'!M20</f>
        <v>DEF-L4-003</v>
      </c>
    </row>
    <row r="25" ht="15.0" customHeight="1">
      <c r="A25" s="27" t="s">
        <v>233</v>
      </c>
      <c r="B25" s="28" t="s">
        <v>200</v>
      </c>
      <c r="C25" s="28" t="s">
        <v>248</v>
      </c>
      <c r="D25" s="28" t="s">
        <v>234</v>
      </c>
      <c r="E25" s="30" t="s">
        <v>27</v>
      </c>
      <c r="F25" s="28" t="s">
        <v>60</v>
      </c>
      <c r="G25" s="31" t="str">
        <f>'L4-UserJourneys'!L21</f>
        <v>Pass</v>
      </c>
      <c r="H25" s="31" t="str">
        <f>'L4-UserJourneys'!M21</f>
        <v/>
      </c>
    </row>
    <row r="26" ht="15.0" customHeight="1">
      <c r="A26" s="32" t="s">
        <v>240</v>
      </c>
      <c r="B26" s="33" t="s">
        <v>200</v>
      </c>
      <c r="C26" s="33" t="s">
        <v>248</v>
      </c>
      <c r="D26" s="33" t="s">
        <v>241</v>
      </c>
      <c r="E26" s="30" t="s">
        <v>27</v>
      </c>
      <c r="F26" s="33" t="s">
        <v>60</v>
      </c>
      <c r="G26" s="34" t="str">
        <f>'L4-UserJourneys'!L22</f>
        <v>Blocked</v>
      </c>
      <c r="H26" s="34" t="str">
        <f>'L4-UserJourneys'!M22</f>
        <v>DEF-L4-003</v>
      </c>
    </row>
    <row r="27" ht="15.0" customHeight="1">
      <c r="A27" s="27" t="s">
        <v>250</v>
      </c>
      <c r="B27" s="28" t="s">
        <v>268</v>
      </c>
      <c r="C27" s="28" t="s">
        <v>270</v>
      </c>
      <c r="D27" s="28" t="s">
        <v>252</v>
      </c>
      <c r="E27" s="30" t="s">
        <v>13</v>
      </c>
      <c r="F27" s="28" t="s">
        <v>257</v>
      </c>
      <c r="G27" s="31" t="str">
        <f>'L4-Permissions'!L6</f>
        <v>Pass</v>
      </c>
      <c r="H27" s="31" t="str">
        <f>'L4-Permissions'!M6</f>
        <v/>
      </c>
    </row>
    <row r="28" ht="15.0" customHeight="1">
      <c r="A28" s="32" t="s">
        <v>258</v>
      </c>
      <c r="B28" s="33" t="s">
        <v>268</v>
      </c>
      <c r="C28" s="33" t="s">
        <v>270</v>
      </c>
      <c r="D28" s="33" t="s">
        <v>259</v>
      </c>
      <c r="E28" s="30" t="s">
        <v>13</v>
      </c>
      <c r="F28" s="33" t="s">
        <v>257</v>
      </c>
      <c r="G28" s="34" t="str">
        <f>'L4-Permissions'!L7</f>
        <v>Pass</v>
      </c>
      <c r="H28" s="34" t="str">
        <f>'L4-Permissions'!M7</f>
        <v/>
      </c>
    </row>
    <row r="29" ht="15.0" customHeight="1">
      <c r="A29" s="27" t="s">
        <v>265</v>
      </c>
      <c r="B29" s="28" t="s">
        <v>268</v>
      </c>
      <c r="C29" s="28" t="s">
        <v>270</v>
      </c>
      <c r="D29" s="28" t="s">
        <v>266</v>
      </c>
      <c r="E29" s="30" t="s">
        <v>13</v>
      </c>
      <c r="F29" s="28" t="s">
        <v>257</v>
      </c>
      <c r="G29" s="31" t="str">
        <f>'L4-Permissions'!L8</f>
        <v>Pass</v>
      </c>
      <c r="H29" s="31" t="str">
        <f>'L4-Permissions'!M8</f>
        <v/>
      </c>
    </row>
    <row r="30" ht="15.0" customHeight="1">
      <c r="A30" s="32" t="s">
        <v>273</v>
      </c>
      <c r="B30" s="33" t="s">
        <v>268</v>
      </c>
      <c r="C30" s="33" t="s">
        <v>270</v>
      </c>
      <c r="D30" s="33" t="s">
        <v>274</v>
      </c>
      <c r="E30" s="30" t="s">
        <v>13</v>
      </c>
      <c r="F30" s="33" t="s">
        <v>257</v>
      </c>
      <c r="G30" s="34" t="str">
        <f>'L4-Permissions'!L9</f>
        <v>Fail</v>
      </c>
      <c r="H30" s="34" t="str">
        <f>'L4-Permissions'!M9</f>
        <v>DEF-L4-005</v>
      </c>
    </row>
    <row r="31" ht="15.0" customHeight="1">
      <c r="A31" s="27" t="s">
        <v>282</v>
      </c>
      <c r="B31" s="28" t="s">
        <v>268</v>
      </c>
      <c r="C31" s="28" t="s">
        <v>270</v>
      </c>
      <c r="D31" s="28" t="s">
        <v>283</v>
      </c>
      <c r="E31" s="30" t="s">
        <v>13</v>
      </c>
      <c r="F31" s="28" t="s">
        <v>257</v>
      </c>
      <c r="G31" s="31" t="str">
        <f>'L4-Permissions'!L10</f>
        <v>Pass</v>
      </c>
      <c r="H31" s="31" t="str">
        <f>'L4-Permissions'!M10</f>
        <v/>
      </c>
    </row>
    <row r="32" ht="15.0" customHeight="1">
      <c r="A32" s="32" t="s">
        <v>288</v>
      </c>
      <c r="B32" s="33" t="s">
        <v>268</v>
      </c>
      <c r="C32" s="33" t="s">
        <v>270</v>
      </c>
      <c r="D32" s="33" t="s">
        <v>289</v>
      </c>
      <c r="E32" s="30" t="s">
        <v>13</v>
      </c>
      <c r="F32" s="33" t="s">
        <v>257</v>
      </c>
      <c r="G32" s="34" t="str">
        <f>'L4-Permissions'!L11</f>
        <v>Pass</v>
      </c>
      <c r="H32" s="34" t="str">
        <f>'L4-Permissions'!M11</f>
        <v/>
      </c>
    </row>
    <row r="33" ht="15.0" customHeight="1">
      <c r="A33" s="27" t="s">
        <v>294</v>
      </c>
      <c r="B33" s="28" t="s">
        <v>268</v>
      </c>
      <c r="C33" s="28" t="s">
        <v>270</v>
      </c>
      <c r="D33" s="28" t="s">
        <v>252</v>
      </c>
      <c r="E33" s="30" t="s">
        <v>13</v>
      </c>
      <c r="F33" s="28" t="s">
        <v>257</v>
      </c>
      <c r="G33" s="31" t="str">
        <f>'L4-Permissions'!L12</f>
        <v>Pass</v>
      </c>
      <c r="H33" s="31" t="str">
        <f>'L4-Permissions'!M12</f>
        <v/>
      </c>
    </row>
    <row r="34" ht="15.0" customHeight="1">
      <c r="A34" s="32" t="s">
        <v>299</v>
      </c>
      <c r="B34" s="33" t="s">
        <v>300</v>
      </c>
      <c r="C34" s="33" t="s">
        <v>301</v>
      </c>
      <c r="D34" s="33" t="s">
        <v>302</v>
      </c>
      <c r="E34" s="30" t="s">
        <v>13</v>
      </c>
      <c r="F34" s="33" t="s">
        <v>60</v>
      </c>
      <c r="G34" s="34" t="str">
        <f>'L4-SessionManagement'!L6</f>
        <v>Pass</v>
      </c>
      <c r="H34" s="34" t="str">
        <f>'L4-SessionManagement'!M6</f>
        <v/>
      </c>
    </row>
    <row r="35" ht="15.0" customHeight="1">
      <c r="A35" s="27" t="s">
        <v>303</v>
      </c>
      <c r="B35" s="28" t="s">
        <v>300</v>
      </c>
      <c r="C35" s="28" t="s">
        <v>301</v>
      </c>
      <c r="D35" s="28" t="s">
        <v>302</v>
      </c>
      <c r="E35" s="30" t="s">
        <v>13</v>
      </c>
      <c r="F35" s="28" t="s">
        <v>257</v>
      </c>
      <c r="G35" s="31" t="str">
        <f>'L4-SessionManagement'!L7</f>
        <v>Pass</v>
      </c>
      <c r="H35" s="31" t="str">
        <f>'L4-SessionManagement'!M7</f>
        <v/>
      </c>
    </row>
    <row r="36" ht="15.0" customHeight="1">
      <c r="A36" s="32" t="s">
        <v>305</v>
      </c>
      <c r="B36" s="33" t="s">
        <v>300</v>
      </c>
      <c r="C36" s="33" t="s">
        <v>301</v>
      </c>
      <c r="D36" s="33" t="s">
        <v>302</v>
      </c>
      <c r="E36" s="30" t="s">
        <v>27</v>
      </c>
      <c r="F36" s="33" t="s">
        <v>257</v>
      </c>
      <c r="G36" s="34" t="str">
        <f>'L4-SessionManagement'!L8</f>
        <v>Pass</v>
      </c>
      <c r="H36" s="34" t="str">
        <f>'L4-SessionManagement'!M8</f>
        <v/>
      </c>
    </row>
    <row r="37" ht="15.0" customHeight="1">
      <c r="A37" s="27" t="s">
        <v>306</v>
      </c>
      <c r="B37" s="28" t="s">
        <v>300</v>
      </c>
      <c r="C37" s="28" t="s">
        <v>301</v>
      </c>
      <c r="D37" s="28" t="s">
        <v>307</v>
      </c>
      <c r="E37" s="30" t="s">
        <v>13</v>
      </c>
      <c r="F37" s="28" t="s">
        <v>60</v>
      </c>
      <c r="G37" s="31" t="str">
        <f>'L4-SessionManagement'!L9</f>
        <v>Pass</v>
      </c>
      <c r="H37" s="31" t="str">
        <f>'L4-SessionManagement'!M9</f>
        <v/>
      </c>
    </row>
    <row r="38" ht="15.0" customHeight="1">
      <c r="A38" s="32" t="s">
        <v>309</v>
      </c>
      <c r="B38" s="33" t="s">
        <v>300</v>
      </c>
      <c r="C38" s="33" t="s">
        <v>301</v>
      </c>
      <c r="D38" s="33" t="s">
        <v>311</v>
      </c>
      <c r="E38" s="30" t="s">
        <v>13</v>
      </c>
      <c r="F38" s="33" t="s">
        <v>257</v>
      </c>
      <c r="G38" s="34" t="str">
        <f>'L4-SessionManagement'!L10</f>
        <v>Fail</v>
      </c>
      <c r="H38" s="34" t="str">
        <f>'L4-SessionManagement'!M10</f>
        <v>DEF-L4-007</v>
      </c>
    </row>
    <row r="39" ht="15.0" customHeight="1">
      <c r="A39" s="27" t="s">
        <v>316</v>
      </c>
      <c r="B39" s="28" t="s">
        <v>317</v>
      </c>
      <c r="C39" s="28" t="s">
        <v>318</v>
      </c>
      <c r="D39" s="28" t="s">
        <v>319</v>
      </c>
      <c r="E39" s="30" t="s">
        <v>27</v>
      </c>
      <c r="F39" s="28" t="s">
        <v>60</v>
      </c>
      <c r="G39" s="31" t="str">
        <f>'L4-Responsive (Optional)'!L6</f>
        <v>Pass</v>
      </c>
      <c r="H39" s="31" t="str">
        <f>'L4-Responsive (Optional)'!M6</f>
        <v/>
      </c>
    </row>
    <row r="40" ht="15.0" customHeight="1">
      <c r="A40" s="32" t="s">
        <v>320</v>
      </c>
      <c r="B40" s="33" t="s">
        <v>317</v>
      </c>
      <c r="C40" s="33" t="s">
        <v>318</v>
      </c>
      <c r="D40" s="33" t="s">
        <v>319</v>
      </c>
      <c r="E40" s="30" t="s">
        <v>27</v>
      </c>
      <c r="F40" s="33" t="s">
        <v>60</v>
      </c>
      <c r="G40" s="34" t="str">
        <f>'L4-Responsive (Optional)'!L7</f>
        <v>Pass</v>
      </c>
      <c r="H40" s="34" t="str">
        <f>'L4-Responsive (Optional)'!M7</f>
        <v/>
      </c>
    </row>
    <row r="41" ht="15.0" customHeight="1">
      <c r="A41" s="27" t="s">
        <v>325</v>
      </c>
      <c r="B41" s="28" t="s">
        <v>317</v>
      </c>
      <c r="C41" s="28" t="s">
        <v>318</v>
      </c>
      <c r="D41" s="28" t="s">
        <v>329</v>
      </c>
      <c r="E41" s="30" t="s">
        <v>27</v>
      </c>
      <c r="F41" s="28" t="s">
        <v>60</v>
      </c>
      <c r="G41" s="31" t="str">
        <f>'L4-Responsive (Optional)'!L8</f>
        <v>Pass</v>
      </c>
      <c r="H41" s="31" t="str">
        <f>'L4-Responsive (Optional)'!M8</f>
        <v/>
      </c>
    </row>
    <row r="42" ht="15.0" customHeight="1">
      <c r="A42" s="32" t="s">
        <v>332</v>
      </c>
      <c r="B42" s="33" t="s">
        <v>317</v>
      </c>
      <c r="C42" s="33" t="s">
        <v>318</v>
      </c>
      <c r="D42" s="33" t="s">
        <v>335</v>
      </c>
      <c r="E42" s="30" t="s">
        <v>27</v>
      </c>
      <c r="F42" s="33" t="s">
        <v>60</v>
      </c>
      <c r="G42" s="34" t="str">
        <f>'L4-Responsive (Optional)'!L9</f>
        <v>Pass</v>
      </c>
      <c r="H42" s="34" t="str">
        <f>'L4-Responsive (Optional)'!M9</f>
        <v/>
      </c>
    </row>
    <row r="43" ht="15.0" customHeight="1">
      <c r="A43" s="27" t="s">
        <v>336</v>
      </c>
      <c r="B43" s="28" t="s">
        <v>337</v>
      </c>
      <c r="C43" s="28" t="s">
        <v>338</v>
      </c>
      <c r="D43" s="28" t="s">
        <v>340</v>
      </c>
      <c r="E43" s="30" t="s">
        <v>13</v>
      </c>
      <c r="F43" s="28" t="s">
        <v>60</v>
      </c>
      <c r="G43" s="31" t="str">
        <f>'L4-AdminMarketing'!L6</f>
        <v>Pass</v>
      </c>
      <c r="H43" s="31" t="str">
        <f>'L4-AdminMarketing'!M6</f>
        <v/>
      </c>
    </row>
    <row r="44" ht="15.0" customHeight="1">
      <c r="A44" s="32" t="s">
        <v>345</v>
      </c>
      <c r="B44" s="33" t="s">
        <v>337</v>
      </c>
      <c r="C44" s="33" t="s">
        <v>338</v>
      </c>
      <c r="D44" s="33" t="s">
        <v>346</v>
      </c>
      <c r="E44" s="30" t="s">
        <v>13</v>
      </c>
      <c r="F44" s="33" t="s">
        <v>60</v>
      </c>
      <c r="G44" s="34" t="str">
        <f>'L4-AdminMarketing'!L7</f>
        <v>Pass</v>
      </c>
      <c r="H44" s="34" t="str">
        <f>'L4-AdminMarketing'!M7</f>
        <v/>
      </c>
    </row>
    <row r="45" ht="15.0" customHeight="1">
      <c r="A45" s="27" t="s">
        <v>347</v>
      </c>
      <c r="B45" s="28" t="s">
        <v>337</v>
      </c>
      <c r="C45" s="28" t="s">
        <v>338</v>
      </c>
      <c r="D45" s="28" t="s">
        <v>348</v>
      </c>
      <c r="E45" s="30" t="s">
        <v>13</v>
      </c>
      <c r="F45" s="28" t="s">
        <v>257</v>
      </c>
      <c r="G45" s="31" t="str">
        <f>'L4-AdminMarketing'!L8</f>
        <v>Pass</v>
      </c>
      <c r="H45" s="31" t="str">
        <f>'L4-AdminMarketing'!M8</f>
        <v/>
      </c>
    </row>
    <row r="46" ht="15.0" customHeight="1">
      <c r="A46" s="32" t="s">
        <v>349</v>
      </c>
      <c r="B46" s="33" t="s">
        <v>337</v>
      </c>
      <c r="C46" s="33" t="s">
        <v>338</v>
      </c>
      <c r="D46" s="33" t="s">
        <v>350</v>
      </c>
      <c r="E46" s="30" t="s">
        <v>27</v>
      </c>
      <c r="F46" s="33" t="s">
        <v>60</v>
      </c>
      <c r="G46" s="34" t="str">
        <f>'L4-AdminMarketing'!L9</f>
        <v>Pass</v>
      </c>
      <c r="H46" s="34" t="str">
        <f>'L4-AdminMarketing'!M9</f>
        <v/>
      </c>
    </row>
    <row r="47" ht="15.0" customHeight="1">
      <c r="A47" s="27" t="s">
        <v>351</v>
      </c>
      <c r="B47" s="28" t="s">
        <v>337</v>
      </c>
      <c r="C47" s="28" t="s">
        <v>352</v>
      </c>
      <c r="D47" s="28" t="s">
        <v>353</v>
      </c>
      <c r="E47" s="30" t="s">
        <v>13</v>
      </c>
      <c r="F47" s="28" t="s">
        <v>60</v>
      </c>
      <c r="G47" s="31" t="str">
        <f>'L4-AdminMarketing'!L11</f>
        <v>Blocked</v>
      </c>
      <c r="H47" s="31" t="str">
        <f>'L4-AdminMarketing'!M11</f>
        <v>DEF-L4-004</v>
      </c>
    </row>
    <row r="48" ht="15.0" customHeight="1">
      <c r="A48" s="32" t="s">
        <v>354</v>
      </c>
      <c r="B48" s="33" t="s">
        <v>337</v>
      </c>
      <c r="C48" s="33" t="s">
        <v>352</v>
      </c>
      <c r="D48" s="33" t="s">
        <v>355</v>
      </c>
      <c r="E48" s="30" t="s">
        <v>13</v>
      </c>
      <c r="F48" s="33" t="s">
        <v>257</v>
      </c>
      <c r="G48" s="34" t="str">
        <f>'L4-AdminMarketing'!L12</f>
        <v>Pass</v>
      </c>
      <c r="H48" s="34" t="str">
        <f>'L4-AdminMarketing'!M12</f>
        <v/>
      </c>
    </row>
    <row r="49" ht="15.0" customHeight="1">
      <c r="A49" s="27" t="s">
        <v>356</v>
      </c>
      <c r="B49" s="28" t="s">
        <v>337</v>
      </c>
      <c r="C49" s="28" t="s">
        <v>352</v>
      </c>
      <c r="D49" s="28" t="s">
        <v>357</v>
      </c>
      <c r="E49" s="30" t="s">
        <v>13</v>
      </c>
      <c r="F49" s="28" t="s">
        <v>257</v>
      </c>
      <c r="G49" s="31" t="str">
        <f>'L4-AdminMarketing'!L13</f>
        <v>Pass</v>
      </c>
      <c r="H49" s="31" t="str">
        <f>'L4-AdminMarketing'!M13</f>
        <v/>
      </c>
    </row>
    <row r="50" ht="15.0" customHeight="1">
      <c r="A50" s="32" t="s">
        <v>358</v>
      </c>
      <c r="B50" s="33" t="s">
        <v>337</v>
      </c>
      <c r="C50" s="33" t="s">
        <v>352</v>
      </c>
      <c r="D50" s="33" t="s">
        <v>359</v>
      </c>
      <c r="E50" s="30" t="s">
        <v>27</v>
      </c>
      <c r="F50" s="33" t="s">
        <v>257</v>
      </c>
      <c r="G50" s="34" t="str">
        <f>'L4-AdminMarketing'!L14</f>
        <v>Blocked</v>
      </c>
      <c r="H50" s="34" t="str">
        <f>'L4-AdminMarketing'!M14</f>
        <v>DEF-L4-003</v>
      </c>
    </row>
    <row r="51" ht="15.0" customHeight="1">
      <c r="A51" s="27" t="s">
        <v>360</v>
      </c>
      <c r="B51" s="28" t="s">
        <v>337</v>
      </c>
      <c r="C51" s="28" t="s">
        <v>352</v>
      </c>
      <c r="D51" s="28" t="s">
        <v>361</v>
      </c>
      <c r="E51" s="30" t="s">
        <v>27</v>
      </c>
      <c r="F51" s="28" t="s">
        <v>60</v>
      </c>
      <c r="G51" s="31" t="str">
        <f>'L4-AdminMarketing'!L15</f>
        <v>Blocked</v>
      </c>
      <c r="H51" s="31" t="str">
        <f>'L4-AdminMarketing'!M15</f>
        <v>DEF-L4-003</v>
      </c>
    </row>
    <row r="52" ht="15.0" customHeight="1">
      <c r="A52" s="32" t="s">
        <v>362</v>
      </c>
      <c r="B52" s="33" t="s">
        <v>337</v>
      </c>
      <c r="C52" s="33" t="s">
        <v>352</v>
      </c>
      <c r="D52" s="33" t="s">
        <v>199</v>
      </c>
      <c r="E52" s="30" t="s">
        <v>13</v>
      </c>
      <c r="F52" s="33" t="s">
        <v>60</v>
      </c>
      <c r="G52" s="34" t="str">
        <f>'L4-AdminMarketing'!L16</f>
        <v>Blocked</v>
      </c>
      <c r="H52" s="34" t="str">
        <f>'L4-AdminMarketing'!M16</f>
        <v>DEF-L4-004</v>
      </c>
    </row>
    <row r="53" ht="15.0" customHeight="1">
      <c r="A53" s="27" t="s">
        <v>363</v>
      </c>
      <c r="B53" s="28" t="s">
        <v>337</v>
      </c>
      <c r="C53" s="28" t="s">
        <v>352</v>
      </c>
      <c r="D53" s="28" t="s">
        <v>364</v>
      </c>
      <c r="E53" s="30" t="s">
        <v>13</v>
      </c>
      <c r="F53" s="28" t="s">
        <v>60</v>
      </c>
      <c r="G53" s="31" t="str">
        <f>'L4-AdminMarketing'!L17</f>
        <v>Pass</v>
      </c>
      <c r="H53" s="31" t="str">
        <f>'L4-AdminMarketing'!M17</f>
        <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6.0"/>
    <col customWidth="1" min="3" max="3" width="26.0"/>
    <col customWidth="1" min="4" max="4" width="12.0"/>
    <col customWidth="1" min="5" max="5" width="9.0"/>
    <col customWidth="1" min="6" max="6" width="20.0"/>
    <col customWidth="1" min="7" max="7" width="26.0"/>
    <col customWidth="1" min="8" max="8" width="32.0"/>
    <col customWidth="1" min="9" max="9" width="46.0"/>
    <col customWidth="1" min="10" max="10" width="42.0"/>
    <col customWidth="1" min="11" max="11" width="11.0"/>
    <col customWidth="1" min="12" max="13" width="10.0"/>
    <col customWidth="1" min="14" max="14" width="26.0"/>
    <col customWidth="1" min="15" max="26" width="8.71"/>
  </cols>
  <sheetData>
    <row r="1" ht="24.0" customHeight="1">
      <c r="A1" s="2" t="s">
        <v>3</v>
      </c>
      <c r="B1" s="3"/>
      <c r="C1" s="3"/>
      <c r="D1" s="3"/>
      <c r="E1" s="3"/>
      <c r="F1" s="3"/>
      <c r="G1" s="3"/>
      <c r="H1" s="3"/>
      <c r="I1" s="3"/>
      <c r="J1" s="3"/>
      <c r="K1" s="3"/>
      <c r="L1" s="3"/>
      <c r="M1" s="3"/>
      <c r="N1" s="5"/>
    </row>
    <row r="2" ht="15.0" customHeight="1">
      <c r="A2" s="7" t="s">
        <v>5</v>
      </c>
      <c r="B2" s="3"/>
      <c r="C2" s="3"/>
      <c r="D2" s="3"/>
      <c r="E2" s="3"/>
      <c r="F2" s="3"/>
      <c r="G2" s="3"/>
      <c r="H2" s="3"/>
      <c r="I2" s="3"/>
      <c r="J2" s="3"/>
      <c r="K2" s="3"/>
      <c r="L2" s="3"/>
      <c r="M2" s="3"/>
      <c r="N2" s="5"/>
    </row>
    <row r="4" ht="27.75" customHeight="1">
      <c r="A4" s="9" t="s">
        <v>7</v>
      </c>
      <c r="B4" s="9" t="s">
        <v>8</v>
      </c>
      <c r="C4" s="9" t="s">
        <v>10</v>
      </c>
      <c r="D4" s="9" t="s">
        <v>11</v>
      </c>
      <c r="E4" s="9" t="s">
        <v>12</v>
      </c>
      <c r="F4" s="9" t="s">
        <v>14</v>
      </c>
      <c r="G4" s="9" t="s">
        <v>16</v>
      </c>
      <c r="H4" s="9" t="s">
        <v>17</v>
      </c>
      <c r="I4" s="9" t="s">
        <v>19</v>
      </c>
      <c r="J4" s="9" t="s">
        <v>20</v>
      </c>
      <c r="K4" s="9" t="s">
        <v>22</v>
      </c>
      <c r="L4" s="9" t="s">
        <v>23</v>
      </c>
      <c r="M4" s="9" t="s">
        <v>25</v>
      </c>
      <c r="N4" s="9" t="s">
        <v>26</v>
      </c>
    </row>
    <row r="5" ht="18.0" customHeight="1">
      <c r="A5" s="13" t="s">
        <v>34</v>
      </c>
      <c r="B5" s="3"/>
      <c r="C5" s="3"/>
      <c r="D5" s="3"/>
      <c r="E5" s="3"/>
      <c r="F5" s="3"/>
      <c r="G5" s="3"/>
      <c r="H5" s="3"/>
      <c r="I5" s="3"/>
      <c r="J5" s="3"/>
      <c r="K5" s="3"/>
      <c r="L5" s="3"/>
      <c r="M5" s="3"/>
      <c r="N5" s="5"/>
    </row>
    <row r="6" ht="72.75" customHeight="1">
      <c r="A6" s="14" t="s">
        <v>39</v>
      </c>
      <c r="B6" s="15" t="s">
        <v>40</v>
      </c>
      <c r="C6" s="17" t="s">
        <v>44</v>
      </c>
      <c r="D6" s="17" t="s">
        <v>45</v>
      </c>
      <c r="E6" s="19" t="s">
        <v>13</v>
      </c>
      <c r="F6" s="17" t="s">
        <v>49</v>
      </c>
      <c r="G6" s="17" t="s">
        <v>51</v>
      </c>
      <c r="H6" s="17" t="s">
        <v>53</v>
      </c>
      <c r="I6" s="17" t="s">
        <v>57</v>
      </c>
      <c r="J6" s="17" t="s">
        <v>58</v>
      </c>
      <c r="K6" s="17" t="s">
        <v>60</v>
      </c>
      <c r="L6" s="23" t="s">
        <v>42</v>
      </c>
      <c r="M6" s="17"/>
      <c r="N6" s="17"/>
    </row>
    <row r="7" ht="72.75" customHeight="1">
      <c r="A7" s="25" t="s">
        <v>62</v>
      </c>
      <c r="B7" s="15" t="s">
        <v>40</v>
      </c>
      <c r="C7" s="29" t="s">
        <v>72</v>
      </c>
      <c r="D7" s="29" t="s">
        <v>75</v>
      </c>
      <c r="E7" s="19" t="s">
        <v>13</v>
      </c>
      <c r="F7" s="29" t="s">
        <v>78</v>
      </c>
      <c r="G7" s="29" t="s">
        <v>80</v>
      </c>
      <c r="H7" s="29" t="s">
        <v>83</v>
      </c>
      <c r="I7" s="29" t="s">
        <v>85</v>
      </c>
      <c r="J7" s="29" t="s">
        <v>86</v>
      </c>
      <c r="K7" s="29" t="s">
        <v>60</v>
      </c>
      <c r="L7" s="23" t="s">
        <v>42</v>
      </c>
      <c r="M7" s="29"/>
      <c r="N7" s="29"/>
    </row>
    <row r="8" ht="72.75" customHeight="1">
      <c r="A8" s="14" t="s">
        <v>91</v>
      </c>
      <c r="B8" s="15" t="s">
        <v>40</v>
      </c>
      <c r="C8" s="17" t="s">
        <v>94</v>
      </c>
      <c r="D8" s="17" t="s">
        <v>95</v>
      </c>
      <c r="E8" s="19" t="s">
        <v>13</v>
      </c>
      <c r="F8" s="17" t="s">
        <v>98</v>
      </c>
      <c r="G8" s="17" t="s">
        <v>100</v>
      </c>
      <c r="H8" s="17" t="s">
        <v>102</v>
      </c>
      <c r="I8" s="17" t="s">
        <v>106</v>
      </c>
      <c r="J8" s="17" t="s">
        <v>107</v>
      </c>
      <c r="K8" s="17" t="s">
        <v>60</v>
      </c>
      <c r="L8" s="23" t="s">
        <v>42</v>
      </c>
      <c r="M8" s="17"/>
      <c r="N8" s="17"/>
    </row>
    <row r="9" ht="72.75" customHeight="1">
      <c r="A9" s="25" t="s">
        <v>111</v>
      </c>
      <c r="B9" s="15" t="s">
        <v>40</v>
      </c>
      <c r="C9" s="29" t="s">
        <v>112</v>
      </c>
      <c r="D9" s="29" t="s">
        <v>95</v>
      </c>
      <c r="E9" s="19" t="s">
        <v>13</v>
      </c>
      <c r="F9" s="29" t="s">
        <v>115</v>
      </c>
      <c r="G9" s="29" t="s">
        <v>117</v>
      </c>
      <c r="H9" s="29" t="s">
        <v>119</v>
      </c>
      <c r="I9" s="29" t="s">
        <v>121</v>
      </c>
      <c r="J9" s="29" t="s">
        <v>124</v>
      </c>
      <c r="K9" s="29" t="s">
        <v>60</v>
      </c>
      <c r="L9" s="23" t="s">
        <v>47</v>
      </c>
      <c r="M9" s="29" t="s">
        <v>126</v>
      </c>
      <c r="N9" s="29" t="s">
        <v>127</v>
      </c>
    </row>
    <row r="10" ht="72.75" customHeight="1">
      <c r="A10" s="14" t="s">
        <v>130</v>
      </c>
      <c r="B10" s="15" t="s">
        <v>40</v>
      </c>
      <c r="C10" s="17" t="s">
        <v>132</v>
      </c>
      <c r="D10" s="17" t="s">
        <v>133</v>
      </c>
      <c r="E10" s="19" t="s">
        <v>13</v>
      </c>
      <c r="F10" s="17" t="s">
        <v>135</v>
      </c>
      <c r="G10" s="17" t="s">
        <v>136</v>
      </c>
      <c r="H10" s="17" t="s">
        <v>137</v>
      </c>
      <c r="I10" s="17" t="s">
        <v>140</v>
      </c>
      <c r="J10" s="17" t="s">
        <v>141</v>
      </c>
      <c r="K10" s="17" t="s">
        <v>60</v>
      </c>
      <c r="L10" s="23" t="s">
        <v>145</v>
      </c>
      <c r="M10" s="17" t="s">
        <v>146</v>
      </c>
      <c r="N10" s="17" t="s">
        <v>148</v>
      </c>
    </row>
    <row r="11" ht="72.75" customHeight="1">
      <c r="A11" s="25" t="s">
        <v>151</v>
      </c>
      <c r="B11" s="15" t="s">
        <v>40</v>
      </c>
      <c r="C11" s="29" t="s">
        <v>154</v>
      </c>
      <c r="D11" s="29" t="s">
        <v>43</v>
      </c>
      <c r="E11" s="19" t="s">
        <v>13</v>
      </c>
      <c r="F11" s="29" t="s">
        <v>157</v>
      </c>
      <c r="G11" s="29" t="s">
        <v>159</v>
      </c>
      <c r="H11" s="29" t="s">
        <v>160</v>
      </c>
      <c r="I11" s="29" t="s">
        <v>163</v>
      </c>
      <c r="J11" s="29" t="s">
        <v>164</v>
      </c>
      <c r="K11" s="29" t="s">
        <v>60</v>
      </c>
      <c r="L11" s="23" t="s">
        <v>42</v>
      </c>
      <c r="M11" s="29"/>
      <c r="N11" s="29"/>
    </row>
    <row r="12" ht="15.0" customHeight="1">
      <c r="A12" s="43" t="s">
        <v>169</v>
      </c>
      <c r="B12" s="3"/>
      <c r="C12" s="3"/>
      <c r="D12" s="3"/>
      <c r="E12" s="3"/>
      <c r="F12" s="3"/>
      <c r="G12" s="3"/>
      <c r="H12" s="3"/>
      <c r="I12" s="3"/>
      <c r="J12" s="3"/>
      <c r="K12" s="3"/>
      <c r="L12" s="3"/>
      <c r="M12" s="3"/>
      <c r="N12" s="5"/>
    </row>
    <row r="13" ht="42.75" customHeight="1">
      <c r="A13" s="23" t="s">
        <v>173</v>
      </c>
      <c r="B13" s="23" t="s">
        <v>174</v>
      </c>
      <c r="C13" s="23" t="s">
        <v>177</v>
      </c>
      <c r="D13" s="23" t="s">
        <v>178</v>
      </c>
      <c r="E13" s="23" t="s">
        <v>27</v>
      </c>
      <c r="F13" s="23" t="s">
        <v>179</v>
      </c>
      <c r="G13" s="23" t="s">
        <v>181</v>
      </c>
      <c r="H13" s="23" t="s">
        <v>182</v>
      </c>
      <c r="I13" s="23" t="s">
        <v>184</v>
      </c>
      <c r="J13" s="23" t="s">
        <v>185</v>
      </c>
      <c r="K13" s="23" t="s">
        <v>60</v>
      </c>
      <c r="L13" s="23" t="s">
        <v>55</v>
      </c>
      <c r="M13" s="23"/>
      <c r="N13"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5:N5"/>
    <mergeCell ref="A12:N12"/>
  </mergeCells>
  <dataValidations>
    <dataValidation type="list" allowBlank="1" sqref="E6:E11 E13">
      <formula1>"P1,P2,P3"</formula1>
    </dataValidation>
    <dataValidation type="list" allowBlank="1" sqref="L6:L11 L13">
      <formula1>"Not Run,Pass,Fail,Blocked,Skip"</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6.0"/>
    <col customWidth="1" min="3" max="3" width="26.0"/>
    <col customWidth="1" min="4" max="4" width="12.0"/>
    <col customWidth="1" min="5" max="5" width="9.0"/>
    <col customWidth="1" min="6" max="6" width="20.0"/>
    <col customWidth="1" min="7" max="7" width="26.0"/>
    <col customWidth="1" min="8" max="8" width="32.0"/>
    <col customWidth="1" min="9" max="9" width="46.0"/>
    <col customWidth="1" min="10" max="10" width="42.0"/>
    <col customWidth="1" min="11" max="11" width="11.0"/>
    <col customWidth="1" min="12" max="13" width="10.0"/>
    <col customWidth="1" min="14" max="14" width="26.0"/>
    <col customWidth="1" min="15" max="26" width="8.71"/>
  </cols>
  <sheetData>
    <row r="1" ht="24.0" customHeight="1">
      <c r="A1" s="2" t="s">
        <v>2</v>
      </c>
      <c r="B1" s="3"/>
      <c r="C1" s="3"/>
      <c r="D1" s="3"/>
      <c r="E1" s="3"/>
      <c r="F1" s="3"/>
      <c r="G1" s="3"/>
      <c r="H1" s="3"/>
      <c r="I1" s="3"/>
      <c r="J1" s="3"/>
      <c r="K1" s="3"/>
      <c r="L1" s="3"/>
      <c r="M1" s="3"/>
      <c r="N1" s="5"/>
    </row>
    <row r="2" ht="15.0" customHeight="1">
      <c r="A2" s="7" t="s">
        <v>5</v>
      </c>
      <c r="B2" s="3"/>
      <c r="C2" s="3"/>
      <c r="D2" s="3"/>
      <c r="E2" s="3"/>
      <c r="F2" s="3"/>
      <c r="G2" s="3"/>
      <c r="H2" s="3"/>
      <c r="I2" s="3"/>
      <c r="J2" s="3"/>
      <c r="K2" s="3"/>
      <c r="L2" s="3"/>
      <c r="M2" s="3"/>
      <c r="N2" s="5"/>
    </row>
    <row r="4" ht="27.75" customHeight="1">
      <c r="A4" s="9" t="s">
        <v>7</v>
      </c>
      <c r="B4" s="9" t="s">
        <v>8</v>
      </c>
      <c r="C4" s="9" t="s">
        <v>10</v>
      </c>
      <c r="D4" s="9" t="s">
        <v>11</v>
      </c>
      <c r="E4" s="9" t="s">
        <v>12</v>
      </c>
      <c r="F4" s="9" t="s">
        <v>14</v>
      </c>
      <c r="G4" s="9" t="s">
        <v>16</v>
      </c>
      <c r="H4" s="9" t="s">
        <v>17</v>
      </c>
      <c r="I4" s="9" t="s">
        <v>19</v>
      </c>
      <c r="J4" s="9" t="s">
        <v>20</v>
      </c>
      <c r="K4" s="9" t="s">
        <v>22</v>
      </c>
      <c r="L4" s="9" t="s">
        <v>23</v>
      </c>
      <c r="M4" s="9" t="s">
        <v>25</v>
      </c>
      <c r="N4" s="9" t="s">
        <v>26</v>
      </c>
    </row>
    <row r="5" ht="18.0" customHeight="1">
      <c r="A5" s="13" t="s">
        <v>28</v>
      </c>
      <c r="B5" s="3"/>
      <c r="C5" s="3"/>
      <c r="D5" s="3"/>
      <c r="E5" s="3"/>
      <c r="F5" s="3"/>
      <c r="G5" s="3"/>
      <c r="H5" s="3"/>
      <c r="I5" s="3"/>
      <c r="J5" s="3"/>
      <c r="K5" s="3"/>
      <c r="L5" s="3"/>
      <c r="M5" s="3"/>
      <c r="N5" s="5"/>
    </row>
    <row r="6" ht="85.5" customHeight="1">
      <c r="A6" s="14" t="s">
        <v>33</v>
      </c>
      <c r="B6" s="15" t="s">
        <v>35</v>
      </c>
      <c r="C6" s="17" t="s">
        <v>38</v>
      </c>
      <c r="D6" s="17" t="s">
        <v>43</v>
      </c>
      <c r="E6" s="19" t="s">
        <v>13</v>
      </c>
      <c r="F6" s="17" t="s">
        <v>48</v>
      </c>
      <c r="G6" s="17" t="s">
        <v>50</v>
      </c>
      <c r="H6" s="17" t="s">
        <v>52</v>
      </c>
      <c r="I6" s="17" t="s">
        <v>56</v>
      </c>
      <c r="J6" s="17" t="s">
        <v>59</v>
      </c>
      <c r="K6" s="17" t="s">
        <v>60</v>
      </c>
      <c r="L6" s="23" t="s">
        <v>42</v>
      </c>
      <c r="M6" s="17"/>
      <c r="N6" s="17"/>
    </row>
    <row r="7" ht="60.0" customHeight="1">
      <c r="A7" s="25" t="s">
        <v>63</v>
      </c>
      <c r="B7" s="15" t="s">
        <v>35</v>
      </c>
      <c r="C7" s="29" t="s">
        <v>67</v>
      </c>
      <c r="D7" s="29" t="s">
        <v>74</v>
      </c>
      <c r="E7" s="19" t="s">
        <v>13</v>
      </c>
      <c r="F7" s="29" t="s">
        <v>49</v>
      </c>
      <c r="G7" s="29" t="s">
        <v>77</v>
      </c>
      <c r="H7" s="29" t="s">
        <v>79</v>
      </c>
      <c r="I7" s="29" t="s">
        <v>82</v>
      </c>
      <c r="J7" s="29" t="s">
        <v>84</v>
      </c>
      <c r="K7" s="29" t="s">
        <v>60</v>
      </c>
      <c r="L7" s="23" t="s">
        <v>42</v>
      </c>
      <c r="M7" s="29"/>
      <c r="N7" s="29"/>
    </row>
    <row r="8" ht="85.5" customHeight="1">
      <c r="A8" s="14" t="s">
        <v>89</v>
      </c>
      <c r="B8" s="15" t="s">
        <v>35</v>
      </c>
      <c r="C8" s="17" t="s">
        <v>92</v>
      </c>
      <c r="D8" s="17" t="s">
        <v>74</v>
      </c>
      <c r="E8" s="19" t="s">
        <v>13</v>
      </c>
      <c r="F8" s="17" t="s">
        <v>96</v>
      </c>
      <c r="G8" s="17" t="s">
        <v>99</v>
      </c>
      <c r="H8" s="17" t="s">
        <v>101</v>
      </c>
      <c r="I8" s="17" t="s">
        <v>103</v>
      </c>
      <c r="J8" s="17" t="s">
        <v>105</v>
      </c>
      <c r="K8" s="17" t="s">
        <v>60</v>
      </c>
      <c r="L8" s="23" t="s">
        <v>42</v>
      </c>
      <c r="M8" s="17"/>
      <c r="N8" s="17"/>
    </row>
    <row r="9" ht="60.0" customHeight="1">
      <c r="A9" s="25" t="s">
        <v>108</v>
      </c>
      <c r="B9" s="15" t="s">
        <v>35</v>
      </c>
      <c r="C9" s="29" t="s">
        <v>110</v>
      </c>
      <c r="D9" s="29" t="s">
        <v>43</v>
      </c>
      <c r="E9" s="19" t="s">
        <v>27</v>
      </c>
      <c r="F9" s="29" t="s">
        <v>49</v>
      </c>
      <c r="G9" s="29" t="s">
        <v>114</v>
      </c>
      <c r="H9" s="29" t="s">
        <v>118</v>
      </c>
      <c r="I9" s="29" t="s">
        <v>120</v>
      </c>
      <c r="J9" s="29" t="s">
        <v>123</v>
      </c>
      <c r="K9" s="29" t="s">
        <v>60</v>
      </c>
      <c r="L9" s="23" t="s">
        <v>42</v>
      </c>
      <c r="M9" s="29"/>
      <c r="N9" s="29"/>
    </row>
    <row r="10" ht="18.0" customHeight="1">
      <c r="A10" s="13" t="s">
        <v>129</v>
      </c>
      <c r="B10" s="3"/>
      <c r="C10" s="3"/>
      <c r="D10" s="3"/>
      <c r="E10" s="3"/>
      <c r="F10" s="3"/>
      <c r="G10" s="3"/>
      <c r="H10" s="3"/>
      <c r="I10" s="3"/>
      <c r="J10" s="3"/>
      <c r="K10" s="3"/>
      <c r="L10" s="3"/>
      <c r="M10" s="3"/>
      <c r="N10" s="5"/>
    </row>
    <row r="11" ht="85.5" customHeight="1">
      <c r="A11" s="14" t="s">
        <v>138</v>
      </c>
      <c r="B11" s="15" t="s">
        <v>35</v>
      </c>
      <c r="C11" s="17" t="s">
        <v>142</v>
      </c>
      <c r="D11" s="17" t="s">
        <v>143</v>
      </c>
      <c r="E11" s="19" t="s">
        <v>13</v>
      </c>
      <c r="F11" s="17" t="s">
        <v>147</v>
      </c>
      <c r="G11" s="17" t="s">
        <v>149</v>
      </c>
      <c r="H11" s="17" t="s">
        <v>152</v>
      </c>
      <c r="I11" s="17" t="s">
        <v>153</v>
      </c>
      <c r="J11" s="17" t="s">
        <v>155</v>
      </c>
      <c r="K11" s="17" t="s">
        <v>60</v>
      </c>
      <c r="L11" s="23" t="s">
        <v>42</v>
      </c>
      <c r="M11" s="17"/>
      <c r="N11" s="17"/>
    </row>
    <row r="12" ht="60.0" customHeight="1">
      <c r="A12" s="25" t="s">
        <v>161</v>
      </c>
      <c r="B12" s="15" t="s">
        <v>35</v>
      </c>
      <c r="C12" s="29" t="s">
        <v>165</v>
      </c>
      <c r="D12" s="29" t="s">
        <v>75</v>
      </c>
      <c r="E12" s="19" t="s">
        <v>13</v>
      </c>
      <c r="F12" s="29" t="s">
        <v>167</v>
      </c>
      <c r="G12" s="29" t="s">
        <v>168</v>
      </c>
      <c r="H12" s="29" t="s">
        <v>170</v>
      </c>
      <c r="I12" s="29" t="s">
        <v>171</v>
      </c>
      <c r="J12" s="29" t="s">
        <v>172</v>
      </c>
      <c r="K12" s="29" t="s">
        <v>60</v>
      </c>
      <c r="L12" s="23" t="s">
        <v>42</v>
      </c>
      <c r="M12" s="29"/>
      <c r="N12" s="29"/>
    </row>
    <row r="13" ht="18.0" customHeight="1">
      <c r="A13" s="13" t="s">
        <v>175</v>
      </c>
      <c r="B13" s="3"/>
      <c r="C13" s="3"/>
      <c r="D13" s="3"/>
      <c r="E13" s="3"/>
      <c r="F13" s="3"/>
      <c r="G13" s="3"/>
      <c r="H13" s="3"/>
      <c r="I13" s="3"/>
      <c r="J13" s="3"/>
      <c r="K13" s="3"/>
      <c r="L13" s="3"/>
      <c r="M13" s="3"/>
      <c r="N13" s="5"/>
    </row>
    <row r="14" ht="85.5" customHeight="1">
      <c r="A14" s="14" t="s">
        <v>180</v>
      </c>
      <c r="B14" s="15" t="s">
        <v>35</v>
      </c>
      <c r="C14" s="17" t="s">
        <v>183</v>
      </c>
      <c r="D14" s="17" t="s">
        <v>133</v>
      </c>
      <c r="E14" s="19" t="s">
        <v>13</v>
      </c>
      <c r="F14" s="17" t="s">
        <v>135</v>
      </c>
      <c r="G14" s="17" t="s">
        <v>186</v>
      </c>
      <c r="H14" s="17" t="s">
        <v>187</v>
      </c>
      <c r="I14" s="17" t="s">
        <v>188</v>
      </c>
      <c r="J14" s="17" t="s">
        <v>189</v>
      </c>
      <c r="K14" s="17" t="s">
        <v>60</v>
      </c>
      <c r="L14" s="23" t="s">
        <v>145</v>
      </c>
      <c r="M14" s="17" t="s">
        <v>146</v>
      </c>
      <c r="N14" s="17" t="s">
        <v>190</v>
      </c>
    </row>
    <row r="15" ht="60.0" customHeight="1">
      <c r="A15" s="25" t="s">
        <v>191</v>
      </c>
      <c r="B15" s="15" t="s">
        <v>35</v>
      </c>
      <c r="C15" s="29" t="s">
        <v>192</v>
      </c>
      <c r="D15" s="29" t="s">
        <v>193</v>
      </c>
      <c r="E15" s="19" t="s">
        <v>13</v>
      </c>
      <c r="F15" s="29" t="s">
        <v>147</v>
      </c>
      <c r="G15" s="29" t="s">
        <v>194</v>
      </c>
      <c r="H15" s="29" t="s">
        <v>195</v>
      </c>
      <c r="I15" s="29" t="s">
        <v>196</v>
      </c>
      <c r="J15" s="29" t="s">
        <v>197</v>
      </c>
      <c r="K15" s="29" t="s">
        <v>60</v>
      </c>
      <c r="L15" s="23" t="s">
        <v>42</v>
      </c>
      <c r="M15" s="29"/>
      <c r="N15" s="29"/>
    </row>
    <row r="16" ht="85.5" customHeight="1">
      <c r="A16" s="14" t="s">
        <v>198</v>
      </c>
      <c r="B16" s="15" t="s">
        <v>35</v>
      </c>
      <c r="C16" s="17" t="s">
        <v>199</v>
      </c>
      <c r="D16" s="17" t="s">
        <v>193</v>
      </c>
      <c r="E16" s="19" t="s">
        <v>27</v>
      </c>
      <c r="F16" s="17" t="s">
        <v>98</v>
      </c>
      <c r="G16" s="17" t="s">
        <v>201</v>
      </c>
      <c r="H16" s="17" t="s">
        <v>203</v>
      </c>
      <c r="I16" s="17" t="s">
        <v>204</v>
      </c>
      <c r="J16" s="17" t="s">
        <v>205</v>
      </c>
      <c r="K16" s="17" t="s">
        <v>60</v>
      </c>
      <c r="L16" s="23" t="s">
        <v>42</v>
      </c>
      <c r="M16" s="17"/>
      <c r="N16" s="17"/>
    </row>
    <row r="17" ht="18.0" customHeight="1">
      <c r="A17" s="13" t="s">
        <v>206</v>
      </c>
      <c r="B17" s="3"/>
      <c r="C17" s="3"/>
      <c r="D17" s="3"/>
      <c r="E17" s="3"/>
      <c r="F17" s="3"/>
      <c r="G17" s="3"/>
      <c r="H17" s="3"/>
      <c r="I17" s="3"/>
      <c r="J17" s="3"/>
      <c r="K17" s="3"/>
      <c r="L17" s="3"/>
      <c r="M17" s="3"/>
      <c r="N17" s="5"/>
    </row>
    <row r="18" ht="85.5" customHeight="1">
      <c r="A18" s="14" t="s">
        <v>207</v>
      </c>
      <c r="B18" s="15" t="s">
        <v>35</v>
      </c>
      <c r="C18" s="17" t="s">
        <v>208</v>
      </c>
      <c r="D18" s="17" t="s">
        <v>209</v>
      </c>
      <c r="E18" s="19" t="s">
        <v>13</v>
      </c>
      <c r="F18" s="17" t="s">
        <v>210</v>
      </c>
      <c r="G18" s="17" t="s">
        <v>211</v>
      </c>
      <c r="H18" s="17" t="s">
        <v>212</v>
      </c>
      <c r="I18" s="17" t="s">
        <v>213</v>
      </c>
      <c r="J18" s="17" t="s">
        <v>214</v>
      </c>
      <c r="K18" s="17" t="s">
        <v>60</v>
      </c>
      <c r="L18" s="23" t="s">
        <v>42</v>
      </c>
      <c r="M18" s="17"/>
      <c r="N18" s="17"/>
    </row>
    <row r="19" ht="60.0" customHeight="1">
      <c r="A19" s="25" t="s">
        <v>215</v>
      </c>
      <c r="B19" s="15" t="s">
        <v>35</v>
      </c>
      <c r="C19" s="29" t="s">
        <v>216</v>
      </c>
      <c r="D19" s="29" t="s">
        <v>217</v>
      </c>
      <c r="E19" s="19" t="s">
        <v>13</v>
      </c>
      <c r="F19" s="29" t="s">
        <v>98</v>
      </c>
      <c r="G19" s="29" t="s">
        <v>218</v>
      </c>
      <c r="H19" s="29" t="s">
        <v>219</v>
      </c>
      <c r="I19" s="29" t="s">
        <v>220</v>
      </c>
      <c r="J19" s="29" t="s">
        <v>221</v>
      </c>
      <c r="K19" s="29" t="s">
        <v>60</v>
      </c>
      <c r="L19" s="23" t="s">
        <v>42</v>
      </c>
      <c r="M19" s="29"/>
      <c r="N19" s="29"/>
    </row>
    <row r="20" ht="85.5" customHeight="1">
      <c r="A20" s="14" t="s">
        <v>222</v>
      </c>
      <c r="B20" s="15" t="s">
        <v>35</v>
      </c>
      <c r="C20" s="17" t="s">
        <v>223</v>
      </c>
      <c r="D20" s="17" t="s">
        <v>225</v>
      </c>
      <c r="E20" s="19" t="s">
        <v>13</v>
      </c>
      <c r="F20" s="17" t="s">
        <v>226</v>
      </c>
      <c r="G20" s="17" t="s">
        <v>227</v>
      </c>
      <c r="H20" s="17" t="s">
        <v>228</v>
      </c>
      <c r="I20" s="17" t="s">
        <v>229</v>
      </c>
      <c r="J20" s="17" t="s">
        <v>230</v>
      </c>
      <c r="K20" s="17" t="s">
        <v>60</v>
      </c>
      <c r="L20" s="23" t="s">
        <v>145</v>
      </c>
      <c r="M20" s="17" t="s">
        <v>231</v>
      </c>
      <c r="N20" s="17" t="s">
        <v>232</v>
      </c>
    </row>
    <row r="21" ht="60.0" customHeight="1">
      <c r="A21" s="25" t="s">
        <v>233</v>
      </c>
      <c r="B21" s="15" t="s">
        <v>35</v>
      </c>
      <c r="C21" s="29" t="s">
        <v>234</v>
      </c>
      <c r="D21" s="29" t="s">
        <v>225</v>
      </c>
      <c r="E21" s="19" t="s">
        <v>27</v>
      </c>
      <c r="F21" s="29" t="s">
        <v>98</v>
      </c>
      <c r="G21" s="29" t="s">
        <v>235</v>
      </c>
      <c r="H21" s="29" t="s">
        <v>237</v>
      </c>
      <c r="I21" s="29" t="s">
        <v>238</v>
      </c>
      <c r="J21" s="29" t="s">
        <v>239</v>
      </c>
      <c r="K21" s="29" t="s">
        <v>60</v>
      </c>
      <c r="L21" s="23" t="s">
        <v>42</v>
      </c>
      <c r="M21" s="29"/>
      <c r="N21" s="29"/>
    </row>
    <row r="22" ht="85.5" customHeight="1">
      <c r="A22" s="14" t="s">
        <v>240</v>
      </c>
      <c r="B22" s="15" t="s">
        <v>35</v>
      </c>
      <c r="C22" s="17" t="s">
        <v>241</v>
      </c>
      <c r="D22" s="17" t="s">
        <v>225</v>
      </c>
      <c r="E22" s="19" t="s">
        <v>27</v>
      </c>
      <c r="F22" s="17" t="s">
        <v>98</v>
      </c>
      <c r="G22" s="17" t="s">
        <v>242</v>
      </c>
      <c r="H22" s="17" t="s">
        <v>243</v>
      </c>
      <c r="I22" s="17" t="s">
        <v>244</v>
      </c>
      <c r="J22" s="17" t="s">
        <v>245</v>
      </c>
      <c r="K22" s="17" t="s">
        <v>60</v>
      </c>
      <c r="L22" s="23" t="s">
        <v>145</v>
      </c>
      <c r="M22" s="17" t="s">
        <v>231</v>
      </c>
      <c r="N22" s="17" t="s">
        <v>246</v>
      </c>
    </row>
    <row r="23" ht="15.0" customHeight="1">
      <c r="A23" s="43" t="s">
        <v>169</v>
      </c>
      <c r="B23" s="3"/>
      <c r="C23" s="3"/>
      <c r="D23" s="3"/>
      <c r="E23" s="3"/>
      <c r="F23" s="3"/>
      <c r="G23" s="3"/>
      <c r="H23" s="3"/>
      <c r="I23" s="3"/>
      <c r="J23" s="3"/>
      <c r="K23" s="3"/>
      <c r="L23" s="3"/>
      <c r="M23" s="3"/>
      <c r="N23" s="5"/>
    </row>
    <row r="24" ht="42.75" customHeight="1">
      <c r="A24" s="23" t="s">
        <v>173</v>
      </c>
      <c r="B24" s="23" t="s">
        <v>174</v>
      </c>
      <c r="C24" s="23" t="s">
        <v>177</v>
      </c>
      <c r="D24" s="23" t="s">
        <v>178</v>
      </c>
      <c r="E24" s="23" t="s">
        <v>27</v>
      </c>
      <c r="F24" s="23" t="s">
        <v>179</v>
      </c>
      <c r="G24" s="23" t="s">
        <v>181</v>
      </c>
      <c r="H24" s="23" t="s">
        <v>182</v>
      </c>
      <c r="I24" s="23" t="s">
        <v>184</v>
      </c>
      <c r="J24" s="23" t="s">
        <v>185</v>
      </c>
      <c r="K24" s="23" t="s">
        <v>60</v>
      </c>
      <c r="L24" s="23" t="s">
        <v>55</v>
      </c>
      <c r="M24" s="23"/>
      <c r="N24" s="2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N1"/>
    <mergeCell ref="A2:N2"/>
    <mergeCell ref="A5:N5"/>
    <mergeCell ref="A10:N10"/>
    <mergeCell ref="A13:N13"/>
    <mergeCell ref="A17:N17"/>
    <mergeCell ref="A23:N23"/>
  </mergeCells>
  <dataValidations>
    <dataValidation type="list" allowBlank="1" sqref="E6:E9 E11:E12 E14:E16 E18:E22 E24">
      <formula1>"P1,P2,P3"</formula1>
    </dataValidation>
    <dataValidation type="list" allowBlank="1" sqref="L6:L9 L11:L12 L14:L16 L18:L22 L24">
      <formula1>"Not Run,Pass,Fail,Blocked,Skip"</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6.0"/>
    <col customWidth="1" min="3" max="3" width="26.0"/>
    <col customWidth="1" min="4" max="4" width="12.0"/>
    <col customWidth="1" min="5" max="5" width="9.0"/>
    <col customWidth="1" min="6" max="6" width="20.0"/>
    <col customWidth="1" min="7" max="7" width="26.0"/>
    <col customWidth="1" min="8" max="8" width="32.0"/>
    <col customWidth="1" min="9" max="9" width="46.0"/>
    <col customWidth="1" min="10" max="10" width="42.0"/>
    <col customWidth="1" min="11" max="11" width="11.0"/>
    <col customWidth="1" min="12" max="13" width="10.0"/>
    <col customWidth="1" min="14" max="14" width="26.0"/>
    <col customWidth="1" min="15" max="26" width="8.71"/>
  </cols>
  <sheetData>
    <row r="1" ht="24.0" customHeight="1">
      <c r="A1" s="2" t="s">
        <v>247</v>
      </c>
      <c r="B1" s="3"/>
      <c r="C1" s="3"/>
      <c r="D1" s="3"/>
      <c r="E1" s="3"/>
      <c r="F1" s="3"/>
      <c r="G1" s="3"/>
      <c r="H1" s="3"/>
      <c r="I1" s="3"/>
      <c r="J1" s="3"/>
      <c r="K1" s="3"/>
      <c r="L1" s="3"/>
      <c r="M1" s="3"/>
      <c r="N1" s="5"/>
    </row>
    <row r="2" ht="15.0" customHeight="1">
      <c r="A2" s="7" t="s">
        <v>5</v>
      </c>
      <c r="B2" s="3"/>
      <c r="C2" s="3"/>
      <c r="D2" s="3"/>
      <c r="E2" s="3"/>
      <c r="F2" s="3"/>
      <c r="G2" s="3"/>
      <c r="H2" s="3"/>
      <c r="I2" s="3"/>
      <c r="J2" s="3"/>
      <c r="K2" s="3"/>
      <c r="L2" s="3"/>
      <c r="M2" s="3"/>
      <c r="N2" s="5"/>
    </row>
    <row r="4" ht="27.75" customHeight="1">
      <c r="A4" s="9" t="s">
        <v>7</v>
      </c>
      <c r="B4" s="9" t="s">
        <v>8</v>
      </c>
      <c r="C4" s="9" t="s">
        <v>10</v>
      </c>
      <c r="D4" s="9" t="s">
        <v>11</v>
      </c>
      <c r="E4" s="9" t="s">
        <v>12</v>
      </c>
      <c r="F4" s="9" t="s">
        <v>14</v>
      </c>
      <c r="G4" s="9" t="s">
        <v>16</v>
      </c>
      <c r="H4" s="9" t="s">
        <v>17</v>
      </c>
      <c r="I4" s="9" t="s">
        <v>19</v>
      </c>
      <c r="J4" s="9" t="s">
        <v>20</v>
      </c>
      <c r="K4" s="9" t="s">
        <v>22</v>
      </c>
      <c r="L4" s="9" t="s">
        <v>23</v>
      </c>
      <c r="M4" s="9" t="s">
        <v>25</v>
      </c>
      <c r="N4" s="9" t="s">
        <v>26</v>
      </c>
    </row>
    <row r="5" ht="18.0" customHeight="1">
      <c r="A5" s="13" t="s">
        <v>249</v>
      </c>
      <c r="B5" s="3"/>
      <c r="C5" s="3"/>
      <c r="D5" s="3"/>
      <c r="E5" s="3"/>
      <c r="F5" s="3"/>
      <c r="G5" s="3"/>
      <c r="H5" s="3"/>
      <c r="I5" s="3"/>
      <c r="J5" s="3"/>
      <c r="K5" s="3"/>
      <c r="L5" s="3"/>
      <c r="M5" s="3"/>
      <c r="N5" s="5"/>
    </row>
    <row r="6" ht="46.5" customHeight="1">
      <c r="A6" s="14" t="s">
        <v>250</v>
      </c>
      <c r="B6" s="15" t="s">
        <v>251</v>
      </c>
      <c r="C6" s="17" t="s">
        <v>252</v>
      </c>
      <c r="D6" s="17" t="s">
        <v>43</v>
      </c>
      <c r="E6" s="19" t="s">
        <v>13</v>
      </c>
      <c r="F6" s="17" t="s">
        <v>157</v>
      </c>
      <c r="G6" s="17" t="s">
        <v>253</v>
      </c>
      <c r="H6" s="17" t="s">
        <v>254</v>
      </c>
      <c r="I6" s="17" t="s">
        <v>255</v>
      </c>
      <c r="J6" s="17" t="s">
        <v>256</v>
      </c>
      <c r="K6" s="48" t="s">
        <v>257</v>
      </c>
      <c r="L6" s="23" t="s">
        <v>42</v>
      </c>
      <c r="M6" s="17"/>
      <c r="N6" s="17"/>
    </row>
    <row r="7" ht="46.5" customHeight="1">
      <c r="A7" s="25" t="s">
        <v>258</v>
      </c>
      <c r="B7" s="15" t="s">
        <v>251</v>
      </c>
      <c r="C7" s="29" t="s">
        <v>259</v>
      </c>
      <c r="D7" s="29" t="s">
        <v>260</v>
      </c>
      <c r="E7" s="19" t="s">
        <v>13</v>
      </c>
      <c r="F7" s="29" t="s">
        <v>49</v>
      </c>
      <c r="G7" s="29" t="s">
        <v>261</v>
      </c>
      <c r="H7" s="29" t="s">
        <v>262</v>
      </c>
      <c r="I7" s="29" t="s">
        <v>263</v>
      </c>
      <c r="J7" s="29" t="s">
        <v>264</v>
      </c>
      <c r="K7" s="49" t="s">
        <v>257</v>
      </c>
      <c r="L7" s="23" t="s">
        <v>42</v>
      </c>
      <c r="M7" s="29"/>
      <c r="N7" s="50"/>
    </row>
    <row r="8" ht="46.5" customHeight="1">
      <c r="A8" s="14" t="s">
        <v>265</v>
      </c>
      <c r="B8" s="15" t="s">
        <v>251</v>
      </c>
      <c r="C8" s="17" t="s">
        <v>266</v>
      </c>
      <c r="D8" s="17" t="s">
        <v>74</v>
      </c>
      <c r="E8" s="19" t="s">
        <v>13</v>
      </c>
      <c r="F8" s="17" t="s">
        <v>135</v>
      </c>
      <c r="G8" s="17" t="s">
        <v>267</v>
      </c>
      <c r="H8" s="17" t="s">
        <v>269</v>
      </c>
      <c r="I8" s="17" t="s">
        <v>271</v>
      </c>
      <c r="J8" s="17" t="s">
        <v>272</v>
      </c>
      <c r="K8" s="48" t="s">
        <v>257</v>
      </c>
      <c r="L8" s="23" t="s">
        <v>42</v>
      </c>
      <c r="M8" s="17"/>
      <c r="N8" s="17"/>
    </row>
    <row r="9" ht="46.5" customHeight="1">
      <c r="A9" s="25" t="s">
        <v>273</v>
      </c>
      <c r="B9" s="15" t="s">
        <v>251</v>
      </c>
      <c r="C9" s="29" t="s">
        <v>274</v>
      </c>
      <c r="D9" s="29" t="s">
        <v>260</v>
      </c>
      <c r="E9" s="19" t="s">
        <v>13</v>
      </c>
      <c r="F9" s="29" t="s">
        <v>275</v>
      </c>
      <c r="G9" s="29" t="s">
        <v>276</v>
      </c>
      <c r="H9" s="29" t="s">
        <v>277</v>
      </c>
      <c r="I9" s="29" t="s">
        <v>278</v>
      </c>
      <c r="J9" s="29" t="s">
        <v>279</v>
      </c>
      <c r="K9" s="49" t="s">
        <v>257</v>
      </c>
      <c r="L9" s="23" t="s">
        <v>47</v>
      </c>
      <c r="M9" s="29" t="s">
        <v>280</v>
      </c>
      <c r="N9" s="50" t="s">
        <v>281</v>
      </c>
    </row>
    <row r="10" ht="46.5" customHeight="1">
      <c r="A10" s="14" t="s">
        <v>282</v>
      </c>
      <c r="B10" s="15" t="s">
        <v>251</v>
      </c>
      <c r="C10" s="17" t="s">
        <v>283</v>
      </c>
      <c r="D10" s="17" t="s">
        <v>143</v>
      </c>
      <c r="E10" s="19" t="s">
        <v>13</v>
      </c>
      <c r="F10" s="17" t="s">
        <v>135</v>
      </c>
      <c r="G10" s="17" t="s">
        <v>284</v>
      </c>
      <c r="H10" s="17" t="s">
        <v>285</v>
      </c>
      <c r="I10" s="17" t="s">
        <v>286</v>
      </c>
      <c r="J10" s="17" t="s">
        <v>287</v>
      </c>
      <c r="K10" s="48" t="s">
        <v>257</v>
      </c>
      <c r="L10" s="23" t="s">
        <v>42</v>
      </c>
      <c r="M10" s="17"/>
      <c r="N10" s="17"/>
    </row>
    <row r="11" ht="46.5" customHeight="1">
      <c r="A11" s="25" t="s">
        <v>288</v>
      </c>
      <c r="B11" s="15" t="s">
        <v>251</v>
      </c>
      <c r="C11" s="29" t="s">
        <v>289</v>
      </c>
      <c r="D11" s="29" t="s">
        <v>95</v>
      </c>
      <c r="E11" s="19" t="s">
        <v>13</v>
      </c>
      <c r="F11" s="29" t="s">
        <v>98</v>
      </c>
      <c r="G11" s="29" t="s">
        <v>290</v>
      </c>
      <c r="H11" s="29" t="s">
        <v>291</v>
      </c>
      <c r="I11" s="29" t="s">
        <v>292</v>
      </c>
      <c r="J11" s="29" t="s">
        <v>293</v>
      </c>
      <c r="K11" s="49" t="s">
        <v>257</v>
      </c>
      <c r="L11" s="23" t="s">
        <v>42</v>
      </c>
      <c r="M11" s="29"/>
      <c r="N11" s="50"/>
    </row>
    <row r="12" ht="46.5" customHeight="1">
      <c r="A12" s="14" t="s">
        <v>294</v>
      </c>
      <c r="B12" s="15" t="s">
        <v>251</v>
      </c>
      <c r="C12" s="17" t="s">
        <v>252</v>
      </c>
      <c r="D12" s="17" t="s">
        <v>43</v>
      </c>
      <c r="E12" s="19" t="s">
        <v>13</v>
      </c>
      <c r="F12" s="17" t="s">
        <v>49</v>
      </c>
      <c r="G12" s="17" t="s">
        <v>295</v>
      </c>
      <c r="H12" s="17" t="s">
        <v>296</v>
      </c>
      <c r="I12" s="17" t="s">
        <v>297</v>
      </c>
      <c r="J12" s="17" t="s">
        <v>298</v>
      </c>
      <c r="K12" s="48" t="s">
        <v>257</v>
      </c>
      <c r="L12" s="23" t="s">
        <v>42</v>
      </c>
      <c r="M12" s="17"/>
      <c r="N12" s="17"/>
    </row>
    <row r="13" ht="15.0" customHeight="1">
      <c r="A13" s="43" t="s">
        <v>169</v>
      </c>
      <c r="B13" s="3"/>
      <c r="C13" s="3"/>
      <c r="D13" s="3"/>
      <c r="E13" s="3"/>
      <c r="F13" s="3"/>
      <c r="G13" s="3"/>
      <c r="H13" s="3"/>
      <c r="I13" s="3"/>
      <c r="J13" s="3"/>
      <c r="K13" s="3"/>
      <c r="L13" s="3"/>
      <c r="M13" s="3"/>
      <c r="N13" s="5"/>
    </row>
    <row r="14" ht="42.75" customHeight="1">
      <c r="A14" s="23" t="s">
        <v>173</v>
      </c>
      <c r="B14" s="23" t="s">
        <v>174</v>
      </c>
      <c r="C14" s="23" t="s">
        <v>177</v>
      </c>
      <c r="D14" s="23" t="s">
        <v>178</v>
      </c>
      <c r="E14" s="23" t="s">
        <v>27</v>
      </c>
      <c r="F14" s="23" t="s">
        <v>179</v>
      </c>
      <c r="G14" s="23" t="s">
        <v>181</v>
      </c>
      <c r="H14" s="23" t="s">
        <v>182</v>
      </c>
      <c r="I14" s="23" t="s">
        <v>184</v>
      </c>
      <c r="J14" s="23" t="s">
        <v>185</v>
      </c>
      <c r="K14" s="23" t="s">
        <v>60</v>
      </c>
      <c r="L14" s="23" t="s">
        <v>55</v>
      </c>
      <c r="M14" s="23"/>
      <c r="N14"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5:N5"/>
    <mergeCell ref="A13:N13"/>
  </mergeCells>
  <dataValidations>
    <dataValidation type="list" allowBlank="1" sqref="E6:E12 E14">
      <formula1>"P1,P2,P3"</formula1>
    </dataValidation>
    <dataValidation type="list" allowBlank="1" sqref="L6:L12 L14">
      <formula1>"Not Run,Pass,Fail,Blocked,Skip"</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6.0"/>
    <col customWidth="1" min="3" max="3" width="26.0"/>
    <col customWidth="1" min="4" max="4" width="12.0"/>
    <col customWidth="1" min="5" max="5" width="9.0"/>
    <col customWidth="1" min="6" max="6" width="20.0"/>
    <col customWidth="1" min="7" max="7" width="26.0"/>
    <col customWidth="1" min="8" max="8" width="32.0"/>
    <col customWidth="1" min="9" max="9" width="46.0"/>
    <col customWidth="1" min="10" max="10" width="42.0"/>
    <col customWidth="1" min="11" max="11" width="11.0"/>
    <col customWidth="1" min="12" max="13" width="10.0"/>
    <col customWidth="1" min="14" max="14" width="26.0"/>
    <col customWidth="1" min="15" max="26" width="8.71"/>
  </cols>
  <sheetData>
    <row r="1" ht="24.0" customHeight="1">
      <c r="A1" s="2" t="s">
        <v>304</v>
      </c>
      <c r="B1" s="3"/>
      <c r="C1" s="3"/>
      <c r="D1" s="3"/>
      <c r="E1" s="3"/>
      <c r="F1" s="3"/>
      <c r="G1" s="3"/>
      <c r="H1" s="3"/>
      <c r="I1" s="3"/>
      <c r="J1" s="3"/>
      <c r="K1" s="3"/>
      <c r="L1" s="3"/>
      <c r="M1" s="3"/>
      <c r="N1" s="5"/>
    </row>
    <row r="2" ht="15.0" customHeight="1">
      <c r="A2" s="7" t="s">
        <v>5</v>
      </c>
      <c r="B2" s="3"/>
      <c r="C2" s="3"/>
      <c r="D2" s="3"/>
      <c r="E2" s="3"/>
      <c r="F2" s="3"/>
      <c r="G2" s="3"/>
      <c r="H2" s="3"/>
      <c r="I2" s="3"/>
      <c r="J2" s="3"/>
      <c r="K2" s="3"/>
      <c r="L2" s="3"/>
      <c r="M2" s="3"/>
      <c r="N2" s="5"/>
    </row>
    <row r="4" ht="27.75" customHeight="1">
      <c r="A4" s="9" t="s">
        <v>7</v>
      </c>
      <c r="B4" s="9" t="s">
        <v>8</v>
      </c>
      <c r="C4" s="9" t="s">
        <v>10</v>
      </c>
      <c r="D4" s="9" t="s">
        <v>11</v>
      </c>
      <c r="E4" s="9" t="s">
        <v>12</v>
      </c>
      <c r="F4" s="9" t="s">
        <v>14</v>
      </c>
      <c r="G4" s="9" t="s">
        <v>16</v>
      </c>
      <c r="H4" s="9" t="s">
        <v>17</v>
      </c>
      <c r="I4" s="9" t="s">
        <v>19</v>
      </c>
      <c r="J4" s="9" t="s">
        <v>20</v>
      </c>
      <c r="K4" s="9" t="s">
        <v>22</v>
      </c>
      <c r="L4" s="9" t="s">
        <v>23</v>
      </c>
      <c r="M4" s="9" t="s">
        <v>25</v>
      </c>
      <c r="N4" s="9" t="s">
        <v>26</v>
      </c>
    </row>
    <row r="5" ht="18.0" customHeight="1">
      <c r="A5" s="13" t="s">
        <v>308</v>
      </c>
      <c r="B5" s="3"/>
      <c r="C5" s="3"/>
      <c r="D5" s="3"/>
      <c r="E5" s="3"/>
      <c r="F5" s="3"/>
      <c r="G5" s="3"/>
      <c r="H5" s="3"/>
      <c r="I5" s="3"/>
      <c r="J5" s="3"/>
      <c r="K5" s="3"/>
      <c r="L5" s="3"/>
      <c r="M5" s="3"/>
      <c r="N5" s="5"/>
    </row>
    <row r="6" ht="46.5" customHeight="1">
      <c r="A6" s="14" t="s">
        <v>299</v>
      </c>
      <c r="B6" s="15" t="s">
        <v>310</v>
      </c>
      <c r="C6" s="17" t="s">
        <v>302</v>
      </c>
      <c r="D6" s="17" t="s">
        <v>43</v>
      </c>
      <c r="E6" s="19" t="s">
        <v>13</v>
      </c>
      <c r="F6" s="17" t="s">
        <v>49</v>
      </c>
      <c r="G6" s="17" t="s">
        <v>312</v>
      </c>
      <c r="H6" s="17" t="s">
        <v>313</v>
      </c>
      <c r="I6" s="17" t="s">
        <v>314</v>
      </c>
      <c r="J6" s="17" t="s">
        <v>315</v>
      </c>
      <c r="K6" s="17" t="s">
        <v>60</v>
      </c>
      <c r="L6" s="51" t="s">
        <v>42</v>
      </c>
      <c r="M6" s="17"/>
      <c r="N6" s="17"/>
    </row>
    <row r="7" ht="46.5" customHeight="1">
      <c r="A7" s="25" t="s">
        <v>303</v>
      </c>
      <c r="B7" s="15" t="s">
        <v>310</v>
      </c>
      <c r="C7" s="29" t="s">
        <v>302</v>
      </c>
      <c r="D7" s="29" t="s">
        <v>43</v>
      </c>
      <c r="E7" s="19" t="s">
        <v>13</v>
      </c>
      <c r="F7" s="29" t="s">
        <v>49</v>
      </c>
      <c r="G7" s="29" t="s">
        <v>312</v>
      </c>
      <c r="H7" s="29" t="s">
        <v>321</v>
      </c>
      <c r="I7" s="29" t="s">
        <v>322</v>
      </c>
      <c r="J7" s="29" t="s">
        <v>323</v>
      </c>
      <c r="K7" s="49" t="s">
        <v>257</v>
      </c>
      <c r="L7" s="23" t="s">
        <v>42</v>
      </c>
      <c r="M7" s="29"/>
      <c r="N7" s="29"/>
    </row>
    <row r="8" ht="46.5" customHeight="1">
      <c r="A8" s="14" t="s">
        <v>305</v>
      </c>
      <c r="B8" s="15" t="s">
        <v>310</v>
      </c>
      <c r="C8" s="17" t="s">
        <v>302</v>
      </c>
      <c r="D8" s="17" t="s">
        <v>43</v>
      </c>
      <c r="E8" s="19" t="s">
        <v>27</v>
      </c>
      <c r="F8" s="17" t="s">
        <v>49</v>
      </c>
      <c r="G8" s="17" t="s">
        <v>324</v>
      </c>
      <c r="H8" s="17" t="s">
        <v>326</v>
      </c>
      <c r="I8" s="17" t="s">
        <v>327</v>
      </c>
      <c r="J8" s="17" t="s">
        <v>328</v>
      </c>
      <c r="K8" s="17" t="s">
        <v>257</v>
      </c>
      <c r="L8" s="23" t="s">
        <v>42</v>
      </c>
      <c r="M8" s="17"/>
      <c r="N8" s="17"/>
    </row>
    <row r="9" ht="46.5" customHeight="1">
      <c r="A9" s="25" t="s">
        <v>306</v>
      </c>
      <c r="B9" s="15" t="s">
        <v>310</v>
      </c>
      <c r="C9" s="29" t="s">
        <v>307</v>
      </c>
      <c r="D9" s="29" t="s">
        <v>43</v>
      </c>
      <c r="E9" s="19" t="s">
        <v>13</v>
      </c>
      <c r="F9" s="29" t="s">
        <v>49</v>
      </c>
      <c r="G9" s="29" t="s">
        <v>330</v>
      </c>
      <c r="H9" s="29" t="s">
        <v>331</v>
      </c>
      <c r="I9" s="29" t="s">
        <v>333</v>
      </c>
      <c r="J9" s="29" t="s">
        <v>334</v>
      </c>
      <c r="K9" s="49" t="s">
        <v>60</v>
      </c>
      <c r="L9" s="23" t="s">
        <v>42</v>
      </c>
      <c r="M9" s="29"/>
      <c r="N9" s="29"/>
    </row>
    <row r="10" ht="46.5" customHeight="1">
      <c r="A10" s="14" t="s">
        <v>309</v>
      </c>
      <c r="B10" s="15" t="s">
        <v>310</v>
      </c>
      <c r="C10" s="17" t="s">
        <v>311</v>
      </c>
      <c r="D10" s="17" t="s">
        <v>43</v>
      </c>
      <c r="E10" s="19" t="s">
        <v>13</v>
      </c>
      <c r="F10" s="17" t="s">
        <v>49</v>
      </c>
      <c r="G10" s="17" t="s">
        <v>330</v>
      </c>
      <c r="H10" s="17" t="s">
        <v>339</v>
      </c>
      <c r="I10" s="17" t="s">
        <v>341</v>
      </c>
      <c r="J10" s="17" t="s">
        <v>342</v>
      </c>
      <c r="K10" s="17" t="s">
        <v>257</v>
      </c>
      <c r="L10" s="23" t="s">
        <v>47</v>
      </c>
      <c r="M10" s="17" t="s">
        <v>343</v>
      </c>
      <c r="N10" s="17" t="s">
        <v>344</v>
      </c>
    </row>
    <row r="11" ht="15.0" customHeight="1">
      <c r="A11" s="43" t="s">
        <v>169</v>
      </c>
      <c r="B11" s="3"/>
      <c r="C11" s="3"/>
      <c r="D11" s="3"/>
      <c r="E11" s="3"/>
      <c r="F11" s="3"/>
      <c r="G11" s="3"/>
      <c r="H11" s="3"/>
      <c r="I11" s="3"/>
      <c r="J11" s="3"/>
      <c r="K11" s="3"/>
      <c r="L11" s="3"/>
      <c r="M11" s="3"/>
      <c r="N11" s="5"/>
    </row>
    <row r="12" ht="42.75" customHeight="1">
      <c r="A12" s="23" t="s">
        <v>173</v>
      </c>
      <c r="B12" s="23" t="s">
        <v>174</v>
      </c>
      <c r="C12" s="23" t="s">
        <v>177</v>
      </c>
      <c r="D12" s="23" t="s">
        <v>178</v>
      </c>
      <c r="E12" s="23" t="s">
        <v>27</v>
      </c>
      <c r="F12" s="23" t="s">
        <v>179</v>
      </c>
      <c r="G12" s="23" t="s">
        <v>181</v>
      </c>
      <c r="H12" s="23" t="s">
        <v>182</v>
      </c>
      <c r="I12" s="23" t="s">
        <v>184</v>
      </c>
      <c r="J12" s="23" t="s">
        <v>185</v>
      </c>
      <c r="K12" s="23" t="s">
        <v>60</v>
      </c>
      <c r="L12" s="23" t="s">
        <v>55</v>
      </c>
      <c r="M12" s="23"/>
      <c r="N12"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5:N5"/>
    <mergeCell ref="A11:N11"/>
  </mergeCells>
  <dataValidations>
    <dataValidation type="list" allowBlank="1" sqref="E6:E10 E12">
      <formula1>"P1,P2,P3"</formula1>
    </dataValidation>
    <dataValidation type="list" allowBlank="1" sqref="L6:L10 L12">
      <formula1>"Not Run,Pass,Fail,Blocked,Skip"</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6.0"/>
    <col customWidth="1" min="3" max="3" width="26.0"/>
    <col customWidth="1" min="4" max="4" width="12.0"/>
    <col customWidth="1" min="5" max="5" width="9.0"/>
    <col customWidth="1" min="6" max="6" width="20.0"/>
    <col customWidth="1" min="7" max="7" width="26.0"/>
    <col customWidth="1" min="8" max="8" width="32.0"/>
    <col customWidth="1" min="9" max="9" width="46.0"/>
    <col customWidth="1" min="10" max="10" width="42.0"/>
    <col customWidth="1" min="11" max="11" width="11.0"/>
    <col customWidth="1" min="12" max="13" width="10.0"/>
    <col customWidth="1" min="14" max="14" width="26.0"/>
    <col customWidth="1" min="15" max="26" width="8.71"/>
  </cols>
  <sheetData>
    <row r="1" ht="24.0" customHeight="1">
      <c r="A1" s="2" t="s">
        <v>366</v>
      </c>
      <c r="B1" s="3"/>
      <c r="C1" s="3"/>
      <c r="D1" s="3"/>
      <c r="E1" s="3"/>
      <c r="F1" s="3"/>
      <c r="G1" s="3"/>
      <c r="H1" s="3"/>
      <c r="I1" s="3"/>
      <c r="J1" s="3"/>
      <c r="K1" s="3"/>
      <c r="L1" s="3"/>
      <c r="M1" s="3"/>
      <c r="N1" s="5"/>
    </row>
    <row r="2" ht="15.0" customHeight="1">
      <c r="A2" s="7" t="s">
        <v>5</v>
      </c>
      <c r="B2" s="3"/>
      <c r="C2" s="3"/>
      <c r="D2" s="3"/>
      <c r="E2" s="3"/>
      <c r="F2" s="3"/>
      <c r="G2" s="3"/>
      <c r="H2" s="3"/>
      <c r="I2" s="3"/>
      <c r="J2" s="3"/>
      <c r="K2" s="3"/>
      <c r="L2" s="3"/>
      <c r="M2" s="3"/>
      <c r="N2" s="5"/>
    </row>
    <row r="4" ht="27.75" customHeight="1">
      <c r="A4" s="9" t="s">
        <v>7</v>
      </c>
      <c r="B4" s="9" t="s">
        <v>8</v>
      </c>
      <c r="C4" s="9" t="s">
        <v>10</v>
      </c>
      <c r="D4" s="9" t="s">
        <v>11</v>
      </c>
      <c r="E4" s="9" t="s">
        <v>12</v>
      </c>
      <c r="F4" s="9" t="s">
        <v>14</v>
      </c>
      <c r="G4" s="9" t="s">
        <v>16</v>
      </c>
      <c r="H4" s="9" t="s">
        <v>17</v>
      </c>
      <c r="I4" s="9" t="s">
        <v>19</v>
      </c>
      <c r="J4" s="9" t="s">
        <v>20</v>
      </c>
      <c r="K4" s="9" t="s">
        <v>22</v>
      </c>
      <c r="L4" s="9" t="s">
        <v>23</v>
      </c>
      <c r="M4" s="9" t="s">
        <v>25</v>
      </c>
      <c r="N4" s="9" t="s">
        <v>26</v>
      </c>
    </row>
    <row r="5" ht="18.0" customHeight="1">
      <c r="A5" s="13" t="s">
        <v>368</v>
      </c>
      <c r="B5" s="3"/>
      <c r="C5" s="3"/>
      <c r="D5" s="3"/>
      <c r="E5" s="3"/>
      <c r="F5" s="3"/>
      <c r="G5" s="3"/>
      <c r="H5" s="3"/>
      <c r="I5" s="3"/>
      <c r="J5" s="3"/>
      <c r="K5" s="3"/>
      <c r="L5" s="3"/>
      <c r="M5" s="3"/>
      <c r="N5" s="5"/>
    </row>
    <row r="6" ht="46.5" customHeight="1">
      <c r="A6" s="14" t="s">
        <v>316</v>
      </c>
      <c r="B6" s="15" t="s">
        <v>370</v>
      </c>
      <c r="C6" s="17" t="s">
        <v>319</v>
      </c>
      <c r="D6" s="17" t="s">
        <v>43</v>
      </c>
      <c r="E6" s="54" t="s">
        <v>27</v>
      </c>
      <c r="F6" s="17" t="s">
        <v>49</v>
      </c>
      <c r="G6" s="17" t="s">
        <v>371</v>
      </c>
      <c r="H6" s="17" t="s">
        <v>372</v>
      </c>
      <c r="I6" s="17" t="s">
        <v>373</v>
      </c>
      <c r="J6" s="17" t="s">
        <v>374</v>
      </c>
      <c r="K6" s="17" t="s">
        <v>60</v>
      </c>
      <c r="L6" s="23" t="s">
        <v>42</v>
      </c>
      <c r="M6" s="17"/>
      <c r="N6" s="17"/>
    </row>
    <row r="7" ht="45.75" customHeight="1">
      <c r="A7" s="25" t="s">
        <v>320</v>
      </c>
      <c r="B7" s="15" t="s">
        <v>370</v>
      </c>
      <c r="C7" s="29" t="s">
        <v>319</v>
      </c>
      <c r="D7" s="29" t="s">
        <v>133</v>
      </c>
      <c r="E7" s="56" t="s">
        <v>27</v>
      </c>
      <c r="F7" s="29" t="s">
        <v>135</v>
      </c>
      <c r="G7" s="29" t="s">
        <v>379</v>
      </c>
      <c r="H7" s="29" t="s">
        <v>380</v>
      </c>
      <c r="I7" s="29" t="s">
        <v>381</v>
      </c>
      <c r="J7" s="29" t="s">
        <v>382</v>
      </c>
      <c r="K7" s="29" t="s">
        <v>60</v>
      </c>
      <c r="L7" s="23" t="s">
        <v>42</v>
      </c>
      <c r="M7" s="29"/>
      <c r="N7" s="50"/>
    </row>
    <row r="8" ht="46.5" customHeight="1">
      <c r="A8" s="14" t="s">
        <v>325</v>
      </c>
      <c r="B8" s="15" t="s">
        <v>383</v>
      </c>
      <c r="C8" s="17" t="s">
        <v>329</v>
      </c>
      <c r="D8" s="17" t="s">
        <v>43</v>
      </c>
      <c r="E8" s="54" t="s">
        <v>27</v>
      </c>
      <c r="F8" s="17" t="s">
        <v>49</v>
      </c>
      <c r="G8" s="17" t="s">
        <v>388</v>
      </c>
      <c r="H8" s="17" t="s">
        <v>390</v>
      </c>
      <c r="I8" s="17" t="s">
        <v>391</v>
      </c>
      <c r="J8" s="17" t="s">
        <v>392</v>
      </c>
      <c r="K8" s="17" t="s">
        <v>60</v>
      </c>
      <c r="L8" s="23" t="s">
        <v>42</v>
      </c>
      <c r="M8" s="17"/>
      <c r="N8" s="17"/>
    </row>
    <row r="9" ht="45.75" customHeight="1">
      <c r="A9" s="25" t="s">
        <v>332</v>
      </c>
      <c r="B9" s="15" t="s">
        <v>393</v>
      </c>
      <c r="C9" s="29" t="s">
        <v>335</v>
      </c>
      <c r="D9" s="29" t="s">
        <v>43</v>
      </c>
      <c r="E9" s="56" t="s">
        <v>27</v>
      </c>
      <c r="F9" s="29" t="s">
        <v>49</v>
      </c>
      <c r="G9" s="29" t="s">
        <v>395</v>
      </c>
      <c r="H9" s="29" t="s">
        <v>398</v>
      </c>
      <c r="I9" s="29" t="s">
        <v>399</v>
      </c>
      <c r="J9" s="29" t="s">
        <v>401</v>
      </c>
      <c r="K9" s="29" t="s">
        <v>60</v>
      </c>
      <c r="L9" s="23" t="s">
        <v>42</v>
      </c>
      <c r="M9" s="29"/>
      <c r="N9" s="50"/>
    </row>
    <row r="10" ht="15.0" customHeight="1">
      <c r="A10" s="43" t="s">
        <v>169</v>
      </c>
      <c r="B10" s="3"/>
      <c r="C10" s="3"/>
      <c r="D10" s="3"/>
      <c r="E10" s="3"/>
      <c r="F10" s="3"/>
      <c r="G10" s="3"/>
      <c r="H10" s="3"/>
      <c r="I10" s="3"/>
      <c r="J10" s="3"/>
      <c r="K10" s="3"/>
      <c r="L10" s="3"/>
      <c r="M10" s="3"/>
      <c r="N10" s="5"/>
    </row>
    <row r="11" ht="42.75" customHeight="1">
      <c r="A11" s="23" t="s">
        <v>173</v>
      </c>
      <c r="B11" s="23" t="s">
        <v>174</v>
      </c>
      <c r="C11" s="23" t="s">
        <v>177</v>
      </c>
      <c r="D11" s="23" t="s">
        <v>178</v>
      </c>
      <c r="E11" s="23" t="s">
        <v>27</v>
      </c>
      <c r="F11" s="23" t="s">
        <v>179</v>
      </c>
      <c r="G11" s="23" t="s">
        <v>181</v>
      </c>
      <c r="H11" s="23" t="s">
        <v>182</v>
      </c>
      <c r="I11" s="23" t="s">
        <v>184</v>
      </c>
      <c r="J11" s="23" t="s">
        <v>185</v>
      </c>
      <c r="K11" s="23" t="s">
        <v>60</v>
      </c>
      <c r="L11" s="23" t="s">
        <v>55</v>
      </c>
      <c r="M11" s="23"/>
      <c r="N11"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5:N5"/>
    <mergeCell ref="A10:N10"/>
  </mergeCells>
  <dataValidations>
    <dataValidation type="list" allowBlank="1" sqref="E6:E9 E11">
      <formula1>"P1,P2,P3"</formula1>
    </dataValidation>
    <dataValidation type="list" allowBlank="1" sqref="L6:L9 L11">
      <formula1>"Not Run,Pass,Fail,Blocked,Skip"</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6.0"/>
    <col customWidth="1" min="3" max="3" width="26.0"/>
    <col customWidth="1" min="4" max="4" width="12.0"/>
    <col customWidth="1" min="5" max="5" width="9.0"/>
    <col customWidth="1" min="6" max="6" width="20.0"/>
    <col customWidth="1" min="7" max="7" width="26.0"/>
    <col customWidth="1" min="8" max="8" width="32.0"/>
    <col customWidth="1" min="9" max="9" width="46.0"/>
    <col customWidth="1" min="10" max="10" width="42.0"/>
    <col customWidth="1" min="11" max="11" width="11.0"/>
    <col customWidth="1" min="12" max="13" width="10.0"/>
    <col customWidth="1" min="14" max="14" width="30.0"/>
    <col customWidth="1" min="15" max="26" width="8.71"/>
  </cols>
  <sheetData>
    <row r="1" ht="24.0" customHeight="1">
      <c r="A1" s="2" t="s">
        <v>365</v>
      </c>
      <c r="B1" s="3"/>
      <c r="C1" s="3"/>
      <c r="D1" s="3"/>
      <c r="E1" s="3"/>
      <c r="F1" s="3"/>
      <c r="G1" s="3"/>
      <c r="H1" s="3"/>
      <c r="I1" s="3"/>
      <c r="J1" s="3"/>
      <c r="K1" s="3"/>
      <c r="L1" s="3"/>
      <c r="M1" s="3"/>
      <c r="N1" s="5"/>
    </row>
    <row r="2" ht="15.0" customHeight="1">
      <c r="A2" s="7" t="s">
        <v>367</v>
      </c>
      <c r="B2" s="3"/>
      <c r="C2" s="3"/>
      <c r="D2" s="3"/>
      <c r="E2" s="3"/>
      <c r="F2" s="3"/>
      <c r="G2" s="3"/>
      <c r="H2" s="3"/>
      <c r="I2" s="3"/>
      <c r="J2" s="3"/>
      <c r="K2" s="3"/>
      <c r="L2" s="3"/>
      <c r="M2" s="3"/>
      <c r="N2" s="5"/>
    </row>
    <row r="4" ht="27.75" customHeight="1">
      <c r="A4" s="24" t="s">
        <v>7</v>
      </c>
      <c r="B4" s="24" t="s">
        <v>8</v>
      </c>
      <c r="C4" s="24" t="s">
        <v>10</v>
      </c>
      <c r="D4" s="24" t="s">
        <v>11</v>
      </c>
      <c r="E4" s="24" t="s">
        <v>12</v>
      </c>
      <c r="F4" s="24" t="s">
        <v>14</v>
      </c>
      <c r="G4" s="24" t="s">
        <v>16</v>
      </c>
      <c r="H4" s="24" t="s">
        <v>17</v>
      </c>
      <c r="I4" s="24" t="s">
        <v>19</v>
      </c>
      <c r="J4" s="24" t="s">
        <v>20</v>
      </c>
      <c r="K4" s="24" t="s">
        <v>22</v>
      </c>
      <c r="L4" s="24" t="s">
        <v>23</v>
      </c>
      <c r="M4" s="24" t="s">
        <v>25</v>
      </c>
      <c r="N4" s="24" t="s">
        <v>26</v>
      </c>
    </row>
    <row r="5" ht="18.0" customHeight="1">
      <c r="A5" s="13" t="s">
        <v>369</v>
      </c>
      <c r="B5" s="3"/>
      <c r="C5" s="3"/>
      <c r="D5" s="3"/>
      <c r="E5" s="3"/>
      <c r="F5" s="3"/>
      <c r="G5" s="3"/>
      <c r="H5" s="3"/>
      <c r="I5" s="3"/>
      <c r="J5" s="3"/>
      <c r="K5" s="3"/>
      <c r="L5" s="3"/>
      <c r="M5" s="3"/>
      <c r="N5" s="5"/>
    </row>
    <row r="6" ht="85.5" customHeight="1">
      <c r="A6" s="52" t="s">
        <v>336</v>
      </c>
      <c r="B6" s="53" t="s">
        <v>35</v>
      </c>
      <c r="C6" s="55" t="s">
        <v>340</v>
      </c>
      <c r="D6" s="55" t="s">
        <v>260</v>
      </c>
      <c r="E6" s="30" t="s">
        <v>13</v>
      </c>
      <c r="F6" s="55" t="s">
        <v>275</v>
      </c>
      <c r="G6" s="55" t="s">
        <v>375</v>
      </c>
      <c r="H6" s="55" t="s">
        <v>376</v>
      </c>
      <c r="I6" s="55" t="s">
        <v>377</v>
      </c>
      <c r="J6" s="55" t="s">
        <v>378</v>
      </c>
      <c r="K6" s="55" t="s">
        <v>60</v>
      </c>
      <c r="L6" s="57" t="s">
        <v>42</v>
      </c>
      <c r="M6" s="55"/>
      <c r="N6" s="58"/>
    </row>
    <row r="7" ht="60.0" customHeight="1">
      <c r="A7" s="32" t="s">
        <v>345</v>
      </c>
      <c r="B7" s="53" t="s">
        <v>35</v>
      </c>
      <c r="C7" s="33" t="s">
        <v>346</v>
      </c>
      <c r="D7" s="33" t="s">
        <v>260</v>
      </c>
      <c r="E7" s="30" t="s">
        <v>13</v>
      </c>
      <c r="F7" s="33" t="s">
        <v>384</v>
      </c>
      <c r="G7" s="33" t="s">
        <v>385</v>
      </c>
      <c r="H7" s="33" t="s">
        <v>386</v>
      </c>
      <c r="I7" s="33" t="s">
        <v>387</v>
      </c>
      <c r="J7" s="33" t="s">
        <v>389</v>
      </c>
      <c r="K7" s="33" t="s">
        <v>60</v>
      </c>
      <c r="L7" s="57" t="s">
        <v>42</v>
      </c>
      <c r="M7" s="33"/>
      <c r="N7" s="59"/>
    </row>
    <row r="8" ht="85.5" customHeight="1">
      <c r="A8" s="52" t="s">
        <v>347</v>
      </c>
      <c r="B8" s="53" t="s">
        <v>251</v>
      </c>
      <c r="C8" s="55" t="s">
        <v>348</v>
      </c>
      <c r="D8" s="55" t="s">
        <v>260</v>
      </c>
      <c r="E8" s="30" t="s">
        <v>13</v>
      </c>
      <c r="F8" s="55" t="s">
        <v>275</v>
      </c>
      <c r="G8" s="55" t="s">
        <v>394</v>
      </c>
      <c r="H8" s="55" t="s">
        <v>396</v>
      </c>
      <c r="I8" s="55" t="s">
        <v>397</v>
      </c>
      <c r="J8" s="55" t="s">
        <v>400</v>
      </c>
      <c r="K8" s="55" t="s">
        <v>257</v>
      </c>
      <c r="L8" s="57" t="s">
        <v>42</v>
      </c>
      <c r="M8" s="55"/>
      <c r="N8" s="58"/>
    </row>
    <row r="9" ht="60.0" customHeight="1">
      <c r="A9" s="32" t="s">
        <v>349</v>
      </c>
      <c r="B9" s="53" t="s">
        <v>35</v>
      </c>
      <c r="C9" s="33" t="s">
        <v>350</v>
      </c>
      <c r="D9" s="33" t="s">
        <v>260</v>
      </c>
      <c r="E9" s="30" t="s">
        <v>27</v>
      </c>
      <c r="F9" s="33" t="s">
        <v>275</v>
      </c>
      <c r="G9" s="33" t="s">
        <v>402</v>
      </c>
      <c r="H9" s="33" t="s">
        <v>403</v>
      </c>
      <c r="I9" s="33" t="s">
        <v>404</v>
      </c>
      <c r="J9" s="33" t="s">
        <v>405</v>
      </c>
      <c r="K9" s="33" t="s">
        <v>60</v>
      </c>
      <c r="L9" s="57" t="s">
        <v>42</v>
      </c>
      <c r="M9" s="33"/>
      <c r="N9" s="59"/>
    </row>
    <row r="10" ht="18.0" customHeight="1">
      <c r="A10" s="13" t="s">
        <v>406</v>
      </c>
      <c r="B10" s="3"/>
      <c r="C10" s="3"/>
      <c r="D10" s="3"/>
      <c r="E10" s="3"/>
      <c r="F10" s="3"/>
      <c r="G10" s="3"/>
      <c r="H10" s="3"/>
      <c r="I10" s="3"/>
      <c r="J10" s="3"/>
      <c r="K10" s="3"/>
      <c r="L10" s="3"/>
      <c r="M10" s="3"/>
      <c r="N10" s="5"/>
    </row>
    <row r="11" ht="85.5" customHeight="1">
      <c r="A11" s="52" t="s">
        <v>351</v>
      </c>
      <c r="B11" s="53" t="s">
        <v>35</v>
      </c>
      <c r="C11" s="55" t="s">
        <v>353</v>
      </c>
      <c r="D11" s="55" t="s">
        <v>407</v>
      </c>
      <c r="E11" s="30" t="s">
        <v>13</v>
      </c>
      <c r="F11" s="55" t="s">
        <v>408</v>
      </c>
      <c r="G11" s="55" t="s">
        <v>409</v>
      </c>
      <c r="H11" s="55" t="s">
        <v>410</v>
      </c>
      <c r="I11" s="55" t="s">
        <v>411</v>
      </c>
      <c r="J11" s="55" t="s">
        <v>412</v>
      </c>
      <c r="K11" s="55" t="s">
        <v>60</v>
      </c>
      <c r="L11" s="57" t="s">
        <v>145</v>
      </c>
      <c r="M11" s="55" t="s">
        <v>413</v>
      </c>
      <c r="N11" s="58" t="s">
        <v>414</v>
      </c>
    </row>
    <row r="12" ht="60.0" customHeight="1">
      <c r="A12" s="32" t="s">
        <v>354</v>
      </c>
      <c r="B12" s="53" t="s">
        <v>251</v>
      </c>
      <c r="C12" s="33" t="s">
        <v>355</v>
      </c>
      <c r="D12" s="33" t="s">
        <v>407</v>
      </c>
      <c r="E12" s="30" t="s">
        <v>13</v>
      </c>
      <c r="F12" s="33" t="s">
        <v>135</v>
      </c>
      <c r="G12" s="33" t="s">
        <v>409</v>
      </c>
      <c r="H12" s="33" t="s">
        <v>415</v>
      </c>
      <c r="I12" s="33" t="s">
        <v>416</v>
      </c>
      <c r="J12" s="33" t="s">
        <v>417</v>
      </c>
      <c r="K12" s="33" t="s">
        <v>257</v>
      </c>
      <c r="L12" s="57" t="s">
        <v>42</v>
      </c>
      <c r="M12" s="33"/>
      <c r="N12" s="59"/>
    </row>
    <row r="13" ht="85.5" customHeight="1">
      <c r="A13" s="52" t="s">
        <v>356</v>
      </c>
      <c r="B13" s="53" t="s">
        <v>35</v>
      </c>
      <c r="C13" s="55" t="s">
        <v>357</v>
      </c>
      <c r="D13" s="55" t="s">
        <v>407</v>
      </c>
      <c r="E13" s="30" t="s">
        <v>13</v>
      </c>
      <c r="F13" s="55" t="s">
        <v>167</v>
      </c>
      <c r="G13" s="55" t="s">
        <v>418</v>
      </c>
      <c r="H13" s="55" t="s">
        <v>419</v>
      </c>
      <c r="I13" s="55" t="s">
        <v>420</v>
      </c>
      <c r="J13" s="55" t="s">
        <v>421</v>
      </c>
      <c r="K13" s="55" t="s">
        <v>257</v>
      </c>
      <c r="L13" s="57" t="s">
        <v>42</v>
      </c>
      <c r="M13" s="55"/>
      <c r="N13" s="58"/>
    </row>
    <row r="14" ht="60.0" customHeight="1">
      <c r="A14" s="32" t="s">
        <v>358</v>
      </c>
      <c r="B14" s="53" t="s">
        <v>35</v>
      </c>
      <c r="C14" s="33" t="s">
        <v>359</v>
      </c>
      <c r="D14" s="33" t="s">
        <v>407</v>
      </c>
      <c r="E14" s="30" t="s">
        <v>27</v>
      </c>
      <c r="F14" s="33" t="s">
        <v>135</v>
      </c>
      <c r="G14" s="33" t="s">
        <v>418</v>
      </c>
      <c r="H14" s="33" t="s">
        <v>422</v>
      </c>
      <c r="I14" s="33" t="s">
        <v>423</v>
      </c>
      <c r="J14" s="33" t="s">
        <v>424</v>
      </c>
      <c r="K14" s="33" t="s">
        <v>257</v>
      </c>
      <c r="L14" s="57" t="s">
        <v>145</v>
      </c>
      <c r="M14" s="33" t="s">
        <v>231</v>
      </c>
      <c r="N14" s="59" t="s">
        <v>425</v>
      </c>
    </row>
    <row r="15" ht="85.5" customHeight="1">
      <c r="A15" s="52" t="s">
        <v>360</v>
      </c>
      <c r="B15" s="53" t="s">
        <v>35</v>
      </c>
      <c r="C15" s="55" t="s">
        <v>361</v>
      </c>
      <c r="D15" s="55" t="s">
        <v>407</v>
      </c>
      <c r="E15" s="30" t="s">
        <v>27</v>
      </c>
      <c r="F15" s="55" t="s">
        <v>426</v>
      </c>
      <c r="G15" s="55" t="s">
        <v>427</v>
      </c>
      <c r="H15" s="55" t="s">
        <v>428</v>
      </c>
      <c r="I15" s="55" t="s">
        <v>429</v>
      </c>
      <c r="J15" s="55" t="s">
        <v>430</v>
      </c>
      <c r="K15" s="55" t="s">
        <v>60</v>
      </c>
      <c r="L15" s="57" t="s">
        <v>145</v>
      </c>
      <c r="M15" s="55" t="s">
        <v>231</v>
      </c>
      <c r="N15" s="58" t="s">
        <v>431</v>
      </c>
    </row>
    <row r="16" ht="60.0" customHeight="1">
      <c r="A16" s="32" t="s">
        <v>362</v>
      </c>
      <c r="B16" s="53" t="s">
        <v>35</v>
      </c>
      <c r="C16" s="33" t="s">
        <v>199</v>
      </c>
      <c r="D16" s="33" t="s">
        <v>193</v>
      </c>
      <c r="E16" s="30" t="s">
        <v>13</v>
      </c>
      <c r="F16" s="33" t="s">
        <v>432</v>
      </c>
      <c r="G16" s="33" t="s">
        <v>433</v>
      </c>
      <c r="H16" s="33" t="s">
        <v>434</v>
      </c>
      <c r="I16" s="33" t="s">
        <v>435</v>
      </c>
      <c r="J16" s="33" t="s">
        <v>436</v>
      </c>
      <c r="K16" s="33" t="s">
        <v>60</v>
      </c>
      <c r="L16" s="57" t="s">
        <v>145</v>
      </c>
      <c r="M16" s="33" t="s">
        <v>413</v>
      </c>
      <c r="N16" s="59" t="s">
        <v>437</v>
      </c>
    </row>
    <row r="17" ht="85.5" customHeight="1">
      <c r="A17" s="52" t="s">
        <v>363</v>
      </c>
      <c r="B17" s="53" t="s">
        <v>35</v>
      </c>
      <c r="C17" s="55" t="s">
        <v>364</v>
      </c>
      <c r="D17" s="55" t="s">
        <v>193</v>
      </c>
      <c r="E17" s="30" t="s">
        <v>13</v>
      </c>
      <c r="F17" s="55" t="s">
        <v>135</v>
      </c>
      <c r="G17" s="55" t="s">
        <v>438</v>
      </c>
      <c r="H17" s="55" t="s">
        <v>439</v>
      </c>
      <c r="I17" s="55" t="s">
        <v>440</v>
      </c>
      <c r="J17" s="55" t="s">
        <v>441</v>
      </c>
      <c r="K17" s="55" t="s">
        <v>60</v>
      </c>
      <c r="L17" s="57" t="s">
        <v>42</v>
      </c>
      <c r="M17" s="55"/>
      <c r="N17"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5:N5"/>
    <mergeCell ref="A10:N10"/>
  </mergeCells>
  <dataValidations>
    <dataValidation type="list" allowBlank="1" sqref="E6:E9 E11:E17">
      <formula1>"P1,P2,P3"</formula1>
    </dataValidation>
    <dataValidation type="list" allowBlank="1" sqref="L6:L9 L11:L17">
      <formula1>"Not Run,Pass,Fail,Blocked,Skip,N/A"</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2026-05-24T04:21:43Z</dcterms:created>
  <dc:creator>openpyxl</dc:creator>
</cp:coreProperties>
</file>