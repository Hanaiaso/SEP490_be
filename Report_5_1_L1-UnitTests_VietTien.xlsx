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duction" sheetId="1" r:id="rId4"/>
    <sheet state="visible" name="TestCase List" sheetId="2" r:id="rId5"/>
    <sheet state="visible" name="AuthService" sheetId="3" r:id="rId6"/>
    <sheet state="visible" name="CartService" sheetId="4" r:id="rId7"/>
    <sheet state="visible" name="ProductService" sheetId="5" r:id="rId8"/>
    <sheet state="visible" name="OrderService" sheetId="6" r:id="rId9"/>
    <sheet state="visible" name="QuotationService" sheetId="7" r:id="rId10"/>
    <sheet state="visible" name="ManualPaymentService" sheetId="8" r:id="rId11"/>
    <sheet state="visible" name="WarehouseService" sheetId="9" r:id="rId12"/>
    <sheet state="visible" name="PurchaseOrderService" sheetId="10" r:id="rId13"/>
    <sheet state="visible" name="GoodsReceiptService" sheetId="11" r:id="rId14"/>
    <sheet state="visible" name="SalesAllocationService" sheetId="12" r:id="rId15"/>
    <sheet state="visible" name="JwtService" sheetId="13" r:id="rId16"/>
    <sheet state="visible" name="AddressService" sheetId="14" r:id="rId17"/>
    <sheet state="visible" name="UserProfileService" sheetId="15" r:id="rId18"/>
    <sheet state="visible" name="SupplierService" sheetId="16" r:id="rId19"/>
    <sheet state="visible" name="InventoryService" sheetId="17" r:id="rId20"/>
    <sheet state="visible" name="GoodsIssueService" sheetId="18" r:id="rId21"/>
    <sheet state="visible" name="StockTransferService" sheetId="19" r:id="rId22"/>
    <sheet state="visible" name="WarehouseManagementService" sheetId="20" r:id="rId23"/>
    <sheet state="visible" name="MaterialService" sheetId="21" r:id="rId24"/>
    <sheet state="visible" name="SalesChangeRequestService" sheetId="22" r:id="rId25"/>
    <sheet state="visible" name="NotificationService" sheetId="23" r:id="rId26"/>
    <sheet state="visible" name="FE-Services" sheetId="24" r:id="rId27"/>
    <sheet state="visible" name="FE-Contexts" sheetId="25" r:id="rId28"/>
    <sheet state="visible" name="FE-Components" sheetId="26" r:id="rId29"/>
    <sheet state="visible" name="InventoryReservationService" sheetId="27" r:id="rId30"/>
    <sheet state="visible" name="DiscountTierService" sheetId="28" r:id="rId31"/>
    <sheet state="visible" name="SystemConfigService" sheetId="29" r:id="rId32"/>
    <sheet state="visible" name="AdminUserService" sheetId="30" r:id="rId33"/>
    <sheet state="visible" name="VehicleService" sheetId="31" r:id="rId34"/>
    <sheet state="visible" name="WebhookLogService" sheetId="32" r:id="rId35"/>
    <sheet state="visible" name="AuditLogService" sheetId="33" r:id="rId36"/>
    <sheet state="visible" name="MarketingPostService" sheetId="34" r:id="rId37"/>
    <sheet state="visible" name="DashboardKpiServices" sheetId="35" r:id="rId38"/>
    <sheet state="visible" name="JobRunService" sheetId="36" r:id="rId39"/>
    <sheet state="visible" name="ScheduledJobs" sheetId="37" r:id="rId40"/>
    <sheet state="visible" name="ExternalIntegrations" sheetId="38" r:id="rId41"/>
    <sheet state="visible" name="RegressionFixes" sheetId="39" r:id="rId42"/>
    <sheet state="visible" name="Coverage Appendix" sheetId="40" r:id="rId43"/>
  </sheets>
  <definedNames/>
  <calcPr/>
  <extLst>
    <ext uri="GoogleSheetsCustomDataVersion2">
      <go:sheetsCustomData xmlns:go="http://customooxmlschemas.google.com/" r:id="rId44" roundtripDataChecksum="zpMoDT9uHd+uYG+3XSruTG6s7AUrVPcNNo3C9KKUwAM="/>
    </ext>
  </extLst>
</workbook>
</file>

<file path=xl/sharedStrings.xml><?xml version="1.0" encoding="utf-8"?>
<sst xmlns="http://schemas.openxmlformats.org/spreadsheetml/2006/main" count="10490" uniqueCount="3417">
  <si>
    <t>CartService  |  methods: GetCartAsync, AddItemToCartAsync, UpdateCartItemAsync, RemoveItemFromCartAsync, ClearCartAsync  |  EF Core InMemory (service injects ApplicationDbContext)</t>
  </si>
  <si>
    <t>AuthService  |  methods: RegisterAsync, VerifyOtpAsync, LoginAsync, LoginWithGoogleAsync, ForgotPasswordAsync, ResetPasswordAsync, RefreshTokenAsync, LogoutAsync, VerifyPhoneOtpAsync  |  Mock: IUnitOfWork, IJwtService, IEmailService, ISmsService, ISalesAllocationService</t>
  </si>
  <si>
    <t>Level 1 — Unit Test  |  Test Case Specification Template</t>
  </si>
  <si>
    <t>TestCase List  |  L1 Unit Test index — 390 test case truy vết SRS  |  v3.1</t>
  </si>
  <si>
    <t>xUnit + Moq + FluentAssertions + Coverlet (backend .NET 8)  ·  Vitest + React Testing Library + MSW (frontend TypeScript)  ·  EF Core InMemory cho service inject ApplicationDbContext  ·  Mock IClock/ITimeProvider cho mọi test phụ thuộc thời gian</t>
  </si>
  <si>
    <t>Total test cases</t>
  </si>
  <si>
    <t>🎯  Purpose — What does this test level verify?</t>
  </si>
  <si>
    <t>HOW TO USE:  (1) Đọc Introduction  (2) Trace theo SRS v2 (Part 3 + RTW Sheet 3/6/7)  (3) Cập nhật Status sau mỗi lần chạy dotnet test / vitest  (4) Ghi Defect ID khi Fail</t>
  </si>
  <si>
    <t>Verify that a single method or function produces the correct output for a given input — in complete isolation from all external dependencies.
Key question: 'Does this method's logic work correctly?'</t>
  </si>
  <si>
    <t>✅  In Scope</t>
  </si>
  <si>
    <t>Test ID</t>
  </si>
  <si>
    <t>• One class under test per sheet
• One method per block within the sheet
• All dependencies (DB, queue, external APIs) replaced by mocks
• Domain logic: state machine transitions, business rule enforcement, boundary value validation, error handling paths</t>
  </si>
  <si>
    <t>Coverage Technique</t>
  </si>
  <si>
    <t>❌  Out of Scope</t>
  </si>
  <si>
    <t>Covers (Decision/Condition)</t>
  </si>
  <si>
    <t>P1</t>
  </si>
  <si>
    <t>SRS Reference</t>
  </si>
  <si>
    <t>Priority</t>
  </si>
  <si>
    <t>• Database read/write (→ L2)
• Message broker events (→ L2)
• HTTP layer and API contracts (→ L3)
• Browser UI rendering (→ L4)
• Integration between two real components (→ L2)</t>
  </si>
  <si>
    <t>Given (Precondition / Mock Setup)</t>
  </si>
  <si>
    <t>When (Input / Act)</t>
  </si>
  <si>
    <t>Then (Expected Output / Assert)</t>
  </si>
  <si>
    <t>🔬  Coverage Techniques</t>
  </si>
  <si>
    <t>Negative?</t>
  </si>
  <si>
    <t>Status</t>
  </si>
  <si>
    <t>P2</t>
  </si>
  <si>
    <t>Defect ID</t>
  </si>
  <si>
    <t>Notes</t>
  </si>
  <si>
    <t>Branch Coverage (BC): Every if/switch/ternary must be tested TRUE and FALSE.
  → Minimum: one test per branch direction.
Condition Coverage (CC): For compound conditions (A &amp;&amp; B), each sub-condition must be tested TRUE and FALSE independently.
  → Use when method contains &amp;&amp;  or  || operators.
Equivalence Partitioning (EP): Divide input domain into groups the system treats identically. Test one representative value per group.
  → Groups: valid range / below minimum / above maximum / null / wrong type.
Boundary Value Analysis (BVA): Test at the exact edges of each partition.
  → Test points: min, min-1, max, max+1, and the default value.
State Transition: Each valid transition (source state + event → target state) and each invalid transition (must throw exception) gets its own test.</t>
  </si>
  <si>
    <t>Fix Status</t>
  </si>
  <si>
    <t xml:space="preserve">  ▶  Block: RegisterAsync()  |  FT-01 SB-2 (account creation for cart flow); NFR-SEC03</t>
  </si>
  <si>
    <t>🛠️  Primary Tool</t>
  </si>
  <si>
    <t>P3</t>
  </si>
  <si>
    <t>📋  Column Definitions — How to fill each column</t>
  </si>
  <si>
    <t xml:space="preserve">  ▶  Block: GetCartAsync()  |  FT-01 AC-02/AC-03, BV-01, BR-03</t>
  </si>
  <si>
    <t>Negative tests</t>
  </si>
  <si>
    <t>L1-AUTH-01</t>
  </si>
  <si>
    <t>Format: L1-[ClassName abbr]-[NN]
Example: L1-SM-01, L1-BR-03, L1-BV-06
Numbering resets per block.</t>
  </si>
  <si>
    <t>EP-Invalid</t>
  </si>
  <si>
    <t>L1-CART-01</t>
  </si>
  <si>
    <t>Email already exists -&gt; registration rejected</t>
  </si>
  <si>
    <t>Pass</t>
  </si>
  <si>
    <t>EP-Valid</t>
  </si>
  <si>
    <t>FT-01 NAC-01; BR-023</t>
  </si>
  <si>
    <t>Existing cart -&gt; items and quantities restored from DB</t>
  </si>
  <si>
    <t>FT-01 AC-05; BR-025</t>
  </si>
  <si>
    <t>Fail</t>
  </si>
  <si>
    <t>Which technique generated this test case.
Values: BC-TRUE, BC-FALSE, CC, EP-Valid, EP-Invalid, BVA-Min, BVA-Max, BVA-Min-1, BVA-Max+1, State-Valid, State-Invalid, Guard-TRUE, Guard-FALSE</t>
  </si>
  <si>
    <t>Mock: userRepo.EmailExistsAsync('a@x.com') -&gt; true</t>
  </si>
  <si>
    <t>InMemory DB: cart with 2 items (qty 3 and 5) for user U1</t>
  </si>
  <si>
    <t>authService.RegisterAsync(dto{email='a@x.com'})</t>
  </si>
  <si>
    <t>cartService.GetCartAsync(U1)</t>
  </si>
  <si>
    <t>Returns CartDto with 2 items; quantities 3 and 5 preserved
No exception</t>
  </si>
  <si>
    <t>Success = false; Message indicates email in use
userRepo.AddAsync() NEVER called
emailService.SendOtpEmailAsync() NEVER called</t>
  </si>
  <si>
    <t>Not Run</t>
  </si>
  <si>
    <t>No</t>
  </si>
  <si>
    <t>Yes</t>
  </si>
  <si>
    <t>The specific branch, condition, or partition this test exercises.
Example: 'webhookSignatureValid = FALSE'
Example: 'quantity partition: above maximum (&gt; 10)'
Example: 'transition: Processing + DEFECT_REPORTED → ManualReview'</t>
  </si>
  <si>
    <t>The SRS element this test traces to.
Format: AC-xx | NAC-xx | BV-xx | DC-xx | BR-xx
Example: BR-04, BV-02a, DC-02, NAC-03c</t>
  </si>
  <si>
    <t>✅ Pass (không đổi)</t>
  </si>
  <si>
    <t>Class (Sheet)</t>
  </si>
  <si>
    <t>L1-AUTH-02</t>
  </si>
  <si>
    <t>Method / Block</t>
  </si>
  <si>
    <t>L1-CART-02</t>
  </si>
  <si>
    <t>P1 Critical — must pass before release
P2 High — should pass
P3 Medium — nice to have</t>
  </si>
  <si>
    <t>Valid registration -&gt; user created, OTP email sent, password hashed</t>
  </si>
  <si>
    <t>User without cart -&gt; empty cart returned (no exception)</t>
  </si>
  <si>
    <t>Status (live link)</t>
  </si>
  <si>
    <t>FT-01 AC-02; BR-023; NFR-SEC02</t>
  </si>
  <si>
    <t>FT-01 AC-05</t>
  </si>
  <si>
    <t>Defect ID (live link)</t>
  </si>
  <si>
    <t>System state before the method is called.
List each mock explicitly:
  _repoMock.Setup(r =&gt; r.FindById("X")).Returns(order)
  _svcMock.Setup(s =&gt; s.Check()).Returns(true)</t>
  </si>
  <si>
    <t>Mock: EmailExistsAsync -&gt; false; PhoneExistsAsync -&gt; false</t>
  </si>
  <si>
    <t>authService.RegisterAsync(validDto{password='P@ss123'})</t>
  </si>
  <si>
    <t>Fix Status (live link)</t>
  </si>
  <si>
    <t>Success = true
userRepo.AddAsync() called once; saved PasswordHash != 'P@ss123' (BCrypt)
emailService.SendOtpEmailAsync() called once with correct email</t>
  </si>
  <si>
    <t>InMemory DB: no cart for user U2</t>
  </si>
  <si>
    <t>The exact method call being tested.
Format: methodName(param1, param2)
Include parameter values explicitly.
For [Theory]+[InlineData]: list all input rows.</t>
  </si>
  <si>
    <t>cartService.GetCartAsync(U2)</t>
  </si>
  <si>
    <t>Returns empty CartDto (Items.Count = 0)
Does not throw</t>
  </si>
  <si>
    <t>AuthService</t>
  </si>
  <si>
    <t>RegisterAsync()</t>
  </si>
  <si>
    <t>What must be true after the call.
Cover ALL of:
  • Return value or exception thrown
  • Mock interactions verified (called / never called)
  • Side effects (state changes, events published)
  • For exceptions: message content</t>
  </si>
  <si>
    <t>L1-AUTH-03</t>
  </si>
  <si>
    <t>Phone number already exists -&gt; rejected</t>
  </si>
  <si>
    <t>Yes = test expects an exception or rejection.
No  = test expects success.</t>
  </si>
  <si>
    <t>L1-CART-03</t>
  </si>
  <si>
    <t>BVA-Max</t>
  </si>
  <si>
    <t>Cart idle exactly 24h00m -&gt; flagged Price Expired</t>
  </si>
  <si>
    <t>FT-01 BV-01; NAC-03; BR-025</t>
  </si>
  <si>
    <t>Not Run / Pass / Fail / Blocked / Skip
Dropdown — updated after each test run.</t>
  </si>
  <si>
    <t>Mock: EmailExistsAsync -&gt; false; PhoneExistsAsync('0912345678') -&gt; true</t>
  </si>
  <si>
    <t>authService.RegisterAsync(dto{phone='0912345678'})</t>
  </si>
  <si>
    <t>Cart.PriceLockedAt = NOW - 24h00m exactly (mock time source)</t>
  </si>
  <si>
    <t>Success = false
userRepo.AddAsync() NEVER called</t>
  </si>
  <si>
    <t>CartDto.IsPriceExpired = true
Prompt flag present for FE to force price review</t>
  </si>
  <si>
    <t>Issue tracker reference when Status = Fail.
Example: GH-142</t>
  </si>
  <si>
    <t>Optional: test data file, known limitation, or why this case was added.</t>
  </si>
  <si>
    <t xml:space="preserve">  ▶  Block: VerifyOtpAsync()</t>
  </si>
  <si>
    <t>L1-CART-04</t>
  </si>
  <si>
    <t>📝  How to Fill — Step by step</t>
  </si>
  <si>
    <t>BVA-Max-1</t>
  </si>
  <si>
    <t>Cart idle 23h59m -&gt; prices still locked, not expired</t>
  </si>
  <si>
    <t>FT-01 BV-01; BR-025</t>
  </si>
  <si>
    <t>L1-AUTH-04</t>
  </si>
  <si>
    <t>Cart.PriceLockedAt = NOW - 23h59m</t>
  </si>
  <si>
    <t>1. Identify the CLASS under test → create one sheet per class.</t>
  </si>
  <si>
    <t>Wrong OTP code -&gt; verification rejected</t>
  </si>
  <si>
    <t>CartDto.IsPriceExpired = false
Unit prices = original snapshot (unchanged)</t>
  </si>
  <si>
    <t>FT-01 NAC-02; BV-02; BR-024</t>
  </si>
  <si>
    <t>User exists with stored OTP '123456' (not expired)</t>
  </si>
  <si>
    <t>authService.VerifyOtpAsync(dto{otp='999999'})</t>
  </si>
  <si>
    <t>Success = false
User.IsVerified remains false; no state change saved</t>
  </si>
  <si>
    <t xml:space="preserve">  ▶  Block: AddItemToCartAsync()</t>
  </si>
  <si>
    <t>2. Identify each METHOD in the class → create one block per method within the sheet.</t>
  </si>
  <si>
    <t>3. For each method, list all decision points (if/switch/ternary) → write BC-TRUE and BC-FALSE test for each.</t>
  </si>
  <si>
    <t>L1-AUTH-05</t>
  </si>
  <si>
    <t>L1-CART-05</t>
  </si>
  <si>
    <t>4. Check for compound conditions (&amp;&amp;, ||) → add CC tests for each sub-condition.</t>
  </si>
  <si>
    <t>Expired OTP -&gt; verification rejected</t>
  </si>
  <si>
    <t>Add new product -&gt; line item created with price snapshot</t>
  </si>
  <si>
    <t>5. Identify numeric parameters → apply BVA: test min, min-1, max, max+1, default.</t>
  </si>
  <si>
    <t>FT-01 AC-05; FT-02 AC-02; BR-005</t>
  </si>
  <si>
    <t>User exists; OTP created beyond configured expiry (mock IClock/time source)</t>
  </si>
  <si>
    <t>6. Identify categorical parameters (enum, status) → apply EP: one test per partition.</t>
  </si>
  <si>
    <t>InMemory DB: product P1 (Active, price 50,000); empty cart</t>
  </si>
  <si>
    <t>authService.VerifyOtpAsync(dto{otp='123456'})</t>
  </si>
  <si>
    <t>cartService.AddItemToCartAsync(U1, {P1, qty=2})</t>
  </si>
  <si>
    <t>Success = false; Message indicates expiry
User.IsVerified remains false</t>
  </si>
  <si>
    <t>Cart has 1 item: ProductId=P1, Quantity=2, UnitPrice snapshot = 50,000</t>
  </si>
  <si>
    <t>7. For state machine methods → one test per row in SRS Part 4.4 state transition table.</t>
  </si>
  <si>
    <t>8. For every NAC-xx in SRS → write a Negative test (Negative? = Yes).</t>
  </si>
  <si>
    <t>L1-CART-06</t>
  </si>
  <si>
    <t>L1-AUTH-06</t>
  </si>
  <si>
    <t>9. Fill Coverage Technique and Covers columns to make coverage traceable.</t>
  </si>
  <si>
    <t>Correct OTP within window -&gt; account verified</t>
  </si>
  <si>
    <t>Add product already in cart -&gt; quantity accumulated, no duplicate line</t>
  </si>
  <si>
    <t>10. Run tests → update Status column → add Defect ID if Fail.</t>
  </si>
  <si>
    <t>FT-01 AC-04; BV-02; BR-024</t>
  </si>
  <si>
    <t>Cart already contains P1 qty=2</t>
  </si>
  <si>
    <t>User exists with valid stored OTP '123456'</t>
  </si>
  <si>
    <t>🎨  Priority &amp; Status Legend</t>
  </si>
  <si>
    <t>cartService.AddItemToCartAsync(U1, {P1, qty=3})</t>
  </si>
  <si>
    <t>Cart still has exactly 1 line for P1; Quantity = 5</t>
  </si>
  <si>
    <t>Success = true
User.IsVerified = true; unitOfWork.SaveChangesAsync() called</t>
  </si>
  <si>
    <t>VerifyOtpAsync()</t>
  </si>
  <si>
    <t>P1 — Critical</t>
  </si>
  <si>
    <t>Must pass before any release. Blocking.</t>
  </si>
  <si>
    <t>L1-CART-07</t>
  </si>
  <si>
    <t xml:space="preserve">  ▶  Block: LoginAsync()  |  NFR-SEC03, NFR-SEC04</t>
  </si>
  <si>
    <t>Quantity &lt;= 0 -&gt; rejected</t>
  </si>
  <si>
    <t>P2 — High</t>
  </si>
  <si>
    <t>Should pass. Non-blocking but important.</t>
  </si>
  <si>
    <t>Product P1 active</t>
  </si>
  <si>
    <t>cartService.AddItemToCartAsync(U1, {P1, qty=0})</t>
  </si>
  <si>
    <t>P3 — Medium</t>
  </si>
  <si>
    <t>L1-AUTH-07</t>
  </si>
  <si>
    <t>Throws validation exception / rejects
No cart item persisted</t>
  </si>
  <si>
    <t>Nice to have in this cycle.</t>
  </si>
  <si>
    <t>Valid credentials -&gt; tokens issued</t>
  </si>
  <si>
    <t>NFR-SEC02; NFR-SEC03</t>
  </si>
  <si>
    <t>Mock: GetByEmailAsync -&gt; verified user (BCrypt hash of 'P@ss123')
jwtService.GenerateAccessToken -&gt; 'jwt'; GenerateRefreshToken -&gt; 'rt'</t>
  </si>
  <si>
    <t>authService.LoginAsync(dto{email, password='P@ss123'})</t>
  </si>
  <si>
    <t>L1-CART-08</t>
  </si>
  <si>
    <t>Success = true; Data.AccessToken = 'jwt'; Data.RefreshToken = 'rt'
jwtService.GenerateAccessToken(user) called once
Refresh token persisted on user record</t>
  </si>
  <si>
    <t>Discontinued product -&gt; cannot be added</t>
  </si>
  <si>
    <t>FT-01 NAC-04; BR-047</t>
  </si>
  <si>
    <t>Blocked</t>
  </si>
  <si>
    <t>Product P2 status = Discontinued</t>
  </si>
  <si>
    <t>cartService.AddItemToCartAsync(U1, {P2, qty=1})</t>
  </si>
  <si>
    <t>Rejected with error; no cart item persisted</t>
  </si>
  <si>
    <t>L1-AUTH-08</t>
  </si>
  <si>
    <t>Skip</t>
  </si>
  <si>
    <t>Wrong password -&gt; login rejected, no token</t>
  </si>
  <si>
    <t>NFR-SEC02</t>
  </si>
  <si>
    <t>Mock: GetByEmailAsync -&gt; user with hash of 'P@ss123'</t>
  </si>
  <si>
    <t>authService.LoginAsync(dto{password='WRONG'})</t>
  </si>
  <si>
    <t xml:space="preserve">  ▶  Block: UpdateCartItemAsync() / RemoveItemFromCartAsync() / ClearCartAsync()</t>
  </si>
  <si>
    <t>Success = false
jwtService.GenerateAccessToken() NEVER called
Generic failure message (does not reveal which field is wrong)</t>
  </si>
  <si>
    <t>L1-AUTH-09</t>
  </si>
  <si>
    <t>L1-CART-09</t>
  </si>
  <si>
    <t>Unknown email -&gt; login rejected with generic message</t>
  </si>
  <si>
    <t>Update a cart item belonging to another user -&gt; rejected</t>
  </si>
  <si>
    <t>FT-01 NAC-05; NFR-SEC03</t>
  </si>
  <si>
    <t>LoginAsync()</t>
  </si>
  <si>
    <t>Mock: GetByEmailAsync -&gt; null</t>
  </si>
  <si>
    <t>authService.LoginAsync(dto{email='ghost@x.com'})</t>
  </si>
  <si>
    <t>CartItem CI-9 belongs to user U9</t>
  </si>
  <si>
    <t>Success = false; message identical wording to wrong-password case
No token generated</t>
  </si>
  <si>
    <t>cartService.UpdateCartItemAsync(U1, CI-9, {qty=10})</t>
  </si>
  <si>
    <t>Throws not-found/forbidden
CI-9.Quantity unchanged</t>
  </si>
  <si>
    <t xml:space="preserve">  ▶  Block: LoginWithGoogleAsync()</t>
  </si>
  <si>
    <t>L1-CART-10</t>
  </si>
  <si>
    <t>L1-AUTH-10</t>
  </si>
  <si>
    <t>Clear cart -&gt; all items removed</t>
  </si>
  <si>
    <t>New Google account -&gt; user auto-created and auto-assigned to Sales staff</t>
  </si>
  <si>
    <t>FT-01 AC-02; FT-04 AC-02; BR-002; BR-023</t>
  </si>
  <si>
    <t>Cart with 3 items for U1</t>
  </si>
  <si>
    <t>cartService.ClearCartAsync(U1)</t>
  </si>
  <si>
    <t>Cart.Items.Count = 0 after call; cart record itself retained</t>
  </si>
  <si>
    <t>Mock: GetByGoogleIdAsync -&gt; null; GetByEmailAsync -&gt; null</t>
  </si>
  <si>
    <t>authService.LoginWithGoogleAsync(dto{googleId,email})</t>
  </si>
  <si>
    <t>Success = true; new user persisted
salesAllocationService.AutoAssignCustomerAsync(userId) called once</t>
  </si>
  <si>
    <t xml:space="preserve">  ▶  Template Row — copy khi thêm case mới</t>
  </si>
  <si>
    <t>GoogleJsonWebSignature.ValidateAsync là static call ra Google — không mock được ở unit level, cần integration test (L2).</t>
  </si>
  <si>
    <t>✅ ĐÃ FIX
AuthService.cs:278 dùng IGoogleTokenValidator (DI) thay vì static call nên mock được; logic auto-create + AutoAssignCustomerAsync đúng (278-320).</t>
  </si>
  <si>
    <t>L1-AUTH-11</t>
  </si>
  <si>
    <t>L1-XX-[NN]</t>
  </si>
  <si>
    <t>Existing Google account -&gt; login without creating duplicate</t>
  </si>
  <si>
    <t>[BC-TRUE | BC-FALSE | CC | EP-Valid | EP-Invalid | BVA-* | State-* | Guard-* | Concurrency | Idempotency | Atomicity]</t>
  </si>
  <si>
    <t>FT-01 AC-02; NAC-01; BR-023</t>
  </si>
  <si>
    <t>[Branch / condition / partition]</t>
  </si>
  <si>
    <t>[FT-xx AC/NAC/BV-xx; BR-xxx; NFR-xxx]</t>
  </si>
  <si>
    <t>Mock: GetByGoogleIdAsync -&gt; existing user</t>
  </si>
  <si>
    <t>authService.LoginWithGoogleAsync(dto)</t>
  </si>
  <si>
    <t>[Arrange: state + _mock.Setup(...)]</t>
  </si>
  <si>
    <t>Success = true
userRepo.AddAsync() NEVER called</t>
  </si>
  <si>
    <t>service.Method(params)</t>
  </si>
  <si>
    <t>[result.Should().Be(...) / Throws / _mock.Verify(..., Times.Never)]</t>
  </si>
  <si>
    <t>Google token validation không isolate được ở unit level.</t>
  </si>
  <si>
    <t>LoginWithGoogleAsync()</t>
  </si>
  <si>
    <t>✅ ĐÃ FIX
Cùng cơ chế DI ở trên; nhánh user đã tồn tại (286-299) không gọi AddAsync.</t>
  </si>
  <si>
    <t xml:space="preserve">  ▶  Block: RefreshTokenAsync()  |  NFR-SEC04</t>
  </si>
  <si>
    <t>L1-AUTH-12</t>
  </si>
  <si>
    <t>Valid refresh token -&gt; new access token, token rotated</t>
  </si>
  <si>
    <t>Mock: GetByRefreshTokenAsync('rt-old') -&gt; user (token not expired)</t>
  </si>
  <si>
    <t>authService.RefreshTokenAsync(dto{refreshToken='rt-old'})</t>
  </si>
  <si>
    <t>Success = true; new AccessToken returned
User.RefreshToken updated to a NEW value != 'rt-old' (rotation)</t>
  </si>
  <si>
    <t>L1-AUTH-13</t>
  </si>
  <si>
    <t>Unknown/revoked refresh token -&gt; rejected</t>
  </si>
  <si>
    <t>Mock: GetByRefreshTokenAsync('rt-x') -&gt; null</t>
  </si>
  <si>
    <t>authService.RefreshTokenAsync(dto{refreshToken='rt-x'})</t>
  </si>
  <si>
    <t>Success = false
jwtService.GenerateAccessToken() NEVER called</t>
  </si>
  <si>
    <t>RefreshTokenAsync()</t>
  </si>
  <si>
    <t xml:space="preserve">  ▶  Block: ResetPasswordAsync() / LogoutAsync()</t>
  </si>
  <si>
    <t>L1-AUTH-14</t>
  </si>
  <si>
    <t>Invalid reset token -&gt; password unchanged</t>
  </si>
  <si>
    <t>Mock: GetByResetTokenAsync('bad') -&gt; null</t>
  </si>
  <si>
    <t>authService.ResetPasswordAsync(dto{token='bad', newPassword})</t>
  </si>
  <si>
    <t>Success = false
No user updated; SaveChangesAsync NEVER called</t>
  </si>
  <si>
    <t>L1-AUTH-15</t>
  </si>
  <si>
    <t>Valid reset token -&gt; new password stored as hash, token cleared</t>
  </si>
  <si>
    <t>Mock: GetByResetTokenAsync('tok') -&gt; user</t>
  </si>
  <si>
    <t>authService.ResetPasswordAsync(dto{token='tok', newPassword='N3w!'})</t>
  </si>
  <si>
    <t>Success = true
PasswordHash != 'N3w!'; reset token cleared so it cannot be reused</t>
  </si>
  <si>
    <t>ResetPasswordAsync() / LogoutAsync()</t>
  </si>
  <si>
    <t>ProductService  |  methods: GetProductsAsync, GetProductByIdAsync, GetCategoriesAsync, CreateProductAsync  |  Mock: IUnitOfWork</t>
  </si>
  <si>
    <t>L1-AUTH-16</t>
  </si>
  <si>
    <t>Logout -&gt; refresh token revoked</t>
  </si>
  <si>
    <t>User exists with RefreshToken = 'rt'</t>
  </si>
  <si>
    <t>authService.LogoutAsync(userId)</t>
  </si>
  <si>
    <t>Success = true; User.RefreshToken cleared/null
Subsequent RefreshTokenAsync('rt') would fail</t>
  </si>
  <si>
    <t xml:space="preserve">  ▶  Block: GetProductsAsync()  |  FT-01 SB-1 catalogue browsing; BR-26</t>
  </si>
  <si>
    <t xml:space="preserve">  ▶  Block: ⊕ v2.1 — Xác thực SĐT qua SMS  |  RequestPhoneVerificationAsync, VerifyPhoneOtpAsync, CompleteProfileAsync  |  FT-01 AC-04; BV-02; BR-024</t>
  </si>
  <si>
    <t>L1-PROD-01</t>
  </si>
  <si>
    <t>Filter by categoryId -&gt; only products of that category returned</t>
  </si>
  <si>
    <t>FT-01 AC-01</t>
  </si>
  <si>
    <t>Mock repo: 5 products, 2 in category C1</t>
  </si>
  <si>
    <t>productService.GetProductsAsync(page=1, pageSize=12, categoryId=C1)</t>
  </si>
  <si>
    <t>Result.Items all have CategoryId = C1; TotalCount = 2</t>
  </si>
  <si>
    <t>L1-AUTH-17</t>
  </si>
  <si>
    <t>L1-PROD-02</t>
  </si>
  <si>
    <t>searchKeyword matches product name (case-insensitive)</t>
  </si>
  <si>
    <t>Gửi OTP xác thực SĐT -&gt; lưu HASH, gọi SMS 1 lần</t>
  </si>
  <si>
    <t>FT-01 AC-04; BR-024; NFR-SEC04</t>
  </si>
  <si>
    <t>Mock repo returns products filtered by keyword 'bag'</t>
  </si>
  <si>
    <t>productService.GetProductsAsync(searchKeyword='bag')</t>
  </si>
  <si>
    <t>All returned product names contain 'bag'
Repo called with the exact keyword</t>
  </si>
  <si>
    <t>User U1 đã verify email; mock ISmsService</t>
  </si>
  <si>
    <t>authService.RequestPhoneVerificationAsync(U1, dto{phone, purpose:'FIRST_ORDER'})</t>
  </si>
  <si>
    <t>L1-PROD-03</t>
  </si>
  <si>
    <t>smsService.SendAsync gọi đúng 1 lần
Giá trị lưu trong DB là HASH, không phải OTP thô
OTP không xuất hiện trong log</t>
  </si>
  <si>
    <t>Discontinued products hidden from public catalogue</t>
  </si>
  <si>
    <t>FT-01 AC-01; NAC-04; BR-047</t>
  </si>
  <si>
    <t>Mock repo: product P2 Discontinued among actives</t>
  </si>
  <si>
    <t>productService.GetProductsAsync(page=1)</t>
  </si>
  <si>
    <t>P2 NOT present in Result.Items
Active products returned normally</t>
  </si>
  <si>
    <t>Xác thực SĐT qua SMS</t>
  </si>
  <si>
    <t>✅ ĐÃ FIX
AuthService.cs:504-505 lưu HASH (BCrypt) thay vì OTP thô; SendSmsAsync gọi đúng 1 lần (517).</t>
  </si>
  <si>
    <t>L1-AUTH-18</t>
  </si>
  <si>
    <t>BVA-Min-1</t>
  </si>
  <si>
    <t>L1-PROD-04</t>
  </si>
  <si>
    <t>Resend trước 60 giây -&gt; từ chối</t>
  </si>
  <si>
    <t>page = 0 or negative -&gt; normalized to page 1 (or rejected)</t>
  </si>
  <si>
    <t>FT-01 BV-02; NAC-02</t>
  </si>
  <si>
    <t>Mock repo</t>
  </si>
  <si>
    <t>Lần gửi trước cách đây 59 giây (mock clock)</t>
  </si>
  <si>
    <t>productService.GetProductsAsync(page=0)</t>
  </si>
  <si>
    <t>authService.RequestPhoneVerificationAsync(U1, dto{phone})</t>
  </si>
  <si>
    <t>Repo receives page &gt;= 1 (no negative offset); no exception</t>
  </si>
  <si>
    <t>Từ chối (OTP_RESEND_TOO_SOON); smsService KHÔNG được gọi</t>
  </si>
  <si>
    <t xml:space="preserve">  ▶  Block: GetProductByIdAsync()</t>
  </si>
  <si>
    <t>✅ ĐÃ FIX
AuthService.cs:486-493 chặn resend trước 60s, SMS không được gọi.</t>
  </si>
  <si>
    <t>L1-PROD-05</t>
  </si>
  <si>
    <t>L1-AUTH-19</t>
  </si>
  <si>
    <t>Unknown product id -&gt; null returned (no exception)</t>
  </si>
  <si>
    <t>BVA-Min</t>
  </si>
  <si>
    <t>Resend đúng 60 giây -&gt; cho phép</t>
  </si>
  <si>
    <t>Mock repo: GetByIdAsync(Px) -&gt; null</t>
  </si>
  <si>
    <t>FT-01 BV-02</t>
  </si>
  <si>
    <t>productService.GetProductByIdAsync(Px)</t>
  </si>
  <si>
    <t>Returns null; controller maps to 404</t>
  </si>
  <si>
    <t>Lần gửi trước cách đây đúng 60 giây</t>
  </si>
  <si>
    <t>Gửi thành công; smsService gọi 1 lần</t>
  </si>
  <si>
    <t>L1-AUTH-20</t>
  </si>
  <si>
    <t>BVA-Max+1</t>
  </si>
  <si>
    <t>Gửi lần thứ 6 trong 30 phút / lần thứ 11 trong ngày -&gt; chặn</t>
  </si>
  <si>
    <t>FT-01 BV-02; NAC-02; BR-024</t>
  </si>
  <si>
    <t>[Theory] đã gửi 5 lần/30 phút và 10 lần/ngày</t>
  </si>
  <si>
    <t>Từ chối theo rate limit; smsService KHÔNG được gọi</t>
  </si>
  <si>
    <t>⚠ FIX MỘT PHẦN
Giới hạn 5 lần/30 phút đã có (495-502) nhưng KHÔNG có giới hạn 10 lần/ngày cho OTP điện thoại (User.cs thiếu field ngày cho Phone OTP).</t>
  </si>
  <si>
    <t>L1-AUTH-21</t>
  </si>
  <si>
    <t>BVA</t>
  </si>
  <si>
    <t>OTP đúng 6 chữ số trong 5 phút -&gt; xác thực thành công, single-use</t>
  </si>
  <si>
    <t>FT-01 AC-04; BV-02</t>
  </si>
  <si>
    <t>OTP hợp lệ tạo cách đây 4 phút 59 giây</t>
  </si>
  <si>
    <t>authService.VerifyPhoneOtpAsync(U1, dto{otp:'123456'})</t>
  </si>
  <si>
    <t>Thành công; PhoneVerifiedAt được set
Gọi lại cùng OTP lần 2 -&gt; bị từ chối (single-use)</t>
  </si>
  <si>
    <t>L1-AUTH-22</t>
  </si>
  <si>
    <t>OTP tại đúng mốc 5 phút -&gt; hết hạn</t>
  </si>
  <si>
    <t>OTP tạo cách đây đúng 5:00 (mock clock)</t>
  </si>
  <si>
    <t>Từ chối OTP_EXPIRED; số điện thoại KHÔNG đổi</t>
  </si>
  <si>
    <t>L1-AUTH-23</t>
  </si>
  <si>
    <t>Sai OTP lần thứ 6 -&gt; khoá theo giới hạn số lần</t>
  </si>
  <si>
    <t>[Theory] số lần sai trước đó = 4, 5</t>
  </si>
  <si>
    <t>authService.VerifyPhoneOtpAsync(U1, dto{otp:'999999'})</t>
  </si>
  <si>
    <t>Lần 5 vẫn báo sai; lần 6 trả OTP_ATTEMPT_LIMIT_REACHED
Số điện thoại không đổi</t>
  </si>
  <si>
    <t>✅ ĐÃ FIX
AuthService.cs:530-539 khoá sau 5 lần sai, trả OTP_ATTEMPT_LIMIT_REACHED ở lần 6.</t>
  </si>
  <si>
    <t>L1-AUTH-24</t>
  </si>
  <si>
    <t>Đổi SĐT chỉ có hiệu lực SAU khi xác thực thành công</t>
  </si>
  <si>
    <t>FT-01 AC-04; BR-024</t>
  </si>
  <si>
    <t>U1 đang có SĐT cũ; yêu cầu đổi purpose='CHANGE_PHONE'</t>
  </si>
  <si>
    <t>Gửi OTP -&gt; chưa xác thực -&gt; đọc lại profile</t>
  </si>
  <si>
    <t>Trước khi xác thực: SĐT vẫn là số CŨ
Sau khi xác thực đúng: SĐT mới thay thế</t>
  </si>
  <si>
    <t>L1-AUTH-25</t>
  </si>
  <si>
    <t>CompleteProfile sau Google login -&gt; bổ sung thông tin còn thiếu</t>
  </si>
  <si>
    <t>FT-01 AC-02</t>
  </si>
  <si>
    <t>User tạo qua Google, thiếu SĐT/tên</t>
  </si>
  <si>
    <t>authService.CompleteProfileAsync(U1, dto)</t>
  </si>
  <si>
    <t>Thông tin được lưu; không tạo tài khoản thứ 2</t>
  </si>
  <si>
    <t>L1-AUTH-26</t>
  </si>
  <si>
    <t>Gửi lại OTP qua email</t>
  </si>
  <si>
    <t>FT-01 NAC-02; BR-024</t>
  </si>
  <si>
    <t>L1-AUTH-27</t>
  </si>
  <si>
    <t xml:space="preserve">  ▶  Block: ⊕ v2.3 — Gửi lại OTP qua email  |  ResendEmailOtpAsync (commit ec8f6cd)  |  FT-01 AC-04; BV-02; BR-024</t>
  </si>
  <si>
    <t>FT-01 AC-04; NAC-02</t>
  </si>
  <si>
    <t>Email không tồn tại -&gt; từ chối, không gửi mail</t>
  </si>
  <si>
    <t>Mock: userRepo.GetByEmailAsync('ghost@x.com') -&gt; null</t>
  </si>
  <si>
    <t>authService.ResendEmailOtpAsync('ghost@x.com')</t>
  </si>
  <si>
    <t>Trả thất bại với thông điệp CHUNG (không tiết lộ email có tồn tại hay không)
emailService.SendOtpEmailAsync NEVER called</t>
  </si>
  <si>
    <t>✅ ĐÃ FIX
ResendEmailOtpAsync (169-170) trả thông điệp CHUNG cho email không tồn tại, không gọi emailService.</t>
  </si>
  <si>
    <t>OrderService  |  methods: GetCheckoutSummaryAsync, PlaceOrderAsync, GenerateSePayQrAsync, ProcessSePayWebhookAsync, ConfirmOrderAsync, PlaceDirectOrderAsync, RequestVatInvoiceAsync, RejectOrder/Cancel flows, ScheduleDeliveryAsync, RecordDeliveryResultAsync, GetOrderHistoryAsync  |  EF Core InMemory + Mock: ICartService, IEmailService</t>
  </si>
  <si>
    <t>User đã verify rồi -&gt; từ chối, không gửi mail</t>
  </si>
  <si>
    <t>L1-AUTH-28</t>
  </si>
  <si>
    <t>User U1 tồn tại, IsVerified = true</t>
  </si>
  <si>
    <t>authService.ResendEmailOtpAsync(U1.Email)</t>
  </si>
  <si>
    <t>Trả thất bại (đã xác thực)
emailService.SendOtpEmailAsync NEVER called; OTP cũ không bị ghi đè</t>
  </si>
  <si>
    <t>L1-AUTH-29</t>
  </si>
  <si>
    <t>Hợp lệ -&gt; sinh OTP mới, hạn theo OTP_EXPIRE_MINUTES, gửi đúng 1 lần</t>
  </si>
  <si>
    <t>FT-01 BV-02; BR-024</t>
  </si>
  <si>
    <t>User U1 tồn tại, IsVerified = false
SystemConfig 'OTP_EXPIRE_MINUTES' = 5 (mock clock)</t>
  </si>
  <si>
    <t>OTP mới KHÁC OTP cũ; giá trị lưu là HASH (không phải OTP thô)
Hạn = NOW + 5 phút, đọc từ config chứ không hard-code
emailService.SendOtpEmailAsync gọi đúng 1 lần</t>
  </si>
  <si>
    <t>⚠ FIX MỘT PHẦN
OTP mới + hash + gửi đúng 1 lần OK, nhưng hạn dùng const cứng EmailOtpValidityMinutes=5 (dòng 155), KHÔNG đọc từ SystemConfig OTP_EXPIRE_MINUTES.</t>
  </si>
  <si>
    <t>L1-AUTH-30</t>
  </si>
  <si>
    <t>Resend tại 59s / 60s / 61s so với lần gửi trước</t>
  </si>
  <si>
    <t xml:space="preserve">  ▶  Block: GetCheckoutSummaryAsync() — tiered pricing  |  FT-02 AC-01..03, NAC-02, BV-01, BR-01/BR-02</t>
  </si>
  <si>
    <t>SystemConfig 'OTP_RESEND_SECONDS' = 60
[Theory] lần gửi trước cách đây 59s / 60s / 61s</t>
  </si>
  <si>
    <t>59s: từ chối (OTP_RESEND_TOO_SOON), KHÔNG gửi mail
60s và 61s: gửi thành công</t>
  </si>
  <si>
    <t>L1-ORD-01</t>
  </si>
  <si>
    <t>Cart total = 9,999,999 VND -&gt; standard list price (Tier 1 max)</t>
  </si>
  <si>
    <t>FT-02 AC-01; BV-01; BR-006</t>
  </si>
  <si>
    <t>⚠ FIX MỘT PHẦN
Hành vi throttle 59/60/61s đúng nhưng ngưỡng là const cứng EmailOtpResendCooldownSeconds=60 (156), không đọc SystemConfig OTP_RESEND_SECONDS.</t>
  </si>
  <si>
    <t>Cart totalling exactly 9,999,999 VND</t>
  </si>
  <si>
    <t>orderService.GetCheckoutSummaryAsync(U1)</t>
  </si>
  <si>
    <t>L1-AUTH-31</t>
  </si>
  <si>
    <t>Lần gửi thứ 6 trong 30 phút -&gt; chặn</t>
  </si>
  <si>
    <t>PricingTier = Standard; unit prices = list prices
'Proceed to Payment' enabled (CanCheckout = true)</t>
  </si>
  <si>
    <t>SystemConfig 'OTP_MAX_ATTEMPTS' = 5
[Theory] đã gửi 4 / 5 lần trong 30 phút</t>
  </si>
  <si>
    <t>Lần 5: vẫn gửi được
Lần 6: từ chối theo rate limit; emailService NEVER called</t>
  </si>
  <si>
    <t>L1-ORD-02</t>
  </si>
  <si>
    <t>Cart total = 10,000,000 VND -&gt; Tier 2 quantity discount applied</t>
  </si>
  <si>
    <t>⚠ FIX MỘT PHẦN
Chặn đúng ở lần 6/30 phút nhưng giới hạn là const cứng EmailOtpMaxSendsPerWindow=5 (157), không đọc SystemConfig OTP_MAX_ATTEMPTS.</t>
  </si>
  <si>
    <t>L1-AUTH-32</t>
  </si>
  <si>
    <t>Cart totalling exactly 10,000,000 VND; discount matrix seeded</t>
  </si>
  <si>
    <t>Lần gửi thứ 11 trong ngày -&gt; chặn</t>
  </si>
  <si>
    <t>NFR-SEC02; FT-01 NAC-02</t>
  </si>
  <si>
    <t>[Theory] đã gửi 9 / 10 lần trong 24 giờ</t>
  </si>
  <si>
    <t>Lần 10: vẫn gửi được
Lần 11: từ chối; emailService NEVER called</t>
  </si>
  <si>
    <t>PricingTier = QuantityDiscount; discounted unit prices per matrix
Recalculated total &lt; list-price total</t>
  </si>
  <si>
    <t>⚠ FIX MỘT PHẦN
Chặn đúng ở lần 11/ngày nhưng giới hạn là const cứng EmailOtpMaxSendsPerDay=10 (159), không đọc SystemConfig.</t>
  </si>
  <si>
    <t>L1-AUTH-33</t>
  </si>
  <si>
    <t>ForgotPasswordAsync với email không tồn tại -&gt; không lộ thông tin</t>
  </si>
  <si>
    <t>L1-ORD-03</t>
  </si>
  <si>
    <t>authService.ForgotPasswordAsync('ghost@x.com')</t>
  </si>
  <si>
    <t>Response giống hệt case email tồn tại (chống enumeration)
emailService NEVER called; không tạo reset token</t>
  </si>
  <si>
    <t>Cart total = 99,999,999 VND -&gt; still Tier 2</t>
  </si>
  <si>
    <t>Cart totalling 99,999,999 VND</t>
  </si>
  <si>
    <t>QuotationService  |  methods: CreateQuotationFromCartAsync, PickUpQuotationAsync, CreateVersionAsync, ManagerReviewVersionAsync, CeoReviewVersionAsync, CustomerDecisionAsync, CancelQuotationAsync, SendMessageAsync  |  Mock: IQuotationRepository, ICartRepository, IUserRepository, IUnitOfWork</t>
  </si>
  <si>
    <t>PricingTier = QuantityDiscount (NOT negotiated flow)
CanCheckout = true</t>
  </si>
  <si>
    <t>ForgotPasswordAsync hợp lệ -&gt; sinh reset token single-use, gửi 1 mail</t>
  </si>
  <si>
    <t>CartService</t>
  </si>
  <si>
    <t>GetCartAsync()</t>
  </si>
  <si>
    <t>User U1 tồn tại, đã verify</t>
  </si>
  <si>
    <t>authService.ForgotPasswordAsync(U1.Email)</t>
  </si>
  <si>
    <t>Reset token được sinh và lưu dạng không đoán được
emailService.SendResetPasswordEmailAsync gọi đúng 1 lần
Token chỉ dùng được 1 lần (kiểm bằng L1-AUTH-15)</t>
  </si>
  <si>
    <t>L1-ORD-04</t>
  </si>
  <si>
    <t>BVA-Min + Guard-TRUE</t>
  </si>
  <si>
    <t>Total = 100,000,000 VND + saved negotiated price -&gt; auto-applied</t>
  </si>
  <si>
    <t>FT-02 AC-01; AC-05; BV-01; BR-026</t>
  </si>
  <si>
    <t>Cart = 100,000,000 VND; CustomerProfile.NegotiatedPrice saved (approved)</t>
  </si>
  <si>
    <t>Negotiated price auto-applied to total
No quotation request required; CanCheckout = true</t>
  </si>
  <si>
    <t>auto-áp giá thỏa thuận cho đơn &gt;= 100M chưa cài đặt — mọi đơn &gt;= 100M đều bị chặn yêu cầu báo giá B2B.</t>
  </si>
  <si>
    <t xml:space="preserve">  ▶  Block: CreateQuotationFromCartAsync()  |  FT-02 SB-2; 4.4.3 row 1; BR-04</t>
  </si>
  <si>
    <t>✅ ĐÃ FIX  [🟢 ĐÃ FIX HOÀN TOÀN — test unit viết lại, bỏ Skip, PASS thật (07/08/2026)]
GH-13 đã fix ở code (Quotation/QuotationVersion.ProposedTotal, không phải SavedB2BPriceSnapshot như giả định gốc). Đã viết lại L1_ORD_04_Checkout_100M_WithAcceptedQuotation_NegotiatedPriceApplied (PASS) + thêm L1_ORD_04b (báo giá hết hạn vẫn bị chặn, PASS) trong OrderServiceTests.cs, bỏ [Fact(Skip=...)].</t>
  </si>
  <si>
    <t>L1-ORD-05</t>
  </si>
  <si>
    <t>Guard-FALSE</t>
  </si>
  <si>
    <t>Total &gt;= 100M, NO negotiated price -&gt; payment hidden, quotation required</t>
  </si>
  <si>
    <t>FT-02 AC-03; BV-01; BR-026</t>
  </si>
  <si>
    <t>Cart = 120,000,000 VND; no saved negotiated price</t>
  </si>
  <si>
    <t>CanCheckout = false; RequiresQuotation = true
No pricing applied beyond list snapshot</t>
  </si>
  <si>
    <t>L1-QUO-01</t>
  </si>
  <si>
    <t>Guard-TRUE</t>
  </si>
  <si>
    <t>Cart &gt;= 100M AND no saved negotiated price -&gt; Quotation 'Requested', Sales notified</t>
  </si>
  <si>
    <t>L1-ORD-06</t>
  </si>
  <si>
    <t>Negotiated price NOT applied to 80M order (below threshold)</t>
  </si>
  <si>
    <t>Mock: cart total = 120,000,000; profile has no negotiated price</t>
  </si>
  <si>
    <t>FT-02 NAC-02; BV-01</t>
  </si>
  <si>
    <t>quotationService.CreateQuotationFromCartAsync(U1, request)</t>
  </si>
  <si>
    <t>quotationRepo.CreateAsync() called once; Status = Requested
Sales notification triggered</t>
  </si>
  <si>
    <t>Customer has negotiated price; cart total = 80,000,000 VND</t>
  </si>
  <si>
    <t>Negotiated price ignored; Tier-2 discount applied instead
Tooltip flag: negotiated pricing only for &gt;= 100M</t>
  </si>
  <si>
    <t>L1-QUO-02</t>
  </si>
  <si>
    <t>Cart &lt; 100M -&gt; quotation request rejected</t>
  </si>
  <si>
    <t xml:space="preserve">  ▶  Block: PlaceOrderAsync()  |  FT-01 AC-04/05, NAC-02/03/04; FT-02 NAC-01</t>
  </si>
  <si>
    <t>Mock: cart total = 80,000,000</t>
  </si>
  <si>
    <t>Rejected (below threshold); CreateAsync NEVER called</t>
  </si>
  <si>
    <t>AddItemToCartAsync()</t>
  </si>
  <si>
    <t>L1-ORD-07</t>
  </si>
  <si>
    <t xml:space="preserve">  ▶  Block: PickUpQuotationAsync()  |  4.4.3 row 2</t>
  </si>
  <si>
    <t>Valid checkout -&gt; order 'Order Received', invoice email queued, Sales notified</t>
  </si>
  <si>
    <t>FT-01 AC-05; FT-03 AC-04; BR-030</t>
  </si>
  <si>
    <t>Valid non-expired cart, all items in stock
Mock: emailService</t>
  </si>
  <si>
    <t>orderService.PlaceOrderAsync(U1, request)</t>
  </si>
  <si>
    <t>Order persisted with Status = 'Order Received'
emailService.SendOrderInvoiceEmailAsync() called once
Sales notification created</t>
  </si>
  <si>
    <t>L1-QUO-03</t>
  </si>
  <si>
    <t>State-Valid</t>
  </si>
  <si>
    <t>L1-ORD-08</t>
  </si>
  <si>
    <t>Requested -&gt; Under Sales Review when Sales picks up</t>
  </si>
  <si>
    <t>FT-02 AC-04; BR-027</t>
  </si>
  <si>
    <t>Empty cart -&gt; checkout rejected</t>
  </si>
  <si>
    <t>Mock: quotation Q1 Status = Requested, no assigned staff</t>
  </si>
  <si>
    <t>quotationService.PickUpQuotationAsync(Q1, staffS1)</t>
  </si>
  <si>
    <t>Cart.Items = []</t>
  </si>
  <si>
    <t>Status = Under Sales Review; AssignedSalesStaff = S1
COGS &amp; margin data attached for pricing support</t>
  </si>
  <si>
    <t>Throws validation exception; no Order persisted</t>
  </si>
  <si>
    <t>L1-QUO-04</t>
  </si>
  <si>
    <t>L1-ORD-09</t>
  </si>
  <si>
    <t>BC-TRUE</t>
  </si>
  <si>
    <t>Price-Expired cart (idle &gt; 24h) -&gt; checkout blocked</t>
  </si>
  <si>
    <t>FT-01 NAC-03; FT-02 NAC-03; BV-01; BR-025</t>
  </si>
  <si>
    <t>Pick up a quotation already assigned to another staff -&gt; rejected</t>
  </si>
  <si>
    <t>Cart.PriceLockedAt = NOW - 25h (mock time)</t>
  </si>
  <si>
    <t>FT-02 NAC-05; BR-027</t>
  </si>
  <si>
    <t>Rejected: customer must re-confirm refreshed prices
No Order persisted</t>
  </si>
  <si>
    <t>Q1 Status = Under Sales Review, AssignedSalesStaff = S2</t>
  </si>
  <si>
    <t>UpdateCartItemAsync() / RemoveItemFromCartAsync() / ClearCartAsync()</t>
  </si>
  <si>
    <t>Throws conflict; assignment unchanged (still S2)</t>
  </si>
  <si>
    <t>không có logic chặn checkout khi giá hết hạn — CartService tự refresh giá (xem L1-CART-03). Ghi Notes.</t>
  </si>
  <si>
    <t>✅ ĐÃ FIX  [🟢 ĐÃ FIX HOÀN TOÀN — test unit viết lại, bỏ Skip, PASS thật (07/08/2026)]
GH-08 đã fix ở code (check hạn giữ giá TRƯỚC khi gọi CartService.GetCartAsync). Đã viết lại L1_ORD_09_PlaceOrder_PriceExpiredCart_Blocked (PASS) + thêm L1_ORD_09b (chưa hết hạn vẫn checkout được, PASS) trong OrderServiceTests.cs, bỏ [Fact(Skip=...)].</t>
  </si>
  <si>
    <t>L1-ORD-10</t>
  </si>
  <si>
    <t xml:space="preserve">  ▶  Block: CreateVersionAsync()  |  4.4.3 row 3</t>
  </si>
  <si>
    <t>Item went out of stock between add-to-cart and checkout -&gt; blocked</t>
  </si>
  <si>
    <t>FT-01 NAC-03; FT-03 AC-01; BR-008</t>
  </si>
  <si>
    <t>Cart has P1 qty=5; current stock P1 = 0</t>
  </si>
  <si>
    <t>L1-QUO-05</t>
  </si>
  <si>
    <t>Rejected with message naming the product
No Order persisted; no stock change</t>
  </si>
  <si>
    <t>Sales submits proposed price -&gt; Waiting Admin Approval</t>
  </si>
  <si>
    <t>FT-02 AC-04; BR-007; BR-027</t>
  </si>
  <si>
    <t>L1-ORD-11</t>
  </si>
  <si>
    <t>Q1 Under Sales Review, assigned to S1</t>
  </si>
  <si>
    <t>CC</t>
  </si>
  <si>
    <t>quotationService.CreateVersionAsync(Q1, S1, {proposedPrice})</t>
  </si>
  <si>
    <t>Tampered payload total (99,999,999) vs true total &gt;= 100M -&gt; HTTP 400 + security alert</t>
  </si>
  <si>
    <t>New QuotationVersion persisted; Status = Waiting Admin Approval
Routed to Approval Centre</t>
  </si>
  <si>
    <t>FT-02 NAC-01; BR-005</t>
  </si>
  <si>
    <t>Client payload claims total 99,999,999; server recalculation of cart = 105,000,000</t>
  </si>
  <si>
    <t>orderService.PlaceOrderAsync(U1, tamperedRequest)</t>
  </si>
  <si>
    <t>Rejected (maps to HTTP 400)
'Pricing Bypass Attempt' security alert logged
No Order persisted</t>
  </si>
  <si>
    <t>L1-QUO-06</t>
  </si>
  <si>
    <t>ProductService</t>
  </si>
  <si>
    <t>Staff not assigned to the quotation submits a version -&gt; forbidden</t>
  </si>
  <si>
    <t>GetProductsAsync()</t>
  </si>
  <si>
    <t xml:space="preserve">  ▶  Block: GenerateSePayQrAsync()  |  FT-03 AC-01, NAC-03; 4.4.2</t>
  </si>
  <si>
    <t>Q1 assigned to S2</t>
  </si>
  <si>
    <t>quotationService.CreateVersionAsync(Q1, S1, req)</t>
  </si>
  <si>
    <t>Throws forbidden (403); no version created</t>
  </si>
  <si>
    <t>L1-ORD-12</t>
  </si>
  <si>
    <t>SePay selected -&gt; unique QR + ref code, 'Pending Payment', 15-min timer</t>
  </si>
  <si>
    <t>FT-03 AC-01; BV-01; BR-008</t>
  </si>
  <si>
    <t>Order O1 total &gt; 0, unpaid</t>
  </si>
  <si>
    <t>orderService.GenerateSePayQrAsync(O1)</t>
  </si>
  <si>
    <t xml:space="preserve">  ▶  Block: ManagerReviewVersionAsync() / CeoReviewVersionAsync()  |  4.4.3 rows 4-5; BR-04</t>
  </si>
  <si>
    <t>Returns QR payload + unique reference code
Payment status = 'Pending Payment'; expiry timestamp = NOW + 15min</t>
  </si>
  <si>
    <t>L1-QUO-07</t>
  </si>
  <si>
    <t>L1-ORD-13</t>
  </si>
  <si>
    <t>State-Invalid</t>
  </si>
  <si>
    <t>Approval by authorised approver -&gt; Proposed to Customer</t>
  </si>
  <si>
    <t>Order already Paid -&gt; QR generation blocked</t>
  </si>
  <si>
    <t>FT-03 NAC-02; BR-016; BR-029</t>
  </si>
  <si>
    <t>Q1 Waiting Admin Approval; reviewer has Manager/CEO role</t>
  </si>
  <si>
    <t>quotationService.ManagerReviewVersionAsync(Q1, mgr, {approve=true})</t>
  </si>
  <si>
    <t>Order O1 payment status = Paid</t>
  </si>
  <si>
    <t>Version approved; proposal returned to customer
Status advances per approval chain</t>
  </si>
  <si>
    <t>Throws conflict (maps to HTTP 409): 'This order has already been paid.'
No new QR / no status change</t>
  </si>
  <si>
    <t>ℹ Cùng defect GH-05 với L1-REG-07 (GenerateSePayQrAsync không chặn đơn đã Paid) — log CHUNG 1 defect ID, đừng đếm thành 2 lỗi.  |  GenerateSePayQrAsync không chặn đơn đã thanh toán (Paid) — spec gap, đề xuất log defect.</t>
  </si>
  <si>
    <t>L1-QUO-08</t>
  </si>
  <si>
    <t>✅ ĐÃ FIX
OrderService.cs:296-297 throw nếu PaymentStatus=Paid trước khi sinh QR mới -&gt; map 409.</t>
  </si>
  <si>
    <t xml:space="preserve">  ▶  Block: ProcessSePayWebhookAsync()  |  FT-03 AC-02, NAC-01, BV-01/BV-02, BR-06/BR-07</t>
  </si>
  <si>
    <t>Rejection -&gt; back to Under Sales Review with reason</t>
  </si>
  <si>
    <t>Q1 Waiting Admin Approval</t>
  </si>
  <si>
    <t>quotationService.ManagerReviewVersionAsync(Q1, mgr, {approve=false, reason})</t>
  </si>
  <si>
    <t>Status = Under Sales Review; rejection reason stored and visible to Sales</t>
  </si>
  <si>
    <t>L1-ORD-14</t>
  </si>
  <si>
    <t>Valid signature + exact amount within 15-min -&gt; Paid, txn ID recorded</t>
  </si>
  <si>
    <t>FT-03 AC-02; BV-01; BR-009; NFR-SEC05</t>
  </si>
  <si>
    <t>L1-QUO-09</t>
  </si>
  <si>
    <t>Approval attempted by non-approver role -&gt; HTTP 403</t>
  </si>
  <si>
    <t>Order Pending Payment, total 5,000,000; webhook amount = 5,000,000, valid HMAC token; within window</t>
  </si>
  <si>
    <t>FT-02 NAC-05; NFR-SEC03</t>
  </si>
  <si>
    <t>orderService.ProcessSePayWebhookAsync(payload, validToken)</t>
  </si>
  <si>
    <t>Payment status = Paid (locked); external transaction ID stored
Sales notification triggered</t>
  </si>
  <si>
    <t>Caller role = Sales Staff</t>
  </si>
  <si>
    <t>quotationService.CeoReviewVersionAsync(Q1, salesUser, req)</t>
  </si>
  <si>
    <t>Throws forbidden (403); status unchanged</t>
  </si>
  <si>
    <t>GetProductByIdAsync()</t>
  </si>
  <si>
    <t>role gate được enforce ở QuotationController [Authorize], không nằm trong service — cần integration test (L2/L3).</t>
  </si>
  <si>
    <t>L1-ORD-15</t>
  </si>
  <si>
    <t>Invalid signature/token -&gt; rejected 401, status unchanged, alert logged</t>
  </si>
  <si>
    <t>FT-03 NAC-01; NFR-SEC05</t>
  </si>
  <si>
    <t>🔒 CẦN L3 (không phải bug)
CeoReviewVersionAsync (253-286) không tự check role, nhưng [Authorize(Roles="CEO")] ở QuotationController.cs:187 đã chặn. Có test L3: VietTien.IntegrationTests/RoleGateTests.cs:91-112 (L1_QUO_09_...).</t>
  </si>
  <si>
    <t>Order Pending Payment; providedToken = 'WRONG'</t>
  </si>
  <si>
    <t xml:space="preserve">  ▶  Block: CustomerDecisionAsync()  |  4.4.3 rows 6-8; FT-02 AC-06, NAC-06, BV-03</t>
  </si>
  <si>
    <t>orderService.ProcessSePayWebhookAsync(payload, 'WRONG')</t>
  </si>
  <si>
    <t>Throws unauthorized (maps to HTTP 401)
Order status unchanged; security alert logged
No transaction ID stored</t>
  </si>
  <si>
    <t>L1-QUO-10</t>
  </si>
  <si>
    <t>OrderService</t>
  </si>
  <si>
    <t>L1-ORD-16</t>
  </si>
  <si>
    <t>Customer accepts (round &lt;= 5) -&gt; Accepted, negotiated price saved to account</t>
  </si>
  <si>
    <t>GetCheckoutSummaryAsync() — tiered pricing</t>
  </si>
  <si>
    <t>FT-02 AC-05; BR-026</t>
  </si>
  <si>
    <t>Amount = order total + 1 VND -&gt; rejected</t>
  </si>
  <si>
    <t>FT-03 NAC-01; BV-01</t>
  </si>
  <si>
    <t>Q1 Proposed to Customer, round = 2</t>
  </si>
  <si>
    <t>quotationService.CustomerDecisionAsync(Q1, U1, {accept=true})</t>
  </si>
  <si>
    <t>Status = Accepted (terminal)
Negotiated price persisted on CustomerProfile for future &gt;= 100M orders</t>
  </si>
  <si>
    <t>L1-QUO-11</t>
  </si>
  <si>
    <t>Reject at round &lt; 5 -&gt; next negotiation round opens</t>
  </si>
  <si>
    <t>Order total 5,000,000; webhook amount 5,000,001; valid token</t>
  </si>
  <si>
    <t>orderService.ProcessSePayWebhookAsync(payload)</t>
  </si>
  <si>
    <t>FT-02 AC-04; NAC-04</t>
  </si>
  <si>
    <t>Rejected; status unchanged; alert logged</t>
  </si>
  <si>
    <t>Q1 Proposed to Customer, round = 4</t>
  </si>
  <si>
    <t>quotationService.CustomerDecisionAsync(Q1, U1, {accept=false})</t>
  </si>
  <si>
    <t>Status = Under Sales Review; round counter = 5
Negotiation continues</t>
  </si>
  <si>
    <t>L1-ORD-17</t>
  </si>
  <si>
    <t>Amount = order total - 1 VND -&gt; rejected</t>
  </si>
  <si>
    <t>L1-QUO-12</t>
  </si>
  <si>
    <t>Order total 5,000,000; webhook amount 4,999,999; valid token</t>
  </si>
  <si>
    <t>5th consecutive rejection -&gt; Cancelled, further rounds blocked</t>
  </si>
  <si>
    <t>Rejected; status unchanged</t>
  </si>
  <si>
    <t>Q1 Proposed to Customer, round = 5</t>
  </si>
  <si>
    <t>Status = Cancelled; no round 6 permitted
Escalation/notification recorded</t>
  </si>
  <si>
    <t>L1-ORD-18</t>
  </si>
  <si>
    <t>giới hạn 5 vòng đàm phán (BV-03) chưa được cài đặt trong QuotationService — spec gap, ghi nhận vào Notes.</t>
  </si>
  <si>
    <t>Duplicate webhook (same txn ID) -&gt; idempotent, not double-applied</t>
  </si>
  <si>
    <t>✅ ĐÃ FIX
QuotationService.cs:288,290,319-330 MaxNegotiationRounds=5; ở vòng thứ 5 bị từ chối thì set Cancelled, chặn vòng 6.</t>
  </si>
  <si>
    <t>FT-03 NAC-02; BR-029</t>
  </si>
  <si>
    <t>L1-QUO-13</t>
  </si>
  <si>
    <t>Order already Paid via txn T1; identical webhook re-sent</t>
  </si>
  <si>
    <t>Decision by a customer who does not own the quotation -&gt; forbidden</t>
  </si>
  <si>
    <t>orderService.ProcessSePayWebhookAsync(samePayload)</t>
  </si>
  <si>
    <t>No state change; no duplicate payment record
No second Sales notification</t>
  </si>
  <si>
    <t>Q1 belongs to customer U9</t>
  </si>
  <si>
    <t>quotationService.CustomerDecisionAsync(Q1, U1, req)</t>
  </si>
  <si>
    <t>Throws forbidden/not-found; status unchanged</t>
  </si>
  <si>
    <t>L1-ORD-19</t>
  </si>
  <si>
    <t>Webhook after 15-min expiry / order cancelled -&gt; not applied</t>
  </si>
  <si>
    <t>FT-03 NAC-03; BV-01; BR-033</t>
  </si>
  <si>
    <t>Order auto-cancelled at 15:00 timer expiry; late webhook arrives</t>
  </si>
  <si>
    <t xml:space="preserve">  ▶  Block: CancelQuotationAsync()  |  4.4.3 terminal-state rules</t>
  </si>
  <si>
    <t>Order remains Cancelled (terminal)
Flagged to manual-verification/exception list instead of auto-Paid</t>
  </si>
  <si>
    <t>ManualPaymentService  |  methods: ManualConfirmAsync, RetryAllocationAsync, GetExceptionsAsync  |  EF Core InMemory (injects ApplicationDbContext)</t>
  </si>
  <si>
    <t>L1-QUO-14</t>
  </si>
  <si>
    <t>Customer cancels an open quotation -&gt; Cancelled</t>
  </si>
  <si>
    <t xml:space="preserve">  ▶  Block: ConfirmOrderAsync()  |  FT-04 AC-01; 4.4.1</t>
  </si>
  <si>
    <t>FT-02 NAC-05</t>
  </si>
  <si>
    <t>Q1 Status = Requested, owner U1</t>
  </si>
  <si>
    <t>L1-ORD-20</t>
  </si>
  <si>
    <t>quotationService.CancelQuotationAsync(Q1, U1)</t>
  </si>
  <si>
    <t>Status = Cancelled; Sales notified</t>
  </si>
  <si>
    <t>'Order Received' + Paid/COD -&gt; Confirmed, FIFO picking ticket</t>
  </si>
  <si>
    <t>FT-05 AC-01; BR-011</t>
  </si>
  <si>
    <t>Order O1 status 'Order Received', payment verified</t>
  </si>
  <si>
    <t>orderService.ConfirmOrderAsync(O1, salesStaffId)</t>
  </si>
  <si>
    <t>L1-QUO-15</t>
  </si>
  <si>
    <t>Status = Confirmed; picking ticket created with ascending FIFO sequence
Warehouse queue notified</t>
  </si>
  <si>
    <t>Cancel an Accepted quotation -&gt; conflict (terminal state)</t>
  </si>
  <si>
    <t>FT-02 NAC-05; BR-007</t>
  </si>
  <si>
    <t>Q1 Status = Accepted</t>
  </si>
  <si>
    <t>Throws conflict (409) 'quotation closed'; negotiated price remains saved</t>
  </si>
  <si>
    <t>L1-ORD-21</t>
  </si>
  <si>
    <t>Confirm a Cancelled order -&gt; HTTP 409</t>
  </si>
  <si>
    <t>FT-05 AC-01; NAC-05</t>
  </si>
  <si>
    <t xml:space="preserve">  ▶  Block: SendMessageAsync() / GetMessagesAsync()</t>
  </si>
  <si>
    <t>Order O1 status = Cancelled</t>
  </si>
  <si>
    <t>orderService.ConfirmOrderAsync(O1, staffId)</t>
  </si>
  <si>
    <t>PlaceOrderAsync()</t>
  </si>
  <si>
    <t>Throws conflict (409) 'order is closed'
No status change; no ticket created</t>
  </si>
  <si>
    <t xml:space="preserve">  ▶  Block: ManualConfirmAsync()  |  FT-03 AC-03, NAC-02; 4.4.2 rows 5-6; BR-08</t>
  </si>
  <si>
    <t>L1-QUO-16</t>
  </si>
  <si>
    <t>Participant sends negotiation message -&gt; persisted and returned in thread</t>
  </si>
  <si>
    <t xml:space="preserve">  ▶  Block: PlaceDirectOrderAsync() — walk-in  |  FT-08 AC-01..03, NAC-01/02/04, BV-01/02, BR-22/23</t>
  </si>
  <si>
    <t>FT-02 AC-04; BR-020; NFR-P04</t>
  </si>
  <si>
    <t>L1-MP-01</t>
  </si>
  <si>
    <t>Q1 open; sender = assigned Sales S1</t>
  </si>
  <si>
    <t>quotationService.SendMessageAsync(Q1, S1, {content})</t>
  </si>
  <si>
    <t>Awaiting Manual Verify + matching bank record -&gt; Paid + 'PAID - DO NOT COLLECT' lock</t>
  </si>
  <si>
    <t>quotationRepo.AddMessageAsync() called once; DTO returned with sender info</t>
  </si>
  <si>
    <t>FT-03 AC-05; NAC-03; BR-016</t>
  </si>
  <si>
    <t>L1-ORD-22</t>
  </si>
  <si>
    <t>Order O1 'Awaiting Manual Verify'; request contains verified bank transfer reference</t>
  </si>
  <si>
    <t>Known phone number -&gt; customer profile auto-filled</t>
  </si>
  <si>
    <t>manualPaymentService.ManualConfirmAsync(O1, req, adminId)</t>
  </si>
  <si>
    <t>FT-01 AC-03; BR-030</t>
  </si>
  <si>
    <t>L1-QUO-17</t>
  </si>
  <si>
    <t>Payment status = Paid (permanently locked)
PaidFlag set for delivery invoice; confirmedBy recorded</t>
  </si>
  <si>
    <t>Non-participant reads quotation messages -&gt; forbidden</t>
  </si>
  <si>
    <t>CustomerProfile exists for '0912345678'</t>
  </si>
  <si>
    <t>U5 is neither owner nor assigned staff of Q1</t>
  </si>
  <si>
    <t>orderService.PlaceDirectOrderAsync(req{phone='0912345678'})</t>
  </si>
  <si>
    <t>quotationService.GetMessagesAsync(Q1, U5, 'Customer')</t>
  </si>
  <si>
    <t>Throws forbidden; no messages returned</t>
  </si>
  <si>
    <t>Existing profile reused (name/address auto-filled)
No duplicate profile created</t>
  </si>
  <si>
    <t>L1-MP-02</t>
  </si>
  <si>
    <t>Manual confirm with NO matching transfer record -&gt; rejected, temp order cancelled</t>
  </si>
  <si>
    <t>L1-ORD-23</t>
  </si>
  <si>
    <t>FT-03 NAC-04; BR-016</t>
  </si>
  <si>
    <t>EP-Invalid + BVA-Max+1</t>
  </si>
  <si>
    <t>Line qty = available stock + 1 -&gt; blocked</t>
  </si>
  <si>
    <t>Order O1 'Awaiting Manual Verify'; manual override log empty</t>
  </si>
  <si>
    <t>FT-05 NAC-01; BV-02; BR-032</t>
  </si>
  <si>
    <t>manualPaymentService.ManualConfirmAsync(O1, req{noBankRef}, adminId)</t>
  </si>
  <si>
    <t>Confirmation rejected (maps to 422)
Order cancelled; reserved stock released</t>
  </si>
  <si>
    <t>Stock P1 = 10</t>
  </si>
  <si>
    <t>orderService.PlaceDirectOrderAsync(req{P1, qty=11})</t>
  </si>
  <si>
    <t>Rejected: 'Insufficient stock. Available: 10'
No invoice; no stock change</t>
  </si>
  <si>
    <t>L1-MP-03</t>
  </si>
  <si>
    <t>L1-ORD-24</t>
  </si>
  <si>
    <t>Manual confirm on an already-Paid order -&gt; conflict</t>
  </si>
  <si>
    <t>Invalid phone format ('0912345678a', 9 digits) -&gt; validation error</t>
  </si>
  <si>
    <t>FT-01 AC-04; NAC-02; BR-030</t>
  </si>
  <si>
    <t>Order O1 Paid</t>
  </si>
  <si>
    <t>—</t>
  </si>
  <si>
    <t>Throws conflict (409); payment record unchanged
No duplicate ledger entry</t>
  </si>
  <si>
    <t>orderService.PlaceDirectOrderAsync(req{phone='0912345678a'})</t>
  </si>
  <si>
    <t>Rejected: 'Invalid phone number format.'
No profile lookup query executed</t>
  </si>
  <si>
    <t xml:space="preserve">  ▶  Block: RetryAllocationAsync() / GetExceptionsAsync()</t>
  </si>
  <si>
    <t xml:space="preserve">BE không validate định dạng SĐT trong PlaceDirectOrderAsync (FT-08 NAC-04 chỉ chặn ở FE) </t>
  </si>
  <si>
    <t>✅ ĐÃ FIX
OrderService.cs:595-598 validate SĐT bằng regex ^0\d{9}$, throw nếu sai định dạng.</t>
  </si>
  <si>
    <t>L1-ORD-25</t>
  </si>
  <si>
    <t>L1-MP-04</t>
  </si>
  <si>
    <t>Empty product list -&gt; submission blocked</t>
  </si>
  <si>
    <t>Retry allocation of an unmatched SePay transaction -&gt; re-matched to correct order</t>
  </si>
  <si>
    <t>FT-01 AC-05; BR-030</t>
  </si>
  <si>
    <t>FT-03 AC-03; AC-05</t>
  </si>
  <si>
    <t>req.Items = []</t>
  </si>
  <si>
    <t>Exception item E1 (webhook arrived without matched order); order now identifiable</t>
  </si>
  <si>
    <t>orderService.PlaceDirectOrderAsync(req)</t>
  </si>
  <si>
    <t>manualPaymentService.RetryAllocationAsync(O1, adminId, note)</t>
  </si>
  <si>
    <t>Transaction allocated to O1; removed from exception list; note stored</t>
  </si>
  <si>
    <t>Rejected; missing fields highlighted; nothing persisted</t>
  </si>
  <si>
    <t>GenerateSePayQrAsync()</t>
  </si>
  <si>
    <t>L1-MP-05</t>
  </si>
  <si>
    <t>L1-ORD-26</t>
  </si>
  <si>
    <t>GetExceptions returns ONLY unresolved SePay exceptions</t>
  </si>
  <si>
    <t>FT-03 AC-03</t>
  </si>
  <si>
    <t>Confirm -&gt; atomic: invoice + purchase history + stock deduction</t>
  </si>
  <si>
    <t>FT-05 AC-02; BR-032; NFR-A05</t>
  </si>
  <si>
    <t>DB: 2 unresolved + 1 resolved exception items</t>
  </si>
  <si>
    <t>manualPaymentService.GetExceptionsAsync()</t>
  </si>
  <si>
    <t>Returns exactly the 2 unresolved items</t>
  </si>
  <si>
    <t>Stock P1 = 10; req{P1, qty=4}</t>
  </si>
  <si>
    <t>Invoice persisted; customer history appended; stock P1 = 6
All three in one transaction (verify rollback on forced failure)</t>
  </si>
  <si>
    <t>L1-ORD-27</t>
  </si>
  <si>
    <t>Line qty = available stock exactly -&gt; allowed, stock becomes 0</t>
  </si>
  <si>
    <t>FT-05 BV-01; BR-032</t>
  </si>
  <si>
    <t>ProcessSePayWebhookAsync()</t>
  </si>
  <si>
    <t>orderService.PlaceDirectOrderAsync(req{P1, qty=10})</t>
  </si>
  <si>
    <t>Invoice created; stock P1 = 0 (not negative)</t>
  </si>
  <si>
    <t xml:space="preserve">  ▶  Block: RequestVatInvoiceAsync()  |  FT-06 NAC-01; BR-15</t>
  </si>
  <si>
    <t>L1-ORD-28</t>
  </si>
  <si>
    <t>Request at 169h (7d + 1h) after delivery -&gt; blocked</t>
  </si>
  <si>
    <t>(chờ xác nhận) FT-01 AC-03</t>
  </si>
  <si>
    <t>Order Delivered at NOW - 169h (mock time)</t>
  </si>
  <si>
    <t>orderService.RequestVatInvoiceAsync(U1, O1)</t>
  </si>
  <si>
    <t>Rejected: 'VAT invoice requests must be made within 7 days of delivery.'
No VAT request record created</t>
  </si>
  <si>
    <t>L1-ORD-29</t>
  </si>
  <si>
    <t>Request at 167h59m after delivery -&gt; accepted (within 168h window)</t>
  </si>
  <si>
    <t>Đơn O1 đã Delivered; khách có MST</t>
  </si>
  <si>
    <t>CHƯA CHỐT ĐƯỢC KỲ VỌNG: SRS v2 Part 3 không định nghĩa thuế suất, quy tắc làm tròn, hay cửa sổ thời gian
Tạm assert: yêu cầu VAT được ghi nhận, RedInvoiceStatus = Pending</t>
  </si>
  <si>
    <t>L1-ORD-30</t>
  </si>
  <si>
    <t>Order not yet Delivered -&gt; VAT request rejected</t>
  </si>
  <si>
    <t>Order status = In Delivery</t>
  </si>
  <si>
    <t>Rejected; no request record</t>
  </si>
  <si>
    <t xml:space="preserve">  ▶  Block: GetOrderHistoryAsync() / GetOrderDetailForCustomerAsync()</t>
  </si>
  <si>
    <t>L1-ORD-31</t>
  </si>
  <si>
    <t>Customer requests another customer's order detail -&gt; not found/forbidden</t>
  </si>
  <si>
    <t>Order O9 belongs to customer U9</t>
  </si>
  <si>
    <t>orderService.GetOrderDetailForCustomerAsync(U1, O9)</t>
  </si>
  <si>
    <t>Throws not-found/forbidden; no data leaked</t>
  </si>
  <si>
    <t>L1-ORD-32</t>
  </si>
  <si>
    <t>History returns only the caller's orders, paged</t>
  </si>
  <si>
    <t>U1 has 3 orders; U9 has 2</t>
  </si>
  <si>
    <t>orderService.GetOrderHistoryAsync(U1, query{page=1})</t>
  </si>
  <si>
    <t>Result contains exactly U1's 3 orders; TotalCount = 3</t>
  </si>
  <si>
    <t xml:space="preserve">  ▶  Block: RejectOrderAsync() / RequestCancelOrderAsync() / ProcessCancelRequestAsync()  |  cancellation flows</t>
  </si>
  <si>
    <t>L1-ORD-33</t>
  </si>
  <si>
    <t>Sales rejects 'Order Received' with reason -&gt; order closed, customer notified</t>
  </si>
  <si>
    <t>FT-08 AC-01; BR-017</t>
  </si>
  <si>
    <t>Order O1 'Order Received'; reason provided</t>
  </si>
  <si>
    <t>orderService.RejectOrderAsync(O1, staffId, 'out of stock')</t>
  </si>
  <si>
    <t>Order moved to rejected/cancelled terminal state; reason stored
Customer notification created; reserved stock released</t>
  </si>
  <si>
    <t>ConfirmOrderAsync()</t>
  </si>
  <si>
    <t>L1-ORD-34</t>
  </si>
  <si>
    <t>Reject without a reason -&gt; validation error</t>
  </si>
  <si>
    <t>FT-08 AC-01</t>
  </si>
  <si>
    <t>Order O1 'Order Received'</t>
  </si>
  <si>
    <t>orderService.RejectOrderAsync(O1, staffId, '')</t>
  </si>
  <si>
    <t>Rejected: reason required; status unchanged</t>
  </si>
  <si>
    <t>RejectOrderAsync không bắt buộc lý do (reason bị bỏ qua, không lưu) — spec gap FT-04 NAC-04, đề xuất log defect</t>
  </si>
  <si>
    <t>✅ ĐÃ FIX
OrderService.cs:1742-1745 throw nếu reason rỗng; lưu vào order.CancelReason (1765).</t>
  </si>
  <si>
    <t>L1-ORD-35</t>
  </si>
  <si>
    <t>Customer requests cancellation while order still 'Order Received' -&gt; request recorded</t>
  </si>
  <si>
    <t>Order O1 'Order Received', owner U1</t>
  </si>
  <si>
    <t>orderService.RequestCancelOrderAsync(O1, U1, req{reason})</t>
  </si>
  <si>
    <t>Cancel request persisted, pending Sales decision
Sales notified; order not yet cancelled</t>
  </si>
  <si>
    <t>L1-ORD-36</t>
  </si>
  <si>
    <t>Cancel request on an order already In Delivery -&gt; rejected</t>
  </si>
  <si>
    <t>FT-08 AC-01; NAC-05</t>
  </si>
  <si>
    <t>PlaceDirectOrderAsync() — walk-in</t>
  </si>
  <si>
    <t>Order O1 'In Delivery'</t>
  </si>
  <si>
    <t>orderService.RequestCancelOrderAsync(O1, U1, req)</t>
  </si>
  <si>
    <t>Throws conflict; no cancel request created</t>
  </si>
  <si>
    <t>L1-ORD-37</t>
  </si>
  <si>
    <t>Sales approves cancel request -&gt; order Cancelled, reserved stock released</t>
  </si>
  <si>
    <t>Order O1 with pending cancel request</t>
  </si>
  <si>
    <t>orderService.ProcessCancelRequestAsync(O1, staffId, req{approve=true})</t>
  </si>
  <si>
    <t>Order Status = Cancelled (terminal); stock reservation released
Customer notified of outcome</t>
  </si>
  <si>
    <t xml:space="preserve">  ▶  Block: ScheduleDeliveryAsync()  |  FT-04 AC-03, NAC-01, BV-01; BR-10</t>
  </si>
  <si>
    <t>L1-ORD-38</t>
  </si>
  <si>
    <t>Packed + free vehicle/shift -&gt; In Delivery + SMS/Email to customer</t>
  </si>
  <si>
    <t>FT-07 AC-01; BV-01; BR-037</t>
  </si>
  <si>
    <t>Đơn O1: FulfillmentStatus = HandedOver (8), DeliveryStatus = NotScheduled (0)
Xe V1 active, ca Morning còn trống</t>
  </si>
  <si>
    <t>orderService.ScheduleDeliveryAsync(staffId, dto{O1, vehicleId, shift})</t>
  </si>
  <si>
    <t>DeliveryStatus = Scheduled (1)
Ghi nhận xe + ca + ngày; khách nhận thông báo</t>
  </si>
  <si>
    <t>L1-ORD-39</t>
  </si>
  <si>
    <t>Chosen vehicle/shift at max capacity -&gt; blocked with 'fully booked' error</t>
  </si>
  <si>
    <t>FT-07 NAC-01; BV-01; BR-037</t>
  </si>
  <si>
    <t>V1/Morning already at configured max load</t>
  </si>
  <si>
    <t>orderService.ScheduleDeliveryAsync(staffId, dto{O1, V1, Morning})</t>
  </si>
  <si>
    <t>Rejected: 'Selected shift/vehicle is fully booked. Please choose an alternative.'
No assignment persisted; status unchanged</t>
  </si>
  <si>
    <t>L1-ORD-40</t>
  </si>
  <si>
    <t>BVA-Max / BVA-Max+1</t>
  </si>
  <si>
    <t>Vehicle 5 assignable; vehicle id #6 (non-existent fleet slot) rejected</t>
  </si>
  <si>
    <t>FT-07 BV-01; BR-037</t>
  </si>
  <si>
    <t>Fleet = exactly 5 vehicles, 3 shifts ([Theory] both points)</t>
  </si>
  <si>
    <t>ScheduleDeliveryAsync with 5th vehicle, then a 6th vehicle id</t>
  </si>
  <si>
    <t>5th vehicle: assignment succeeds
6th vehicle: rejected — fleet is fixed at 5</t>
  </si>
  <si>
    <t>L1-ORD-41</t>
  </si>
  <si>
    <t>Shift value outside {Morning, Midday, Afternoon} -&gt; validation error</t>
  </si>
  <si>
    <t>FT-07 NAC-01; BV-01</t>
  </si>
  <si>
    <t>orderService.ScheduleDeliveryAsync(staffId, dto{shift='Night'})</t>
  </si>
  <si>
    <t>WarehouseService  |  methods: GetOrdersForWarehouseAsync, GetOrderDetailAsync, AcceptOrderAsync, ReportShortageAsync, CompletePickTaskAsync, ConsolidateOrderAsync, HandoverOrderAsync, PostGoodsIssueAsync  |  EF Core InMemory + Mock: IHubContext&lt;SalesHub&gt;</t>
  </si>
  <si>
    <t>Rejected; no assignment</t>
  </si>
  <si>
    <t xml:space="preserve">  ▶  Block: RecordDeliveryResultAsync()  |  FT-04 AC-04, NAC-02, NAC-04; 4.4.1 rows 9-10; BR-11/BR-31</t>
  </si>
  <si>
    <t>L1-ORD-42</t>
  </si>
  <si>
    <t>COD: collected amount == total -&gt; Paid + debt ledger + Delivered</t>
  </si>
  <si>
    <t>FT-07 AC-04; BV-02; BR-039</t>
  </si>
  <si>
    <t>Đơn O1 DeliveryStatus = InDelivery (2), PaymentMethod = COD, PaymentStatus = Unpaid, tổng 5.000.000đ</t>
  </si>
  <si>
    <t>orderService.RecordDeliveryResultAsync(O1, staffId, dto{collected: 5_000_000, signed:true})</t>
  </si>
  <si>
    <t>PaymentStatus = Paid (2); DeliveryStatus = Delivered (3); OrderStatus = Completed (5)</t>
  </si>
  <si>
    <t>L1-ORD-43</t>
  </si>
  <si>
    <t>Cash collection attempted on SePay-paid order -&gt; 'Duplicate Collection Attempt' block</t>
  </si>
  <si>
    <t>FT-07 NAC-04; BR-016; BR-039</t>
  </si>
  <si>
    <t xml:space="preserve">  ▶  Block: GetOrdersForWarehouseAsync()  |  FT-04 BV-03 FIFO; BR-09</t>
  </si>
  <si>
    <t>Đơn O1 DeliveryStatus = InDelivery, PaymentStatus = Paid (đã trả qua SePay)</t>
  </si>
  <si>
    <t>orderService.RecordDeliveryResultAsync(O1, staffId, dto{collected: 5_000_000})</t>
  </si>
  <si>
    <t>Từ chối thu tiền; PaymentStatus vẫn Paid; không tạo giao dịch thu thứ 2</t>
  </si>
  <si>
    <t>L1-WH-01</t>
  </si>
  <si>
    <t>RequestVatInvoiceAsync()</t>
  </si>
  <si>
    <t>FIFO ordering: order confirmed 08:00 listed before order confirmed 08:05</t>
  </si>
  <si>
    <t xml:space="preserve">RecordDeliveryResultAsync không chặn thu tiền COD trên đơn đã Paid qua SePay (FT-04 NAC-02) </t>
  </si>
  <si>
    <t>✅ ĐÃ FIX
OrderService.cs:2165-2166 throw nếu PaymentStatus=Paid và AmountCollected&gt;0.</t>
  </si>
  <si>
    <t>L1-ORD-44</t>
  </si>
  <si>
    <t>Order A confirmed 08:00, Order B confirmed 08:05 (both Confirmed)</t>
  </si>
  <si>
    <t>warehouseService.GetOrdersForWarehouseAsync('pending', 1, 20)</t>
  </si>
  <si>
    <t>Customer rejected but staff marks Delivered WITHOUT reason code -&gt; forced to select reason</t>
  </si>
  <si>
    <t>Result[0] = Order A, Result[1] = Order B (strict ascending confirmation time)</t>
  </si>
  <si>
    <t>FT-07 NAC-03; BR-038</t>
  </si>
  <si>
    <t>Order O1 In Delivery; dto.rejected=true, reasonCode=null</t>
  </si>
  <si>
    <t>orderService.RecordDeliveryResultAsync(O1, staffId, dto)</t>
  </si>
  <si>
    <t>Rejected (maps to 422): 'Delivery Issue' reason code mandatory
Status unchanged</t>
  </si>
  <si>
    <t>PurchaseOrderService  |  methods: CreateAsync, UpdateDraftAsync, IssueAsync, SendToWarehouseAsync, CancelAsync, ResolveDiscrepancyAsync, ClosePurchaseOrderAsync  |  EF Core InMemory  |  ⚠ SRS trace TBD (purchasing domain pending BRD v6.0 scope)</t>
  </si>
  <si>
    <t>L1-WH-02</t>
  </si>
  <si>
    <t>RecordDeliveryResultAsync chỉ nhận outcome delivered/partially_delivered/failed, không có reason code bắt buộc (FT-04 NAC-04/BR-31) — spec gap.</t>
  </si>
  <si>
    <t>tabType filter returns only orders in matching status</t>
  </si>
  <si>
    <t>✅ ĐÃ FIX
OrderService.cs:2169-2170 bắt buộc RejectionReasonCode khi CustomerRejected=true; lưu ở 2268-2269.</t>
  </si>
  <si>
    <t>FT-05 AC-01</t>
  </si>
  <si>
    <t>L1-ORD-45</t>
  </si>
  <si>
    <t>Orders in Confirmed, Packing, Packed states</t>
  </si>
  <si>
    <t>Customer rejects + reason code -&gt; Awaiting Return, return record created</t>
  </si>
  <si>
    <t>warehouseService.GetOrdersForWarehouseAsync('packing', 1, 20)</t>
  </si>
  <si>
    <t>FT-07 AC-05; BV-03; BR-040; FT-08 AC-05</t>
  </si>
  <si>
    <t>Only Packing-state orders returned</t>
  </si>
  <si>
    <t>Đơn O1 DeliveryStatus = InDelivery; FailedDeliveryCount = 0</t>
  </si>
  <si>
    <t>orderService.RecordDeliveryResultAsync(O1, staffId, dto{failed:true, reasonCode})</t>
  </si>
  <si>
    <t>FailedDeliveryCount tăng lên 1; DeliveryStatus = Failed (4) hoặc Rescheduled (6)
Hàng trả về xử lý theo luồng đổi/trả</t>
  </si>
  <si>
    <t xml:space="preserve">  ▶  Block: AcceptOrderAsync()  |  4.4.1 row 4</t>
  </si>
  <si>
    <t>L1-WH-03</t>
  </si>
  <si>
    <t xml:space="preserve">  ▶  Block: RequestCancelPaidOrderAsync() / ApproveCancelAndCreateReplacementAsync()  |  no-refund replacement flow</t>
  </si>
  <si>
    <t>Confirmed order accepted by Warehouse -&gt; Packing, ticket locked to staff</t>
  </si>
  <si>
    <t>FT-05 AC-01; AC-04</t>
  </si>
  <si>
    <t>Order O1 Confirmed, stock sufficient</t>
  </si>
  <si>
    <t>warehouseService.AcceptOrderAsync(O1, whStaffId)</t>
  </si>
  <si>
    <t>Status = Packing; ticket locked to whStaffId
SalesHub notification pushed</t>
  </si>
  <si>
    <t>L1-ORD-46</t>
  </si>
  <si>
    <t>Manager approves cancel of a PAID order -&gt; replacement order created, NO monetary refund</t>
  </si>
  <si>
    <t>FT-08 AC-01; AC-02; BR-017; BR-041</t>
  </si>
  <si>
    <t xml:space="preserve">  ▶  Block: Draft lifecycle: CreateAsync() / UpdateDraftAsync()</t>
  </si>
  <si>
    <t>L1-WH-04</t>
  </si>
  <si>
    <t>Accept an order not in Confirmed state -&gt; conflict</t>
  </si>
  <si>
    <t>Order O1 Paid with pending paid-cancel request</t>
  </si>
  <si>
    <t>FT-05 NAC-05; BR-021</t>
  </si>
  <si>
    <t>orderService.ApproveCancelAndCreateReplacementAsync(O1, managerId, dto{items})</t>
  </si>
  <si>
    <t>Original order closed/cancelled; replacement order created referencing O1
Paid amount carried over as credit — NO refund transaction created</t>
  </si>
  <si>
    <t>Order O1 status = In Delivery</t>
  </si>
  <si>
    <t>L1-PO-01</t>
  </si>
  <si>
    <t>Throws conflict (409) illegal state transition; no lock created</t>
  </si>
  <si>
    <t>Create PO -&gt; status Draft with line items persisted</t>
  </si>
  <si>
    <t>FT-06 AC-01</t>
  </si>
  <si>
    <t xml:space="preserve">  ▶  Block: ReportShortageAsync()  |  4.4.1 row 6; FT-04 SB-1</t>
  </si>
  <si>
    <t>L1-ORD-47</t>
  </si>
  <si>
    <t>Valid request with supplier + 2 line items; caller = CEO</t>
  </si>
  <si>
    <t>purchaseOrderService.CreateAsync(ceoId, request)</t>
  </si>
  <si>
    <t>GetOrderHistoryAsync() / GetOrderDetailForCustomerAsync()</t>
  </si>
  <si>
    <t>Non-manager attempts to approve paid-order cancellation -&gt; forbidden</t>
  </si>
  <si>
    <t>PO persisted; Status = Draft; 2 lines with qty/price as submitted</t>
  </si>
  <si>
    <t>FT-08 NAC-05; NFR-SEC03</t>
  </si>
  <si>
    <t>L1-WH-05</t>
  </si>
  <si>
    <t>Packing + insufficient line item -&gt; Shortage, packing halted, Sales notified</t>
  </si>
  <si>
    <t>orderService.ApproveCancelAndCreateReplacementAsync(O1, salesId, dto)</t>
  </si>
  <si>
    <t>FT-05 NAC-04; BR-032</t>
  </si>
  <si>
    <t>Throws forbidden (403); no replacement created</t>
  </si>
  <si>
    <t>L1-PO-02</t>
  </si>
  <si>
    <t>Order O1 Packing; alert lists short SKU + quantities</t>
  </si>
  <si>
    <t>warehouseService.ReportShortageAsync(O1, staff, alert)</t>
  </si>
  <si>
    <t>UpdateDraft on an Issued PO -&gt; rejected</t>
  </si>
  <si>
    <t>Status = Shortage; packing flow halted
Sales notified immediately to contact customer</t>
  </si>
  <si>
    <t>FT-06 NAC-04; BR-021</t>
  </si>
  <si>
    <t>kiểm tra role Manager nằm ở controller [Authorize(Roles=...)], không unit-test được trong service — cần L3 API test.</t>
  </si>
  <si>
    <t>PO-1 Status = Issued</t>
  </si>
  <si>
    <t>purchaseOrderService.UpdateDraftAsync(PO-1, ceoId, request)</t>
  </si>
  <si>
    <t>🔒 CẦN L3 (không phải bug)
ApproveCancelAndCreateReplacementAsync (2739-2860) không tự check role trong service, nhưng [Authorize(Roles="SalesManager,Admin")] ở DeliveryController.cs:124 đã chặn. Có test L3: VietTien.IntegrationTests/RoleGateTests.cs:21-42 (L1_ORD_47_...).</t>
  </si>
  <si>
    <t>Throws conflict; PO content unchanged</t>
  </si>
  <si>
    <t xml:space="preserve">  ▶  Block: ⊕ v2.1 — Đổi/trả hàng  |  CreateReturnExchangeRequestAsync, ProcessReturnExchangeRequestAsync, CreateExchangeReplacementOrderAsync  |  FT-08</t>
  </si>
  <si>
    <t>L1-WH-06</t>
  </si>
  <si>
    <t>Report shortage on an order not in Packing -&gt; rejected</t>
  </si>
  <si>
    <t>FT-05 NAC-04</t>
  </si>
  <si>
    <t>Order O1 status = Packed</t>
  </si>
  <si>
    <t>L1-ORD-48</t>
  </si>
  <si>
    <t xml:space="preserve">  ▶  Block: IssueAsync() / SendToWarehouseAsync()</t>
  </si>
  <si>
    <t>Rejected; status unchanged; no notification</t>
  </si>
  <si>
    <t>Khách tạo yêu cầu đổi/trả cho dòng hàng đã giao -&gt; lưu kèm bằng chứng</t>
  </si>
  <si>
    <t>FT-08 AC-05; BR-019</t>
  </si>
  <si>
    <t>Đơn O1 đã Delivered; dòng P1 số lượng giao = 5; ảnh bằng chứng đính kèm</t>
  </si>
  <si>
    <t>L1-PO-03</t>
  </si>
  <si>
    <t>orderService.CreateReturnExchangeRequestAsync(U1, O1, dto{P1, qty=2, reason, evidence})</t>
  </si>
  <si>
    <t xml:space="preserve">  ▶  Block: CompletePickTaskAsync() / ConsolidateOrderAsync()  |  fulfilment pipeline (v6.0 picking flow)</t>
  </si>
  <si>
    <t>Yêu cầu lưu trạng thái chờ duyệt; số lượng yêu cầu = 2
KHÔNG thay đổi tồn kho ở bước này</t>
  </si>
  <si>
    <t>RejectOrderAsync() / RequestCancelOrderAsync() / ProcessCancelRequestAsync()</t>
  </si>
  <si>
    <t>Issue a Draft PO -&gt; Issued</t>
  </si>
  <si>
    <t>PO-1 Status = Draft with &gt;= 1 line</t>
  </si>
  <si>
    <t>purchaseOrderService.IssueAsync(PO-1, ceoId)</t>
  </si>
  <si>
    <t>L1-WH-07</t>
  </si>
  <si>
    <t>Status = Issued; issue timestamp recorded</t>
  </si>
  <si>
    <t>Complete pick task on a Packing order -&gt; pick completed, next stage enabled</t>
  </si>
  <si>
    <t>L1-ORD-49</t>
  </si>
  <si>
    <t>FT-05 AC-04; NAC-04</t>
  </si>
  <si>
    <t>Số lượng đổi/trả &gt; số lượng đã giao -&gt; từ chối</t>
  </si>
  <si>
    <t>Order O1 Packing, pick task locked to staff W1</t>
  </si>
  <si>
    <t>FT-08 BV-03</t>
  </si>
  <si>
    <t>warehouseService.CompletePickTaskAsync(O1, W1)</t>
  </si>
  <si>
    <t>Pick task marked completed; order eligible for consolidation
Progress notification pushed</t>
  </si>
  <si>
    <t>L1-PO-04</t>
  </si>
  <si>
    <t>Đơn O1 giao P1 = 5</t>
  </si>
  <si>
    <t>orderService.CreateReturnExchangeRequestAsync(U1, O1, dto{P1, qty=6})</t>
  </si>
  <si>
    <t>Issue a PO not in Draft -&gt; rejected</t>
  </si>
  <si>
    <t>Từ chối; không tạo yêu cầu
[Theory] cũng test qty = 0 và qty = 5 (hợp lệ)</t>
  </si>
  <si>
    <t>FT-06 NAC-04</t>
  </si>
  <si>
    <t>PO-1 Status = Cancelled</t>
  </si>
  <si>
    <t>L1-WH-08</t>
  </si>
  <si>
    <t>Complete pick task by a staff who does not own the lock -&gt; rejected</t>
  </si>
  <si>
    <t>Throws conflict; status unchanged</t>
  </si>
  <si>
    <t>FT-05 NAC-05; NFR-SEC03</t>
  </si>
  <si>
    <t>L1-ORD-50</t>
  </si>
  <si>
    <t>Pick task locked to W2</t>
  </si>
  <si>
    <t>Tạo yêu cầu đổi/trả trên đơn CHƯA giao -&gt; từ chối</t>
  </si>
  <si>
    <t>Throws forbidden/conflict; task state unchanged</t>
  </si>
  <si>
    <t>FT-08 AC-05</t>
  </si>
  <si>
    <t>Đơn O1 trạng thái In Delivery</t>
  </si>
  <si>
    <t>L1-PO-05</t>
  </si>
  <si>
    <t>orderService.CreateReturnExchangeRequestAsync(U1, O1, dto)</t>
  </si>
  <si>
    <t>Từ chối theo state guard; không tạo yêu cầu</t>
  </si>
  <si>
    <t>SendToWarehouse on Issued PO -&gt; visible to warehouse for goods receipt</t>
  </si>
  <si>
    <t>L1-WH-09</t>
  </si>
  <si>
    <t>FT-06 AC-01; AC-04</t>
  </si>
  <si>
    <t>Consolidate after all pick tasks complete -&gt; order consolidated/Packed</t>
  </si>
  <si>
    <t>FT-05 AC-04; AC-03; BR-012</t>
  </si>
  <si>
    <t>purchaseOrderService.SendToWarehouseAsync(PO-1, ceoId)</t>
  </si>
  <si>
    <t>Order O1 with all pick tasks completed</t>
  </si>
  <si>
    <t>Status advances to SentToWarehouse; GoodsReceipt creation now allowed</t>
  </si>
  <si>
    <t>warehouseService.ConsolidateOrderAsync(O1, W1)</t>
  </si>
  <si>
    <t>L1-ORD-51</t>
  </si>
  <si>
    <t>Order advances to consolidated/Packed; Sales notified ready for dispatch</t>
  </si>
  <si>
    <t>Khách tạo yêu cầu trên đơn của khách khác -&gt; forbidden</t>
  </si>
  <si>
    <t>Đơn O9 thuộc khách U9</t>
  </si>
  <si>
    <t>orderService.CreateReturnExchangeRequestAsync(U1, O9, dto)</t>
  </si>
  <si>
    <t xml:space="preserve">  ▶  Block: CancelAsync() / ResolveDiscrepancyAsync() / ClosePurchaseOrderAsync()</t>
  </si>
  <si>
    <t xml:space="preserve">  ▶  Block: HandoverOrderAsync() / PostGoodsIssueAsync()  |  FT-04 AC-02, NAC-03; BV-02</t>
  </si>
  <si>
    <t>Ném forbidden/not-found; không lộ dữ liệu đơn O9</t>
  </si>
  <si>
    <t>✅ ĐÃ FIX
OrderService.cs:2376-2385 check CustomerProfile.UserId == requestedByUserId, throw UnauthorizedAccessException nếu không khớp.</t>
  </si>
  <si>
    <t>L1-ORD-52</t>
  </si>
  <si>
    <t>L1-PO-06</t>
  </si>
  <si>
    <t>L1-WH-10</t>
  </si>
  <si>
    <t>Manager duyệt yêu cầu -&gt; chuyển bước thu hồi hàng</t>
  </si>
  <si>
    <t>Handover with signature -&gt; HandoverRecord created, order released to delivery</t>
  </si>
  <si>
    <t>Cancel a Draft PO -&gt; Cancelled (terminal)</t>
  </si>
  <si>
    <t>FT-05 AC-05; BV-03; BR-034</t>
  </si>
  <si>
    <t>Yêu cầu R1 đang chờ duyệt; caller có vai trò Sales Manager</t>
  </si>
  <si>
    <t>orderService.ProcessReturnExchangeRequestAsync(R1, managerId, dto{approve=true})</t>
  </si>
  <si>
    <t>Order O1 Packed/consolidated; signature payload provided</t>
  </si>
  <si>
    <t>PO-1 Status = Draft</t>
  </si>
  <si>
    <t>R1 = Approved; tạo nhiệm vụ thu hồi hàng; khách được thông báo</t>
  </si>
  <si>
    <t>warehouseService.HandoverOrderAsync(O1, W1, signatureBase64)</t>
  </si>
  <si>
    <t>purchaseOrderService.CancelAsync(PO-1, ceoId)</t>
  </si>
  <si>
    <t>HandoverRecord persisted with signature + staff + timestamp
Order released to delivery scheduling</t>
  </si>
  <si>
    <t>Status = Cancelled; further Issue/Update rejected</t>
  </si>
  <si>
    <t>L1-ORD-53</t>
  </si>
  <si>
    <t>Sales Staff tự duyệt yêu cầu đổi/trả -&gt; forbidden</t>
  </si>
  <si>
    <t>L1-WH-11</t>
  </si>
  <si>
    <t>Post goods issue -&gt; finished-goods stock decremented atomically</t>
  </si>
  <si>
    <t>L1-PO-07</t>
  </si>
  <si>
    <t>Caller vai trò Sales Staff</t>
  </si>
  <si>
    <t>FT-05 AC-05; BV-01; BV-02; BR-032; NFR-A05</t>
  </si>
  <si>
    <t>orderService.ProcessReturnExchangeRequestAsync(R1, salesId, dto{approve=true})</t>
  </si>
  <si>
    <t>Close PO with unresolved receipt discrepancy -&gt; blocked</t>
  </si>
  <si>
    <t>Ném forbidden (403); trạng thái R1 không đổi</t>
  </si>
  <si>
    <t>Order O1 lines: P1 qty=4; stock P1 = 10</t>
  </si>
  <si>
    <t>FT-06 AC-05; NAC-03; BR-036</t>
  </si>
  <si>
    <t>PO-1 has GoodsReceipt with qty discrepancy, not yet resolved</t>
  </si>
  <si>
    <t>purchaseOrderService.ClosePurchaseOrderAsync(PO-1, ceoId)</t>
  </si>
  <si>
    <t>Phân quyền ở [Authorize] Controller — chuyển L3</t>
  </si>
  <si>
    <t>warehouseService.PostGoodsIssueAsync(O1, W1)</t>
  </si>
  <si>
    <t>Rejected: discrepancy must be resolved first; status unchanged</t>
  </si>
  <si>
    <t>🔒 CẦN L3 (không phải bug)
ProcessReturnExchangeRequestAsync (2454-2471) không tự check role, nhưng [Authorize(Roles="SalesManager,Admin")] ở OrderController.cs:485 đã chặn. Có test L3: VietTien.IntegrationTests/RoleGateTests.cs:44-65 (L1_ORD_53_...).</t>
  </si>
  <si>
    <t>Stock P1 = 6; StockTransaction logged
Decrement + status update in ONE transaction</t>
  </si>
  <si>
    <t>L1-ORD-54</t>
  </si>
  <si>
    <t>Duyệt lại yêu cầu đã ở trạng thái kết thúc -&gt; conflict</t>
  </si>
  <si>
    <t>FT-08 NAC-05</t>
  </si>
  <si>
    <t>R1 = Approved (hoặc Rejected)</t>
  </si>
  <si>
    <t>orderService.ProcessReturnExchangeRequestAsync(R1, managerId, dto)</t>
  </si>
  <si>
    <t>Ném conflict; không tạo nhiệm vụ thu hồi lần 2</t>
  </si>
  <si>
    <t>L1-WH-12</t>
  </si>
  <si>
    <t>L1-ORD-55</t>
  </si>
  <si>
    <t>ScheduleDeliveryAsync()</t>
  </si>
  <si>
    <t>Post goods issue when stock would go negative -&gt; blocked, no partial decrement</t>
  </si>
  <si>
    <t>FT-05 NAC-01; BV-01; BR-032</t>
  </si>
  <si>
    <t>Đổi CÙNG mã hàng -&gt; giữ nguyên đơn giá gốc</t>
  </si>
  <si>
    <t>FT-08 AC-05; BR-043</t>
  </si>
  <si>
    <t>Order O1 lines: P1 qty=4, P2 qty=2; stock P1=10, P2=1</t>
  </si>
  <si>
    <t>Rejected: insufficient stock
P1 stock still 10 (full rollback — all-or-nothing)</t>
  </si>
  <si>
    <t>R1 approved, đổi P1 sang chính P1; đơn giá gốc 50.000</t>
  </si>
  <si>
    <t>orderService.CreateExchangeReplacementOrderAsync(R1, staffId, dto)</t>
  </si>
  <si>
    <t>Đơn thay thế dùng đúng đơn giá 50.000 (không áp giá hiện hành)
Không phát sinh khoản phải thu thêm</t>
  </si>
  <si>
    <t>L1-ORD-56</t>
  </si>
  <si>
    <t>Đổi SANG mã hàng khác -&gt; áp giá hiện hành + xử lý chênh lệch</t>
  </si>
  <si>
    <t>FT-08 AC-03; BR-042; BR-043</t>
  </si>
  <si>
    <t>R1 approved, đổi P1 (50.000) sang P2 (70.000)</t>
  </si>
  <si>
    <t>orderService.CreateExchangeReplacementOrderAsync(R1, staffId, dto{P2})</t>
  </si>
  <si>
    <t>Đơn thay thế dùng giá hiện hành của P2
Chênh lệch dương -&gt; đơn ở trạng thái còn phải thu; chênh lệch âm -&gt; tạo credit</t>
  </si>
  <si>
    <t xml:space="preserve">  ▶  Block: ⊕ v2.1 — Thu hồi hàng  |  GetPendingPickupsAsync, SchedulePickupAsync, ConfirmPickupAsync  |  FT-08</t>
  </si>
  <si>
    <t>L1-ORD-57</t>
  </si>
  <si>
    <t>Danh sách chờ thu hồi chỉ chứa yêu cầu đã duyệt, chưa thu</t>
  </si>
  <si>
    <t>3 yêu cầu: 1 chờ duyệt, 1 đã duyệt chưa thu, 1 đã thu xong</t>
  </si>
  <si>
    <t>orderService.GetPendingPickupsAsync(query)</t>
  </si>
  <si>
    <t>Chỉ trả đúng 1 mục (đã duyệt, chưa thu)</t>
  </si>
  <si>
    <t>L1-ORD-58</t>
  </si>
  <si>
    <t>Lên lịch thu hồi -&gt; lưu ngày/ca và người phụ trách</t>
  </si>
  <si>
    <t>FT-08 AC-05; FT-07 BV-01</t>
  </si>
  <si>
    <t>Yêu cầu R1 đã duyệt</t>
  </si>
  <si>
    <t>orderService.SchedulePickupAsync(R1, staffId, dto{date, shift})</t>
  </si>
  <si>
    <t>Lịch thu hồi được lưu; khách nhận thông báo</t>
  </si>
  <si>
    <t>RecordDeliveryResultAsync()</t>
  </si>
  <si>
    <t>L1-ORD-59</t>
  </si>
  <si>
    <t>Xác nhận đã thu hồi -&gt; hàng vào khu cách ly, KHÔNG vào tồn bán được</t>
  </si>
  <si>
    <t>FT-08 AC-05; BR-019; BR-032</t>
  </si>
  <si>
    <t>R1 đã lên lịch; tồn khả dụng P1 = 10</t>
  </si>
  <si>
    <t>orderService.ConfirmPickupAsync(R1, staffId, dto{qty=2})</t>
  </si>
  <si>
    <t>Tồn khả dụng P1 VẪN = 10 (hàng vào Quarantine, không cộng vào Available)
Ghi nhận số lượng thu hồi thực tế</t>
  </si>
  <si>
    <t>L1-ORD-60</t>
  </si>
  <si>
    <t>Xác nhận thu hồi khi chưa lên lịch -&gt; từ chối</t>
  </si>
  <si>
    <t>FT-08 NAC-04</t>
  </si>
  <si>
    <t>R1 đã duyệt nhưng chưa có lịch thu hồi</t>
  </si>
  <si>
    <t>orderService.ConfirmPickupAsync(R1, staffId, dto)</t>
  </si>
  <si>
    <t>Từ chối theo state guard; không đổi tồn kho</t>
  </si>
  <si>
    <t xml:space="preserve">  ▶  Block: ⊕ v2.1 — Đổi chữ ký method (thêm tham số caller)  |  GenerateSePayQrAsync, GetPaymentStatusAsync, UploadInvoicePdfAsync, GetSalesDashboardStatsAsync</t>
  </si>
  <si>
    <t>L1-ORD-61</t>
  </si>
  <si>
    <t>GenerateSePayQr: khách khác gọi trên đơn không thuộc mình -&gt; forbidden</t>
  </si>
  <si>
    <t>Đơn O9 thuộc U9</t>
  </si>
  <si>
    <t>orderService.GenerateSePayQrAsync(O9, callerUserId=U1, callerRole='Customer')</t>
  </si>
  <si>
    <t>Ném forbidden; KHÔNG sinh QR và không lộ mã tham chiếu</t>
  </si>
  <si>
    <t>RequestCancelPaidOrderAsync() / ApproveCancelAndCreateReplacementAsync()</t>
  </si>
  <si>
    <t>L1-ORD-62</t>
  </si>
  <si>
    <t>GetPaymentStatus: truy cập chéo khách hàng -&gt; forbidden</t>
  </si>
  <si>
    <t>orderService.GetPaymentStatusAsync(O9, callerUserId=U1, callerRole='Customer')</t>
  </si>
  <si>
    <t>Ném forbidden; không trả trạng thái thanh toán</t>
  </si>
  <si>
    <t>L1-ORD-63</t>
  </si>
  <si>
    <t>GetPaymentStatus: Sales Manager xem được đơn ngoài phạm vi khách</t>
  </si>
  <si>
    <t>NFR-SEC03</t>
  </si>
  <si>
    <t>orderService.GetPaymentStatusAsync(O9, callerUserId=M1, callerRole='SalesManager')</t>
  </si>
  <si>
    <t>Đổi/trả hàng</t>
  </si>
  <si>
    <t>Trả về trạng thái bình thường (vai trò nội bộ được phép)</t>
  </si>
  <si>
    <t>L1-ORD-64</t>
  </si>
  <si>
    <t>UploadInvoicePdf: sai vai trò -&gt; forbidden</t>
  </si>
  <si>
    <t>NFR-SEC03; NFR-SEC07</t>
  </si>
  <si>
    <t>Caller vai trò Customer</t>
  </si>
  <si>
    <t>orderService.UploadInvoicePdfAsync(O1, file, callerUserId=U1, callerRole='Customer')</t>
  </si>
  <si>
    <t>Ném forbidden; file không được lưu</t>
  </si>
  <si>
    <t>L1-ORD-65</t>
  </si>
  <si>
    <t>GetSalesDashboardStats: scopedSalesStaffId lọc đúng phạm vi</t>
  </si>
  <si>
    <t>FT-09 AC-01; NAC-01</t>
  </si>
  <si>
    <t>S1 có 3 đơn, S2 có 2 đơn</t>
  </si>
  <si>
    <t>orderService.GetSalesDashboardStatsAsync(scopedSalesStaffId=S1)</t>
  </si>
  <si>
    <t>Số liệu chỉ tính 3 đơn của S1; không lẫn đơn của S2</t>
  </si>
  <si>
    <t>L1-ORD-66</t>
  </si>
  <si>
    <t>GetSalesDashboardStats: scopedSalesStaffId = null -&gt; phạm vi toàn nhóm (Manager)</t>
  </si>
  <si>
    <t>FT-09 AC-01</t>
  </si>
  <si>
    <t>orderService.GetSalesDashboardStatsAsync(scopedSalesStaffId: null)</t>
  </si>
  <si>
    <t>Số liệu tính đủ 5 đơn</t>
  </si>
  <si>
    <t xml:space="preserve">  ▶  Block: ⊕ v2.1 — Truy vấn công khai &amp; thống kê  |  TrackOrderPublicAsync, GetSpendingStatsAsync, GetDeliveryOrdersAsync, GetSalesOrdersAsync</t>
  </si>
  <si>
    <t>L1-ORD-67</t>
  </si>
  <si>
    <t>Tra cứu đơn công khai bằng mã -&gt; chỉ trả thông tin không nhạy cảm</t>
  </si>
  <si>
    <t>FT-01 AC-05; NFR-SEC06</t>
  </si>
  <si>
    <t>Đơn O1 tồn tại</t>
  </si>
  <si>
    <t>orderService.TrackOrderPublicAsync('ORD-xxxx')</t>
  </si>
  <si>
    <t>Trả trạng thái + mốc thời gian
KHÔNG trả số điện thoại/địa chỉ đầy đủ/giá vốn (PII được mask)</t>
  </si>
  <si>
    <t>✅ ĐÃ FIX
OrderService.cs:1317-1318 set null CustomerPhone/ShippingAddress cho tra cứu công khai; CostSnapshot không được trả.</t>
  </si>
  <si>
    <t>L1-ORD-68</t>
  </si>
  <si>
    <t>Tra cứu mã đơn không tồn tại -&gt; không lộ sự tồn tại</t>
  </si>
  <si>
    <t>FT-01 NAC-05</t>
  </si>
  <si>
    <t>Không có đơn mã 'ORD-9999'</t>
  </si>
  <si>
    <t>orderService.TrackOrderPublicAsync('ORD-9999')</t>
  </si>
  <si>
    <t>Trả not-found chung; không phân biệt được đơn có tồn tại hay không</t>
  </si>
  <si>
    <t>L1-ORD-69</t>
  </si>
  <si>
    <t>Thống kê chi tiêu chỉ tính đơn của chính khách và không tính đơn huỷ</t>
  </si>
  <si>
    <t>U1 có 2 đơn Delivered + 1 đơn Cancelled; U9 có 1 đơn</t>
  </si>
  <si>
    <t>orderService.GetSpendingStatsAsync(U1, query)</t>
  </si>
  <si>
    <t>Chỉ cộng 2 đơn Delivered của U1</t>
  </si>
  <si>
    <t>L1-ORD-70</t>
  </si>
  <si>
    <t>Danh sách đơn giao cho Sales chỉ gồm đơn thuộc phạm vi phụ trách</t>
  </si>
  <si>
    <t>Thu hồi hàng</t>
  </si>
  <si>
    <t>FT-04 AC-01; NFR-SEC03</t>
  </si>
  <si>
    <t>S1 phụ trách U1; S2 phụ trách U9</t>
  </si>
  <si>
    <t>orderService.GetDeliveryOrdersAsync(S1, query)</t>
  </si>
  <si>
    <t>Chỉ trả đơn của khách do S1 phụ trách</t>
  </si>
  <si>
    <t>L1-ORD-71</t>
  </si>
  <si>
    <t>GetSalesOrderDetail: Sales xem đơn ngoài phạm vi -&gt; forbidden</t>
  </si>
  <si>
    <t>NFR-SEC03; FT-04 NAC-04</t>
  </si>
  <si>
    <t>Đơn O9 thuộc khách của S2</t>
  </si>
  <si>
    <t>orderService.GetSalesOrderDetailAsync(S1, O9)</t>
  </si>
  <si>
    <t>Ném forbidden/not-found</t>
  </si>
  <si>
    <t>GetSalesOrderDetailAsync không có tham số caller — chuyển L3</t>
  </si>
  <si>
    <t>✅ ĐÃ FIX
OrderService.cs:1481,1501-1506 nhận Guid? salesStaffId, throw nếu khác order.SalesStaffId — đúng theo commit 4517274.</t>
  </si>
  <si>
    <t xml:space="preserve">  ▶  Block: ⊕ v2.2 — Ngưỡng giao hỏng  |  DELIVERY_FAILURE_MANAGER_THRESHOLD vs hard-code  |  FT-07 BV-03; BR-040</t>
  </si>
  <si>
    <t>GoodsReceiptService  |  methods: CreateFromPOAsync, PostReceiptAsync, GetByPurchaseOrderIdAsync  |  EF Core InMemory  |  ⚠ SRS trace TBD (purchasing domain)</t>
  </si>
  <si>
    <t>L1-ORD-72</t>
  </si>
  <si>
    <t>FailedDeliveryCount tại 2 / 3 / 4 -&gt; chặn giao và escalate</t>
  </si>
  <si>
    <t>FT-07 BV-03; BR-040</t>
  </si>
  <si>
    <t>[Theory] đơn O1 có FailedDeliveryCount = 2 / 3 trước khi ghi nhận lần hỏng tiếp theo</t>
  </si>
  <si>
    <t>Đổi chữ ký method (thêm tham số caller)</t>
  </si>
  <si>
    <t>Khi FailedDeliveryCount &gt;= 3: IsBlockedForDelivery = true + tạo escalation cho Sales Manager
Dưới 3: vẫn cho lên lịch giao lại</t>
  </si>
  <si>
    <t>SalesAllocationService  |  methods: AutoAssignCustomerAsync, AssignUnassignedCustomersAsync, GetMyCustomersAsync, GetMyCustomerDetailAsync, UpdateCustomerNoteAsync, UpdateRoundRobinAsync  |  EF Core InMemory  |  ⚠ SRS trace TBD (round-robin allocation not in SRS v1.5)</t>
  </si>
  <si>
    <t>L1-ORD-73</t>
  </si>
  <si>
    <t>Ngưỡng giao hỏng KHÔNG đọc từ SystemConfig</t>
  </si>
  <si>
    <t>FT-07 BV-03; BR-040; BR-050</t>
  </si>
  <si>
    <t>Đổi SystemConfig 'DELIVERY_FAILURE_MANAGER_THRESHOLD' từ 3 thành 5
Đơn O1 có FailedDeliveryCount = 3</t>
  </si>
  <si>
    <t>orderService.RecordDeliveryResultAsync(O1, staffId, dto{failed:true})</t>
  </si>
  <si>
    <t>KỲ VỌNG THEO SPEC: chưa chặn (vì ngưỡng đã đổi thành 5)
HÀNH VI HIỆN TẠI: vẫn chặn vì code hard-code &gt;= 3</t>
  </si>
  <si>
    <t xml:space="preserve">  ▶  Block: CreateFromPOAsync()</t>
  </si>
  <si>
    <t>✅ ĐÃ FIX
OrderService.cs:2274-2277 đọc DELIVERY_FAILURE_MANAGER_THRESHOLD qua ISystemConfigService, fallback 3 chỉ khi parse lỗi.</t>
  </si>
  <si>
    <t>L1-GR-01</t>
  </si>
  <si>
    <t xml:space="preserve">  ▶  Block: ⊕ v2.3 — Đối soát webhook: nhánh trả THIẾU  |  OrderService.cs ~L314  |  FT-03 BV-01; NAC-01; BR-009</t>
  </si>
  <si>
    <t>Create receipt from a SentToWarehouse PO -&gt; draft receipt with PO lines</t>
  </si>
  <si>
    <t>FT-06 AC-03; NAC-01; BR-014</t>
  </si>
  <si>
    <t>PO-1 Status = SentToWarehouse with 2 lines</t>
  </si>
  <si>
    <t>L1-ORD-74</t>
  </si>
  <si>
    <t>goodsReceiptService.CreateFromPOAsync(PO-1, whStaff, request)</t>
  </si>
  <si>
    <t>BVA-Min-1 + Error Path</t>
  </si>
  <si>
    <t xml:space="preserve">  ▶  Block: AutoAssignCustomerAsync() — round-robin</t>
  </si>
  <si>
    <t>transferAmount = FinalPayment - 1 -&gt; hiện tại return IM LẶNG</t>
  </si>
  <si>
    <t>Receipt persisted referencing PO-1; lines mirror PO quantities as expected qty</t>
  </si>
  <si>
    <t>FT-03 BV-01; NAC-01; BR-009</t>
  </si>
  <si>
    <t>Đơn O1 PaymentStatus = Pending, FinalPayment = 5.000.000đ
Webhook chữ ký hợp lệ, transferAmount = 4.999.999đ</t>
  </si>
  <si>
    <t>KỲ VỌNG THEO SRS: ghi PaymentException/SepayWebhookLog + tạo cảnh báo cho Sales Manager; PaymentStatus giữ Pending
HÀNH VI HIỆN TẠI: hàm `return;` im lặng — không log, không cảnh báo, không ai biết khách đã chuyển thiếu</t>
  </si>
  <si>
    <t>L1-SA-01</t>
  </si>
  <si>
    <t>L1-GR-02</t>
  </si>
  <si>
    <t>New customer auto-assigned to next staff in round-robin order</t>
  </si>
  <si>
    <t>ℹ Đối chiếu L2: OrderService.cs:323 nay dùng `!=` thay cho `&lt;` — L2-PAY-03 xanh cả 3 nhánh trên SQL Server thật. Nếu bản build hiện tại đã có thay đổi đó thì case này chuyển Pass khi chạy lại.</t>
  </si>
  <si>
    <t>FT-04 AC-02; BV-02; BR-002</t>
  </si>
  <si>
    <t>Create receipt from PO not sent to warehouse -&gt; rejected</t>
  </si>
  <si>
    <t>✅ ĐÃ FIX
OrderService.cs:337 dùng phép so sánh != thay vì &lt;, tách nhánh UNDERPAYMENT ghi PaymentException + cảnh báo (341-345), không còn return im lặng.</t>
  </si>
  <si>
    <t>FT-06 NAC-01; BR-014</t>
  </si>
  <si>
    <t>L1-ORD-75</t>
  </si>
  <si>
    <t>Staff S1, S2 active; round-robin pointer at S1</t>
  </si>
  <si>
    <t>transferAmount = FinalPayment + 1 -&gt; hiện tại vẫn ghi nhận Paid</t>
  </si>
  <si>
    <t>salesAllocationService.AutoAssignCustomerAsync(newUserId)</t>
  </si>
  <si>
    <t>FT-03 BV-01; NAC-01</t>
  </si>
  <si>
    <t>Customer assigned to S1; pointer advances to S2</t>
  </si>
  <si>
    <t>Throws conflict; no receipt created</t>
  </si>
  <si>
    <t>Đơn O1 FinalPayment = 5.000.000đ; webhook transferAmount = 5.000.001đ</t>
  </si>
  <si>
    <t>KỲ VỌNG THEO SRS BV-01 (khớp CHÍNH XÁC): từ chối + đưa vào danh sách đối soát
HÀNH VI HIỆN TẠI: điều kiện dùng `&lt;` nên trả THỪA vẫn set Paid</t>
  </si>
  <si>
    <t xml:space="preserve">  ▶  Block: PostReceiptAsync()</t>
  </si>
  <si>
    <t>ℹ Như L1-ORD-74 — hồi quy chéo bởi L2-PAY-03.</t>
  </si>
  <si>
    <t>✅ ĐÃ FIX
Cùng vị trí OrderService.cs:337-351, nhánh OVERPAYMENT bị từ chối + ghi đối soát, không tự set Paid.</t>
  </si>
  <si>
    <t>L1-SA-02</t>
  </si>
  <si>
    <t>L1-ORD-76</t>
  </si>
  <si>
    <t>Round-robin wraps: pointer at last staff -&gt; next assignment returns to first</t>
  </si>
  <si>
    <t>transferAmount = FinalPayment (khớp chính xác) -&gt; Paid</t>
  </si>
  <si>
    <t>FT-04 BV-02; BR-002</t>
  </si>
  <si>
    <t>L1-GR-03</t>
  </si>
  <si>
    <t>FT-03 AC-02; BV-01</t>
  </si>
  <si>
    <t>Staff S1, S2; pointer at S2</t>
  </si>
  <si>
    <t>Post receipt -&gt; inventory increased atomically by received qty</t>
  </si>
  <si>
    <t>Đơn O1 FinalPayment = 5.000.000đ; webhook = 5.000.000đ, chữ ký hợp lệ</t>
  </si>
  <si>
    <t>FT-06 AC-03; BV-01; BR-014</t>
  </si>
  <si>
    <t>Customer assigned to S2; pointer wraps back to S1</t>
  </si>
  <si>
    <t>PaymentStatus = Paid (2); tạo đúng 1 PaymentTransaction
Điểm giữa của [Theory] 3 mốc: -1 / khớp / +1</t>
  </si>
  <si>
    <t>Receipt R1 draft: P1 received qty = 50; stock P1 = 10</t>
  </si>
  <si>
    <t>goodsReceiptService.PostReceiptAsync(R1, whStaff)</t>
  </si>
  <si>
    <t>Stock P1 = 60; receipt Status = Posted
Inventory + receipt updated in one transaction</t>
  </si>
  <si>
    <t xml:space="preserve">  ▶  Block: AssignUnassignedCustomersAsync()</t>
  </si>
  <si>
    <t>L1-GR-04</t>
  </si>
  <si>
    <t>Post an already-posted receipt -&gt; rejected (idempotency)</t>
  </si>
  <si>
    <t>FT-06 NAC-05; BR-029</t>
  </si>
  <si>
    <t>L1-SA-03</t>
  </si>
  <si>
    <t>Receipt R1 Status = Posted; stock P1 = 60</t>
  </si>
  <si>
    <t>Throws conflict; stock remains 60 (no double increment)</t>
  </si>
  <si>
    <t>Bulk-assign distributes ALL unassigned customers and reports count</t>
  </si>
  <si>
    <t>FT-04 AC-02; AC-03; BR-002</t>
  </si>
  <si>
    <t>Truy vấn công khai &amp; thống kê</t>
  </si>
  <si>
    <t>3 unassigned customers; 2 active staff</t>
  </si>
  <si>
    <t xml:space="preserve">  ▶  Block: ⊕ v2.1 — Chứng từ &amp; danh sách  |  UploadProofAsync, GetAllAsync  |  FT-06; NFR-SEC07</t>
  </si>
  <si>
    <t>salesAllocationService.AssignUnassignedCustomersAsync(managerId)</t>
  </si>
  <si>
    <t>Result.AssignedCount = 3; no customer left unassigned
Distribution follows round-robin sequence</t>
  </si>
  <si>
    <t>L1-GR-05</t>
  </si>
  <si>
    <t>Upload chứng từ nhận hàng -&gt; lưu URL vào phiếu</t>
  </si>
  <si>
    <t xml:space="preserve">  ▶  Block: GetMyCustomerDetailAsync() / UpdateCustomerNoteAsync()</t>
  </si>
  <si>
    <t>FT-06 AC-05; NFR-SEC07</t>
  </si>
  <si>
    <t>Phiếu R1 Draft; mock cloudinary trả url</t>
  </si>
  <si>
    <t>goodsReceiptService.UploadProofAsync(R1, file)</t>
  </si>
  <si>
    <t>cloudinary được gọi 1 lần; R1.ProofUrl = url trả về</t>
  </si>
  <si>
    <t>L1-SA-04</t>
  </si>
  <si>
    <t>Staff opens detail of a customer NOT allocated to them -&gt; forbidden</t>
  </si>
  <si>
    <t>FT-04 NAC-04; NFR-SEC03</t>
  </si>
  <si>
    <t>L1-GR-06</t>
  </si>
  <si>
    <t>Customer C9 allocated to staff S2</t>
  </si>
  <si>
    <t>Upload file ngoài allowlist / vượt kích thước -&gt; từ chối</t>
  </si>
  <si>
    <t>salesAllocationService.GetMyCustomerDetailAsync(S1, C9)</t>
  </si>
  <si>
    <t>NFR-SEC07</t>
  </si>
  <si>
    <t>Throws forbidden/not-found; no data returned</t>
  </si>
  <si>
    <t>File .exe hoặc vượt giới hạn cấu hình</t>
  </si>
  <si>
    <t>goodsReceiptService.UploadProofAsync(R1, badFile)</t>
  </si>
  <si>
    <t>Từ chối; không gọi cloudinary; không lưu URL</t>
  </si>
  <si>
    <t>L1-SA-05</t>
  </si>
  <si>
    <t>Update note persists against the correct customer only</t>
  </si>
  <si>
    <t>L1-GR-07</t>
  </si>
  <si>
    <t>FT-04 AC-04</t>
  </si>
  <si>
    <t>GetAll lọc theo trạng thái và phân trang đúng</t>
  </si>
  <si>
    <t>Customer C1 allocated to S1</t>
  </si>
  <si>
    <t>FT-06 AC-04</t>
  </si>
  <si>
    <t>salesAllocationService.UpdateCustomerNoteAsync(S1, C1, 'VIP')</t>
  </si>
  <si>
    <t>C1.Note = 'VIP'; other customers untouched</t>
  </si>
  <si>
    <t>5 phiếu: 3 Posted, 2 Draft</t>
  </si>
  <si>
    <t>goodsReceiptService.GetAllAsync(query{status:'Posted', page:1})</t>
  </si>
  <si>
    <t>Trả đúng 3 phiếu Posted; TotalCount = 3</t>
  </si>
  <si>
    <t xml:space="preserve">  ▶  Block: ⊕ v2.1 — Referral &amp; cấu hình round-robin  |  ResolveReferralStaffAsync, EnsureCustomerProfileAsync, UpdateRoundRobinAsync, GetRoundRobinStateAsync  |  FT-04</t>
  </si>
  <si>
    <t>L1-SA-06</t>
  </si>
  <si>
    <t>Mã giới thiệu hợp lệ, duy nhất -&gt; trả đúng Sales được giới thiệu</t>
  </si>
  <si>
    <t>Ngưỡng giao hỏng</t>
  </si>
  <si>
    <t>FT-04 AC-02; BR-002</t>
  </si>
  <si>
    <t>Mã 'S1-REF' thuộc Sales S1 đang hoạt động</t>
  </si>
  <si>
    <t>salesAllocationService.ResolveReferralStaffAsync('S1-REF')</t>
  </si>
  <si>
    <t>Trả về S1; nguồn phân công = REFERRAL</t>
  </si>
  <si>
    <t>L1-SA-07</t>
  </si>
  <si>
    <t>Mã giới thiệu không tồn tại -&gt; không gán sai người</t>
  </si>
  <si>
    <t>FT-04 NAC-02</t>
  </si>
  <si>
    <t>Không có mã 'XXX'</t>
  </si>
  <si>
    <t>salesAllocationService.ResolveReferralStaffAsync('XXX')</t>
  </si>
  <si>
    <t>Trả null / báo lỗi; KHÔNG chọn bừa một Sales bất kỳ</t>
  </si>
  <si>
    <t>L1-SA-08</t>
  </si>
  <si>
    <t>Mã giới thiệu thuộc Sales đã ngừng hoạt động -&gt; không gán</t>
  </si>
  <si>
    <t>S3 inactive nhưng còn mã 'S3-REF'</t>
  </si>
  <si>
    <t>salesAllocationService.ResolveReferralStaffAsync('S3-REF')</t>
  </si>
  <si>
    <t>Không gán S3; chuyển sang xử lý theo quy tắc khác</t>
  </si>
  <si>
    <t>Đối soát webhook: nhánh trả THIẾU</t>
  </si>
  <si>
    <t>✅ ĐÃ FIX
SalesAllocationService.cs:373-374 lọc IsActive trong ResolveReferralStaffAsync, referral của NV nghỉ việc không được gán.</t>
  </si>
  <si>
    <t>L1-SA-09</t>
  </si>
  <si>
    <t>Mã giới thiệu khớp NHIỀU Sales -&gt; yêu cầu làm rõ, không tự chọn</t>
  </si>
  <si>
    <t>2 Sales cùng khớp mã nhập vào</t>
  </si>
  <si>
    <t>salesAllocationService.ResolveReferralStaffAsync(ambiguousCode)</t>
  </si>
  <si>
    <t>Báo mơ hồ; KHÔNG tự chọn một trong hai</t>
  </si>
  <si>
    <t>L1-SA-10</t>
  </si>
  <si>
    <t>EnsureCustomerProfile: gọi 2 lần không tạo profile trùng</t>
  </si>
  <si>
    <t>FT-04 AC-01; BV-01</t>
  </si>
  <si>
    <t>U1 chưa có CustomerProfile</t>
  </si>
  <si>
    <t>Gọi EnsureCustomerProfileAsync(U1) hai lần liên tiếp</t>
  </si>
  <si>
    <t>Chỉ tồn tại đúng 1 CustomerProfile cho U1</t>
  </si>
  <si>
    <t>L1-SA-11</t>
  </si>
  <si>
    <t>UpdateRoundRobin: bỏ staff khỏi danh sách -&gt; lần gán sau không rơi vào staff đó</t>
  </si>
  <si>
    <t>Danh sách tham gia: S1, S2, S3; con trỏ ở S1</t>
  </si>
  <si>
    <t>salesAllocationService.UpdateRoundRobinAsync(dto{participants:[S1,S3]})</t>
  </si>
  <si>
    <t>S2 bị loại; lần gán kế tiếp chỉ chọn trong S1/S3
Con trỏ vẫn hợp lệ (không trỏ ra ngoài danh sách)</t>
  </si>
  <si>
    <t>L1-SA-12</t>
  </si>
  <si>
    <t>QuotationService</t>
  </si>
  <si>
    <t>CreateQuotationFromCartAsync()</t>
  </si>
  <si>
    <t>UpdateRoundRobin với danh sách rỗng -&gt; từ chối</t>
  </si>
  <si>
    <t>FT-04 BV-02; NAC-03</t>
  </si>
  <si>
    <t>Đang có 3 staff tham gia</t>
  </si>
  <si>
    <t>salesAllocationService.UpdateRoundRobinAsync(dto{participants:[]})</t>
  </si>
  <si>
    <t>Từ chối; cấu hình cũ giữ nguyên (tránh không còn ai để phân công)</t>
  </si>
  <si>
    <t>L1-SA-13</t>
  </si>
  <si>
    <t>GetRoundRobinState trả đúng vị trí con trỏ và danh sách hiện hành</t>
  </si>
  <si>
    <t>FT-04 BV-02</t>
  </si>
  <si>
    <t>Con trỏ đang ở S2</t>
  </si>
  <si>
    <t>salesAllocationService.GetRoundRobinStateAsync()</t>
  </si>
  <si>
    <t>Trả danh sách tham gia + con trỏ = S2 (khớp với lần gán kế tiếp)</t>
  </si>
  <si>
    <t>PickUpQuotationAsync()</t>
  </si>
  <si>
    <t>CreateVersionAsync()</t>
  </si>
  <si>
    <t>ManagerReviewVersionAsync() / CeoReviewVersionAsync()</t>
  </si>
  <si>
    <t>JwtService  |  methods: GenerateAccessToken, GenerateRefreshToken, GetPrincipalFromExpiredToken, GetAccessTokenExpiry  |  Pure logic — Mock: IOptions&lt;JwtSettings&gt;</t>
  </si>
  <si>
    <t>CustomerDecisionAsync()</t>
  </si>
  <si>
    <t xml:space="preserve">  ▶  Block: GenerateAccessToken() / GetAccessTokenExpiry()  |  NFR-SEC04</t>
  </si>
  <si>
    <t>L1-JWT-01</t>
  </si>
  <si>
    <t>Token contains correct userId + role claims, signed with configured key</t>
  </si>
  <si>
    <t>JwtSettings{key, issuer, expiry=15min}; user U1 role='Customer'</t>
  </si>
  <si>
    <t>jwtService.GenerateAccessToken(user)</t>
  </si>
  <si>
    <t>Decoded token: sub/nameid = U1; role claim = 'Customer'
Issuer/audience match settings; signature valid</t>
  </si>
  <si>
    <t>AddressService  |  methods: GetAddressesAsync, CreateAddressAsync, UpdateAddressAsync, DeleteAddressAsync, SetDefaultAddressAsync  |  Mock: IUnitOfWork</t>
  </si>
  <si>
    <t>CancelQuotationAsync()</t>
  </si>
  <si>
    <t>L1-JWT-02</t>
  </si>
  <si>
    <t>Access token expiry equals configured lifetime</t>
  </si>
  <si>
    <t>JwtSettings.ExpiryMinutes = 15 (mock clock)</t>
  </si>
  <si>
    <t>jwtService.GetAccessTokenExpiry()</t>
  </si>
  <si>
    <t>Expiry = NOW + 15min (within 1s tolerance)</t>
  </si>
  <si>
    <t xml:space="preserve">  ▶  Block: GenerateRefreshToken()</t>
  </si>
  <si>
    <t>SendMessageAsync() / GetMessagesAsync()</t>
  </si>
  <si>
    <t>L1-JWT-03</t>
  </si>
  <si>
    <t xml:space="preserve">  ▶  Block: SetDefaultAddressAsync()</t>
  </si>
  <si>
    <t>Two consecutive refresh tokens are distinct and cryptographically sized</t>
  </si>
  <si>
    <t>L1-ADDR-01</t>
  </si>
  <si>
    <t>var a = GenerateRefreshToken(); var b = GenerateRefreshToken()</t>
  </si>
  <si>
    <t>Set default -&gt; chosen address default=true, ALL others reset to false</t>
  </si>
  <si>
    <t>a != b; length &gt;= 32 bytes base64 (non-guessable)</t>
  </si>
  <si>
    <t>FT-01 AC-03; BV-03; BR-028</t>
  </si>
  <si>
    <t>User U1 has A1 (default) and A2; mock ResetDefaultAsync</t>
  </si>
  <si>
    <t>addressService.SetDefaultAddressAsync(U1, A2)</t>
  </si>
  <si>
    <t>addressRepo.ClearDefaultAsync(userId) called once, then A2.IsDefault = true
Exactly one default exists</t>
  </si>
  <si>
    <t xml:space="preserve">  ▶  Block: GetPrincipalFromExpiredToken()  |  silent-refresh support</t>
  </si>
  <si>
    <t xml:space="preserve">  ▶  Block: CreateAddressAsync() / UpdateAddressAsync() / DeleteAddressAsync()</t>
  </si>
  <si>
    <t>L1-JWT-04</t>
  </si>
  <si>
    <t>Expired-but-correctly-signed token -&gt; principal extracted (lifetime NOT validated)</t>
  </si>
  <si>
    <t>L1-ADDR-02</t>
  </si>
  <si>
    <t>Token generated with settings key, expiry in the past</t>
  </si>
  <si>
    <t>ManualPaymentService</t>
  </si>
  <si>
    <t>Update an address belonging to another user -&gt; rejected</t>
  </si>
  <si>
    <t>jwtService.GetPrincipalFromExpiredToken(expiredToken)</t>
  </si>
  <si>
    <t>ManualConfirmAsync()</t>
  </si>
  <si>
    <t>Returns ClaimsPrincipal with original userId claim
No exception despite expiry</t>
  </si>
  <si>
    <t>Address A9 belongs to user U9</t>
  </si>
  <si>
    <t>addressService.UpdateAddressAsync(U1, A9, dto)</t>
  </si>
  <si>
    <t>Throws not-found/forbidden; A9 unchanged</t>
  </si>
  <si>
    <t>L1-JWT-05</t>
  </si>
  <si>
    <t>Token signed with a DIFFERENT key -&gt; rejected (null/exception)</t>
  </si>
  <si>
    <t>L1-ADDR-03</t>
  </si>
  <si>
    <t>Delete removes the address from the user's list</t>
  </si>
  <si>
    <t>FT-01 NAC-05; BR-028</t>
  </si>
  <si>
    <t>Token signed with attacker key</t>
  </si>
  <si>
    <t>jwtService.GetPrincipalFromExpiredToken(forgedToken)</t>
  </si>
  <si>
    <t>U1 has A1, A2</t>
  </si>
  <si>
    <t>Returns null or throws SecurityTokenException
No principal issued</t>
  </si>
  <si>
    <t>addressService.DeleteAddressAsync(U1, A2)</t>
  </si>
  <si>
    <t>addressRepo.Remove(A2) called; GetAddresses returns only A1</t>
  </si>
  <si>
    <t>L1-ADDR-04</t>
  </si>
  <si>
    <t>First address created for a profile becomes default</t>
  </si>
  <si>
    <t>FT-01 AC-03; BV-03</t>
  </si>
  <si>
    <t>U1 has 0 addresses</t>
  </si>
  <si>
    <t>addressService.CreateAddressAsync(U1, dto)</t>
  </si>
  <si>
    <t>Created address IsDefault = true</t>
  </si>
  <si>
    <t>RetryAllocationAsync() / GetExceptionsAsync()</t>
  </si>
  <si>
    <t>UserProfileService  |  methods: GetProfileAsync, UpdateProfileAsync, UploadAvatarAsync, DeleteAvatarAsync, ChangePasswordAsync  |  Mock: IUnitOfWork, ICloudinaryService</t>
  </si>
  <si>
    <t>WarehouseService</t>
  </si>
  <si>
    <t>GetOrdersForWarehouseAsync()</t>
  </si>
  <si>
    <t xml:space="preserve">  ▶  Block: ChangePasswordAsync()  |  NFR-SEC03</t>
  </si>
  <si>
    <t>AcceptOrderAsync()</t>
  </si>
  <si>
    <t>ReportShortageAsync()</t>
  </si>
  <si>
    <t>L1-UP-01</t>
  </si>
  <si>
    <t>Wrong current password -&gt; change rejected, hash unchanged</t>
  </si>
  <si>
    <t>User hash = BCrypt('Old!123')</t>
  </si>
  <si>
    <t>userProfileService.ChangePasswordAsync(U1, dto{current='WRONG', new='New!123'})</t>
  </si>
  <si>
    <t>CompletePickTaskAsync() / ConsolidateOrderAsync()</t>
  </si>
  <si>
    <t>Throws/returns failure; PasswordHash unchanged
SaveChangesAsync NEVER called</t>
  </si>
  <si>
    <t>L1-UP-02</t>
  </si>
  <si>
    <t>Correct current password -&gt; new BCrypt hash stored, never plaintext</t>
  </si>
  <si>
    <t>userProfileService.ChangePasswordAsync(U1, dto{current='Old!123', new='New!123'})</t>
  </si>
  <si>
    <t>New hash verifies against 'New!123'; stored value != 'New!123'
Old password no longer valid</t>
  </si>
  <si>
    <t>HandoverOrderAsync() / PostGoodsIssueAsync()</t>
  </si>
  <si>
    <t xml:space="preserve">  ▶  Block: UpdateProfileAsync() / avatar methods</t>
  </si>
  <si>
    <t>L1-UP-03</t>
  </si>
  <si>
    <t>Update changes only permitted profile fields</t>
  </si>
  <si>
    <t>FT-01 AC-03; NFR-SEC06</t>
  </si>
  <si>
    <t>User U1 existing profile</t>
  </si>
  <si>
    <t>userProfileService.UpdateProfileAsync(U1, dto{name,phone})</t>
  </si>
  <si>
    <t>Name/phone updated; Role/Email/PasswordHash untouched</t>
  </si>
  <si>
    <t>L1-UP-04</t>
  </si>
  <si>
    <t>Upload avatar delegates to Cloudinary and stores returned URL</t>
  </si>
  <si>
    <t>FT-01 AC-03; NFR-SEC07</t>
  </si>
  <si>
    <t>Mock: cloudinaryService.UploadImageAsync -&gt; 'https://cdn/x.png'</t>
  </si>
  <si>
    <t>userProfileService.UploadAvatarAsync(U1, file)</t>
  </si>
  <si>
    <t>UploadImageAsync called once with the file; profile.AvatarUrl = returned URL</t>
  </si>
  <si>
    <t>L1-UP-05</t>
  </si>
  <si>
    <t>Delete avatar removes Cloudinary asset by extracted publicId</t>
  </si>
  <si>
    <t>Profile.AvatarUrl set; mock ExtractPublicId -&gt; 'pid'; DeleteImageAsync -&gt; true</t>
  </si>
  <si>
    <t>userProfileService.DeleteAvatarAsync(U1)</t>
  </si>
  <si>
    <t>cloudinaryService.DeleteImageAsync('pid') called once; AvatarUrl cleared</t>
  </si>
  <si>
    <t>PurchaseOrderService</t>
  </si>
  <si>
    <t>Draft lifecycle: CreateAsync() / UpdateDraftAsync()</t>
  </si>
  <si>
    <t>IssueAsync() / SendToWarehouseAsync()</t>
  </si>
  <si>
    <t>SupplierService  |  methods: GetAllAsync, GetByIdAsync, CreateAsync, UpdateAsync  |  EF Core InMemory  |  ⚠ SRS trace TBD (purchasing domain)</t>
  </si>
  <si>
    <t>CancelAsync() / ResolveDiscrepancyAsync() / ClosePurchaseOrderAsync()</t>
  </si>
  <si>
    <t>InventoryService  |  methods: GetInventoryByWarehouseAsync, AdjustInventoryAsync, AddProductToWarehouseAsync  |  EF Core InMemory</t>
  </si>
  <si>
    <t xml:space="preserve">  ▶  Block: CreateAsync() / UpdateAsync() / GetByIdAsync()</t>
  </si>
  <si>
    <t>GoodsReceiptService</t>
  </si>
  <si>
    <t>CreateFromPOAsync()</t>
  </si>
  <si>
    <t>L1-SUP-01</t>
  </si>
  <si>
    <t>Create supplier with valid data -&gt; persisted and returned</t>
  </si>
  <si>
    <t>FT-09 AC-03; FT-06 AC-01</t>
  </si>
  <si>
    <t>Valid CreateSupplierRequest</t>
  </si>
  <si>
    <t>supplierService.CreateAsync(request)</t>
  </si>
  <si>
    <t>Supplier persisted; DTO fields echo request</t>
  </si>
  <si>
    <t>L1-SUP-02</t>
  </si>
  <si>
    <t>GetById with unknown id -&gt; not-found</t>
  </si>
  <si>
    <t>FT-09 AC-03</t>
  </si>
  <si>
    <t>No supplier with id Sx</t>
  </si>
  <si>
    <t>supplierService.GetByIdAsync(Sx)</t>
  </si>
  <si>
    <t>Throws not-found (or returns null) — controller maps to 404</t>
  </si>
  <si>
    <t>PostReceiptAsync()</t>
  </si>
  <si>
    <t xml:space="preserve">  ▶  Block: GetInventoryByWarehouseAsync()  |  FT-11 (inventory visibility)</t>
  </si>
  <si>
    <t>L1-SUP-03</t>
  </si>
  <si>
    <t>Update a non-existent supplier -&gt; rejected, nothing created</t>
  </si>
  <si>
    <t>No supplier Sx</t>
  </si>
  <si>
    <t>supplierService.UpdateAsync(Sx, request)</t>
  </si>
  <si>
    <t>L1-INV-01</t>
  </si>
  <si>
    <t>Throws not-found; no upsert side effect</t>
  </si>
  <si>
    <t>Filter by warehouse + search + qty range returns matching rows only</t>
  </si>
  <si>
    <t>FT-12 AC-04; FT-09 AC-01</t>
  </si>
  <si>
    <t>W1 has 3 inventory rows, W2 has 2; search 'bag' matches 1 in W1</t>
  </si>
  <si>
    <t>inventoryService.GetInventoryByWarehouseAsync(W1, 'bag', minQty=0, maxQty=100, ...)</t>
  </si>
  <si>
    <t>Only the matching W1 row returned; paging metadata correct</t>
  </si>
  <si>
    <t xml:space="preserve">  ▶  Block: AdjustInventoryAsync()  |  FT-04 BV-02 (stock &gt;= 0); auditability</t>
  </si>
  <si>
    <t>Chứng từ &amp; danh sách</t>
  </si>
  <si>
    <t>L1-INV-02</t>
  </si>
  <si>
    <t>Adjust to new quantity -&gt; inventory updated + StockTransaction audit row with note/staff</t>
  </si>
  <si>
    <t>FT-12 AC-02; AC-03; BR-044; BR-022</t>
  </si>
  <si>
    <t>Inventory I1 (P1@W1) qty = 10</t>
  </si>
  <si>
    <t>inventoryService.AdjustInventoryAsync(I1, newQuantity=7, 'stocktake', staffId)</t>
  </si>
  <si>
    <t>I1.Quantity = 7; StockTransaction logged (delta -3, note, staffId)</t>
  </si>
  <si>
    <t>L1-INV-03</t>
  </si>
  <si>
    <t>EP-Invalid + BVA-Min-1</t>
  </si>
  <si>
    <t>Adjust to negative quantity -&gt; rejected</t>
  </si>
  <si>
    <t>FT-12 NAC-03; BV-01; BR-032</t>
  </si>
  <si>
    <t>Inventory I1 qty = 10</t>
  </si>
  <si>
    <t>inventoryService.AdjustInventoryAsync(I1, newQuantity=-1, note, staffId)</t>
  </si>
  <si>
    <t>Từ chối; quantity không đổi; không ghi audit row
Assert OnHandQuantity và RawAvailable(), KHÔNG assert AvailableQuantity &gt;= 0 (luôn xanh do Math.Max)</t>
  </si>
  <si>
    <t>🟠 BẪY ASSERTION: Inventory.AvailableQuantity (Inventory.cs:24) bọc Math.Max(0, ...) nên assert "không âm" LUÔN XANH kể cả khi đã oversell. Phải assert OnHandQuantity VÀ biểu thức thô RawAvailable() (= OnHand - Reserved - Allocated - Damaged - Quarantine, CHƯA kẹp).</t>
  </si>
  <si>
    <t xml:space="preserve">  ▶  Block: AddProductToWarehouseAsync()</t>
  </si>
  <si>
    <t>L1-INV-04</t>
  </si>
  <si>
    <t>Add product to a warehouse -&gt; inventory row created with qty &gt;= 0</t>
  </si>
  <si>
    <t>FT-12 AC-01</t>
  </si>
  <si>
    <t>SalesAllocationService</t>
  </si>
  <si>
    <t>AutoAssignCustomerAsync() — round-robin</t>
  </si>
  <si>
    <t>P1 not yet stocked in W2</t>
  </si>
  <si>
    <t>inventoryService.AddProductToWarehouseAsync(req{P1,W2,qty=20}, staffId)</t>
  </si>
  <si>
    <t>Inventory row (P1,W2) created qty=20; StockTransaction logged</t>
  </si>
  <si>
    <t>L1-INV-05</t>
  </si>
  <si>
    <t>Add a product that already has an inventory row in that warehouse -&gt; rejected (no duplicate row)</t>
  </si>
  <si>
    <t>FT-12 NAC-01</t>
  </si>
  <si>
    <t>Inventory (P1,W1) already exists</t>
  </si>
  <si>
    <t>inventoryService.AddProductToWarehouseAsync(req{P1,W1,qty=5}, staffId)</t>
  </si>
  <si>
    <t>Rejected/conflict; no second row for (P1,W1)</t>
  </si>
  <si>
    <t>AssignUnassignedCustomersAsync()</t>
  </si>
  <si>
    <t>GetMyCustomerDetailAsync() / UpdateCustomerNoteAsync()</t>
  </si>
  <si>
    <t>Referral &amp; cấu hình round-robin</t>
  </si>
  <si>
    <t>GoodsIssueService  |  methods: CreateGoodsIssueAsync, UploadProofAsync, PostGoodsIssueAsync  |  EF Core InMemory + Mock: ICloudinaryService</t>
  </si>
  <si>
    <t xml:space="preserve">  ▶  Block: CreateGoodsIssueAsync() / UploadProofAsync()</t>
  </si>
  <si>
    <t>L1-GI-01</t>
  </si>
  <si>
    <t>Create goods issue draft with line items</t>
  </si>
  <si>
    <t>FT-05 AC-04</t>
  </si>
  <si>
    <t>Valid request with 2 lines; staff W1</t>
  </si>
  <si>
    <t>goodsIssueService.CreateGoodsIssueAsync(req, W1)</t>
  </si>
  <si>
    <t>GoodsIssue persisted status Draft; 2 GoodsIssueItems stored</t>
  </si>
  <si>
    <t>L1-GI-02</t>
  </si>
  <si>
    <t>Upload proof image delegates to Cloudinary and stores URL</t>
  </si>
  <si>
    <t>FT-05 AC-04; NFR-SEC07</t>
  </si>
  <si>
    <t>Issue GI-1 Draft; mock UploadEvidenceAsync -&gt; url</t>
  </si>
  <si>
    <t>goodsIssueService.UploadProofAsync(GI-1, file)</t>
  </si>
  <si>
    <t>cloudinary.UploadEvidenceAsync called once; GI-1.ProofUrl = url</t>
  </si>
  <si>
    <t xml:space="preserve">  ▶  Block: PostGoodsIssueAsync()  |  FT-04 AC-02, NAC-03; BV-02</t>
  </si>
  <si>
    <t>L1-GI-03</t>
  </si>
  <si>
    <t>Post issue -&gt; stock decremented per line, status Posted, atomic</t>
  </si>
  <si>
    <t>FT-05 AC-05; BV-02; BR-032</t>
  </si>
  <si>
    <t>GI-1 Draft: P1 qty=3; stock P1 = 10</t>
  </si>
  <si>
    <t>goodsIssueService.PostGoodsIssueAsync(GI-1, W1)</t>
  </si>
  <si>
    <t>Stock P1 = 7; GI-1 = Posted; StockTransaction rows created
All in one transaction</t>
  </si>
  <si>
    <t>L1-GI-04</t>
  </si>
  <si>
    <t>Post an already-Posted issue -&gt; conflict (no double decrement)</t>
  </si>
  <si>
    <t>FT-05 NAC-05; BR-021; BR-029</t>
  </si>
  <si>
    <t>GI-1 Posted; stock P1 = 7</t>
  </si>
  <si>
    <t>Throws conflict; stock remains 7</t>
  </si>
  <si>
    <t xml:space="preserve">  ▶  Block: ⊕ v2.1 — Bàn giao &amp; phiếu đảo  |  UpdateHandoverInfoAsync, CreateReversalAsync  |  FT-05; BR-021; BR-034</t>
  </si>
  <si>
    <t>L1-GI-05</t>
  </si>
  <si>
    <t>Cập nhật thông tin bàn giao trên phiếu CHƯA post</t>
  </si>
  <si>
    <t>FT-05 AC-05; BR-034</t>
  </si>
  <si>
    <t>GI-1 trạng thái Draft</t>
  </si>
  <si>
    <t>goodsIssueService.UpdateHandoverInfoAsync(GI-1, staffId, dto{packageCount, signature})</t>
  </si>
  <si>
    <t>Thông tin bàn giao được lưu; phiếu vẫn Draft</t>
  </si>
  <si>
    <t>L1-GI-06</t>
  </si>
  <si>
    <t>Cập nhật bàn giao trên phiếu ĐÃ post -&gt; conflict</t>
  </si>
  <si>
    <t>GI-1 trạng thái Posted</t>
  </si>
  <si>
    <t>goodsIssueService.UpdateHandoverInfoAsync(GI-1, staffId, dto)</t>
  </si>
  <si>
    <t>JwtService</t>
  </si>
  <si>
    <t>Ném conflict (chứng từ đã ghi sổ bất biến); dữ liệu không đổi</t>
  </si>
  <si>
    <t>GenerateAccessToken() / GetAccessTokenExpiry()</t>
  </si>
  <si>
    <t>L1-GI-07</t>
  </si>
  <si>
    <t>Tạo phiếu đảo -&gt; hoàn lại đúng số lượng đã xuất, KHÔNG sửa phiếu gốc</t>
  </si>
  <si>
    <t>GI-1 Posted, đã trừ P1 = 3; tồn hiện tại = 7</t>
  </si>
  <si>
    <t>goodsIssueService.CreateReversalAsync(GI-1, staffId, dto{reason})</t>
  </si>
  <si>
    <t>Tồn P1 = 10; phiếu gốc GI-1 GIỮ NGUYÊN
Phiếu đảo là chứng từ mới có tham chiếu tới GI-1</t>
  </si>
  <si>
    <t>L1-GI-08</t>
  </si>
  <si>
    <t>Tạo phiếu đảo cho phiếu chưa post -&gt; từ chối</t>
  </si>
  <si>
    <t>BR-021</t>
  </si>
  <si>
    <t>GI-1 Draft</t>
  </si>
  <si>
    <t>goodsIssueService.CreateReversalAsync(GI-1, staffId, dto)</t>
  </si>
  <si>
    <t>Từ chối; không tạo chứng từ đảo</t>
  </si>
  <si>
    <t>StockTransferService  |  methods: CreateAsync, UpdateAsync, DispatchAsync, ReceiveAsync, CancelAsync  |  EF Core InMemory  |  ⚠ multi-warehouse transfer = BRD v6.0 scope</t>
  </si>
  <si>
    <t>L1-GI-09</t>
  </si>
  <si>
    <t>Idempotency</t>
  </si>
  <si>
    <t>Tạo phiếu đảo lần 2 cho cùng phiếu gốc -&gt; chặn hoàn kép</t>
  </si>
  <si>
    <t>BR-029; BR-032</t>
  </si>
  <si>
    <t>GI-1 đã có phiếu đảo, tồn P1 = 10</t>
  </si>
  <si>
    <t>GenerateRefreshToken()</t>
  </si>
  <si>
    <t>Từ chối; tồn P1 vẫn = 10 (không cộng thêm lần nữa)</t>
  </si>
  <si>
    <t>GetPrincipalFromExpiredToken()</t>
  </si>
  <si>
    <t xml:space="preserve">  ▶  Block: CreateAsync() / DispatchAsync()</t>
  </si>
  <si>
    <t>L1-ST-01</t>
  </si>
  <si>
    <t>Create transfer Draft between two different warehouses</t>
  </si>
  <si>
    <t>FT-11 AC-01; BV-03</t>
  </si>
  <si>
    <t>W1 source, W2 destination; P1 qty=5 requested</t>
  </si>
  <si>
    <t>stockTransferService.CreateAsync(dto{W1-&gt;W2, P1 qty=5}, userId)</t>
  </si>
  <si>
    <t>Transfer persisted status Draft with 1 item
Email notification to destination warehouse (mock IEmailService)</t>
  </si>
  <si>
    <t>AddressService</t>
  </si>
  <si>
    <t>SetDefaultAddressAsync()</t>
  </si>
  <si>
    <t>L1-ST-02</t>
  </si>
  <si>
    <t>Create transfer with source == destination -&gt; rejected</t>
  </si>
  <si>
    <t>FT-11 NAC-01; BV-03</t>
  </si>
  <si>
    <t>dto{W1 -&gt; W1}</t>
  </si>
  <si>
    <t>stockTransferService.CreateAsync(dto, userId)</t>
  </si>
  <si>
    <t>Rejected validation; nothing persisted</t>
  </si>
  <si>
    <t>L1-ST-03</t>
  </si>
  <si>
    <t>Dispatch Draft transfer -&gt; source stock decremented, status Dispatched</t>
  </si>
  <si>
    <t>FT-11 AC-01; BV-01; BR-035</t>
  </si>
  <si>
    <t>CreateAddressAsync() / UpdateAddressAsync() / DeleteAddressAsync()</t>
  </si>
  <si>
    <t>Transfer T1 Draft (P1 qty=5); stock(P1,W1) = 10</t>
  </si>
  <si>
    <t>stockTransferService.DispatchAsync(T1)</t>
  </si>
  <si>
    <t>stock(P1,W1) = 5; T1 = Dispatched; StockTransaction logged</t>
  </si>
  <si>
    <t>L1-ST-04</t>
  </si>
  <si>
    <t>Dispatch a non-Draft transfer -&gt; conflict</t>
  </si>
  <si>
    <t>FT-11 NAC-04; BR-021; BR-035</t>
  </si>
  <si>
    <t>T1 Status = Dispatched</t>
  </si>
  <si>
    <t>Throws conflict; stocks unchanged</t>
  </si>
  <si>
    <t xml:space="preserve">  ▶  Block: ReceiveAsync() / CancelAsync()</t>
  </si>
  <si>
    <t>L1-ST-05</t>
  </si>
  <si>
    <t>Receive Dispatched transfer -&gt; destination stock incremented by received qty</t>
  </si>
  <si>
    <t>FT-11 AC-02; BV-02; BR-035</t>
  </si>
  <si>
    <t>T1 Dispatched (P1 qty=5); stock(P1,W2) = 2</t>
  </si>
  <si>
    <t>stockTransferService.ReceiveAsync(T1, dto{received qty=5})</t>
  </si>
  <si>
    <t>stock(P1,W2) = 7; T1 = Received (terminal)</t>
  </si>
  <si>
    <t>L1-ST-06</t>
  </si>
  <si>
    <t>Received qty &gt; dispatched qty -&gt; rejected / flagged as discrepancy</t>
  </si>
  <si>
    <t>FT-11 NAC-03; BV-02</t>
  </si>
  <si>
    <t>T1 Dispatched qty=5</t>
  </si>
  <si>
    <t>stockTransferService.ReceiveAsync(T1, dto{received qty=6})</t>
  </si>
  <si>
    <t>Rejected (or discrepancy record) — destination NOT incremented by 6</t>
  </si>
  <si>
    <t>WarehouseManagementService  |  methods: CreateWarehouseAsync, UpdateWarehouseAsync, DeleteWarehouseAsync  |  EF Core InMemory  |  ⚠ 3-warehouse model = BRD v6.0 scope</t>
  </si>
  <si>
    <t>UserProfileService</t>
  </si>
  <si>
    <t>ChangePasswordAsync()</t>
  </si>
  <si>
    <t xml:space="preserve">  ▶  Block: CRUD + delete guard</t>
  </si>
  <si>
    <t>L1-WM-01</t>
  </si>
  <si>
    <t>Create warehouse with valid data</t>
  </si>
  <si>
    <t>Valid CreateWarehouseDto</t>
  </si>
  <si>
    <t>warehouseManagementService.CreateWarehouseAsync(dto)</t>
  </si>
  <si>
    <t>Warehouse persisted; DTO echoes input</t>
  </si>
  <si>
    <t>L1-WM-02</t>
  </si>
  <si>
    <t>Delete a warehouse still holding inventory (qty &gt; 0) -&gt; blocked</t>
  </si>
  <si>
    <t>FT-09 AC-03; FT-05 NAC-01</t>
  </si>
  <si>
    <t>UpdateProfileAsync() / avatar methods</t>
  </si>
  <si>
    <t>W1 has inventory rows with qty &gt; 0</t>
  </si>
  <si>
    <t>warehouseManagementService.DeleteWarehouseAsync(W1)</t>
  </si>
  <si>
    <t>Rejected; warehouse and inventory intact</t>
  </si>
  <si>
    <t>L1-WM-03</t>
  </si>
  <si>
    <t>Update unknown warehouse id -&gt; not found</t>
  </si>
  <si>
    <t>No warehouse Wx</t>
  </si>
  <si>
    <t>warehouseManagementService.UpdateWarehouseAsync(Wx, dto)</t>
  </si>
  <si>
    <t>Throws not-found; nothing created</t>
  </si>
  <si>
    <t>SupplierService</t>
  </si>
  <si>
    <t>CreateAsync() / UpdateAsync() / GetByIdAsync()</t>
  </si>
  <si>
    <t>MaterialService  |  methods: GetAllAsync, GetByIdAsync, CreateAsync, UpdateAsync  |  EF Core InMemory  |  raw materials — FT-11 / BR-34 (partial)</t>
  </si>
  <si>
    <t>InventoryService</t>
  </si>
  <si>
    <t>GetInventoryByWarehouseAsync()</t>
  </si>
  <si>
    <t>AdjustInventoryAsync()</t>
  </si>
  <si>
    <t xml:space="preserve">  ▶  Block: CRUD</t>
  </si>
  <si>
    <t>L1-MAT-01</t>
  </si>
  <si>
    <t>Create material with valid data</t>
  </si>
  <si>
    <t>FT-12 AC-05; BR-045</t>
  </si>
  <si>
    <t>Valid CreateMaterialDto</t>
  </si>
  <si>
    <t>materialService.CreateAsync(dto)</t>
  </si>
  <si>
    <t>Material persisted; DTO fields echo input</t>
  </si>
  <si>
    <t>AddProductToWarehouseAsync()</t>
  </si>
  <si>
    <t>L1-MAT-02</t>
  </si>
  <si>
    <t>GetAll with search keyword filters by name</t>
  </si>
  <si>
    <t>FT-12 AC-05</t>
  </si>
  <si>
    <t>Materials 'Nhựa PP', 'Giấy Kraft'; search='nhựa'</t>
  </si>
  <si>
    <t>materialService.GetAllAsync('nhựa')</t>
  </si>
  <si>
    <t>Only 'Nhựa PP' returned (case-insensitive)</t>
  </si>
  <si>
    <t>L1-MAT-03</t>
  </si>
  <si>
    <t>Update unknown material id -&gt; not found</t>
  </si>
  <si>
    <t>No material Mx</t>
  </si>
  <si>
    <t>materialService.UpdateAsync(Mx, dto)</t>
  </si>
  <si>
    <t>Throws not-found; no upsert</t>
  </si>
  <si>
    <t>GoodsIssueService</t>
  </si>
  <si>
    <t>CreateGoodsIssueAsync() / UploadProofAsync()</t>
  </si>
  <si>
    <t>PostGoodsIssueAsync()</t>
  </si>
  <si>
    <t>Bàn giao &amp; phiếu đảo</t>
  </si>
  <si>
    <t>SalesChangeRequestService  |  methods: CreateAsync, CancelAsync, SubmitAdditionalInfoAsync, SubmitExplanationAsync, RequestExplanationAsync, RequestMoreInfoAsync, ApproveAsync, RejectAsync  |  EF Core InMemory  |  ⚠ sales-change workflow not in SRS v1.5</t>
  </si>
  <si>
    <t xml:space="preserve">  ▶  Block: CreateAsync() / CancelAsync()  |  customer side</t>
  </si>
  <si>
    <t>L1-SCR-01</t>
  </si>
  <si>
    <t>StockTransferService</t>
  </si>
  <si>
    <t>Customer creates a sales-change request -&gt; Pending, manager notified</t>
  </si>
  <si>
    <t>CreateAsync() / DispatchAsync()</t>
  </si>
  <si>
    <t>FT-04 AC-04; BV-03</t>
  </si>
  <si>
    <t>Customer U1 assigned to sales S1; reason provided</t>
  </si>
  <si>
    <t>salesChangeRequestService.CreateAsync(U1, dto{reason})</t>
  </si>
  <si>
    <t>Request persisted status Pending referencing U1/S1
Manager notification created</t>
  </si>
  <si>
    <t>L1-SCR-02</t>
  </si>
  <si>
    <t>Customer with an OPEN request creates another -&gt; rejected</t>
  </si>
  <si>
    <t>FT-04 BV-03</t>
  </si>
  <si>
    <t>U1 already has request in Pending</t>
  </si>
  <si>
    <t>salesChangeRequestService.CreateAsync(U1, dto)</t>
  </si>
  <si>
    <t>Rejected: one open request at a time; nothing persisted</t>
  </si>
  <si>
    <t>L1-SCR-03</t>
  </si>
  <si>
    <t>Cancel a request owned by another customer -&gt; forbidden</t>
  </si>
  <si>
    <t>Request R9 belongs to U9</t>
  </si>
  <si>
    <t>salesChangeRequestService.CancelAsync(U1, R9)</t>
  </si>
  <si>
    <t>Throws forbidden/not-found; R9 unchanged</t>
  </si>
  <si>
    <t xml:space="preserve">  ▶  Block: Review workflow: RequestExplanation / SubmitExplanation / Approve / Reject</t>
  </si>
  <si>
    <t>L1-SCR-04</t>
  </si>
  <si>
    <t>Manager requests explanation -&gt; staff notified, status advances to AwaitingExplanation</t>
  </si>
  <si>
    <t>Request R1 Pending</t>
  </si>
  <si>
    <t>salesChangeRequestService.RequestExplanationAsync(managerId, R1)</t>
  </si>
  <si>
    <t>ReceiveAsync() / CancelAsync()</t>
  </si>
  <si>
    <t>Status = AwaitingExplanation; notification to sales S1</t>
  </si>
  <si>
    <t>L1-SCR-05</t>
  </si>
  <si>
    <t>Staff submits explanation -&gt; stored, returns to manager review</t>
  </si>
  <si>
    <t>R1 AwaitingExplanation, assigned staff S1</t>
  </si>
  <si>
    <t>salesChangeRequestService.SubmitExplanationAsync(S1, R1, dto{text})</t>
  </si>
  <si>
    <t>Explanation stored; status back to manager review queue</t>
  </si>
  <si>
    <t>L1-SCR-06</t>
  </si>
  <si>
    <t>Approve -&gt; customer reallocated to chosen sales, request closed Approved</t>
  </si>
  <si>
    <t>NotificationService  |  methods: CreateNotificationAsync, CreateRoleNotificationAsync  |  EF Core InMemory</t>
  </si>
  <si>
    <t>FT-04 AC-04; AC-05; BR-031</t>
  </si>
  <si>
    <t>R1 under review; dto.newSalesId = S2</t>
  </si>
  <si>
    <t>WarehouseManagementService</t>
  </si>
  <si>
    <t>salesChangeRequestService.ApproveAsync(managerId, R1, dto)</t>
  </si>
  <si>
    <t>CRUD + delete guard</t>
  </si>
  <si>
    <t>CustomerProfile.AssignedSales = S2; R1 = Approved (terminal)
Both old &amp; new sales notified</t>
  </si>
  <si>
    <t>L1-SCR-07</t>
  </si>
  <si>
    <t>Reject with note -&gt; request closed Rejected, assignment unchanged</t>
  </si>
  <si>
    <t>R1 under review; customer assigned S1</t>
  </si>
  <si>
    <t>salesChangeRequestService.RejectAsync(managerId, R1, 'insufficient grounds')</t>
  </si>
  <si>
    <t>R1 = Rejected with note; AssignedSales still S1</t>
  </si>
  <si>
    <t xml:space="preserve">  ▶  Block: CreateNotificationAsync() / CreateRoleNotificationAsync()</t>
  </si>
  <si>
    <t>L1-NOTI-01</t>
  </si>
  <si>
    <t>Create notification persists type, recipient, title/body and reference</t>
  </si>
  <si>
    <t>FT-09 AC-02</t>
  </si>
  <si>
    <t>Recipient user U1 exists</t>
  </si>
  <si>
    <t>notificationService.CreateNotificationAsync(OrderConfirmed, U1, title, body, refId, 'Order')</t>
  </si>
  <si>
    <t>Notification row persisted: RecipientUserId=U1, unread, ReferenceId/Type set</t>
  </si>
  <si>
    <t>MaterialService</t>
  </si>
  <si>
    <t>CRUD</t>
  </si>
  <si>
    <t>L1-NOTI-02</t>
  </si>
  <si>
    <t>Role notification creates one row per user holding the role</t>
  </si>
  <si>
    <t>3 users with role SalesStaff, 2 other roles</t>
  </si>
  <si>
    <t>notificationService.CreateRoleNotificationAsync(NewOrder, SalesStaff, ...)</t>
  </si>
  <si>
    <t>Exactly 3 notification rows created — one per SalesStaff; none for other roles</t>
  </si>
  <si>
    <t>L1-NOTI-03</t>
  </si>
  <si>
    <t>Unknown recipient id -&gt; handled without crash, nothing persisted</t>
  </si>
  <si>
    <t>No user Ux</t>
  </si>
  <si>
    <t>notificationService.CreateNotificationAsync(type, Ux, ...)</t>
  </si>
  <si>
    <t>No exception bubbles to caller (or documented exception); no orphan row</t>
  </si>
  <si>
    <t>FE-Services (Vitest + MSW)  |  src/services: authService.fetchWithToken, cartService, orderService, productService  |  Mock: MSW handlers, vi.mock(navigate), localStorage stub</t>
  </si>
  <si>
    <t>SalesChangeRequestService</t>
  </si>
  <si>
    <t>CreateAsync() / CancelAsync()</t>
  </si>
  <si>
    <t xml:space="preserve">  ▶  Block: authService.fetchWithToken()  |  silent refresh — NFR-SEC04</t>
  </si>
  <si>
    <t>L1-FES-01</t>
  </si>
  <si>
    <t>Request carries Authorization: Bearer &lt;accessToken&gt;</t>
  </si>
  <si>
    <t>Access token 'jwt-1' in auth state; MSW echoes headers</t>
  </si>
  <si>
    <t>await fetchWithToken('GET','/api/orders')</t>
  </si>
  <si>
    <t>MSW captured request has header Authorization = 'Bearer jwt-1'
Response JSON returned to caller</t>
  </si>
  <si>
    <t>Review workflow: RequestExplanation / SubmitExplanation / Approve / Reject</t>
  </si>
  <si>
    <t>L1-FES-02</t>
  </si>
  <si>
    <t>401 response -&gt; silent refresh then retry original request ONCE</t>
  </si>
  <si>
    <t>MSW: first /api/orders -&gt; 401; /api/auth/refresh -&gt; new token; second /api/orders -&gt; 200</t>
  </si>
  <si>
    <t>refresh endpoint called exactly once; original request retried with NEW token
Caller receives the 200 payload — no error surfaced</t>
  </si>
  <si>
    <t>GH-31</t>
  </si>
  <si>
    <t>❌ CHƯA FIX
authService.js:4-27 fetchWithToken khi 401 chỉ xoá storage + redirect /login, KHÔNG gọi refresh token, KHÔNG retry request gốc.</t>
  </si>
  <si>
    <t>L1-FES-03</t>
  </si>
  <si>
    <t>BC-FALSE</t>
  </si>
  <si>
    <t>Refresh also fails -&gt; session cleared + redirect to /login</t>
  </si>
  <si>
    <t>NFR-SEC02; FT-01 NAC-05</t>
  </si>
  <si>
    <t>MSW: /api/orders -&gt; 401; /api/auth/refresh -&gt; 401</t>
  </si>
  <si>
    <t>Auth state cleared (logout); navigate('/login') called once
No infinite retry loop (refresh attempted once)</t>
  </si>
  <si>
    <t xml:space="preserve">  ▶  Block: cartService / orderService / productService  |  payload correctness</t>
  </si>
  <si>
    <t>L1-FES-04</t>
  </si>
  <si>
    <t>cartService.addItem posts {productId, quantity} to correct endpoint</t>
  </si>
  <si>
    <t>MSW handler on POST /api/cart/items capturing body</t>
  </si>
  <si>
    <t>await cartService.addItem({productId:'P1', quantity:2})</t>
  </si>
  <si>
    <t>Captured body = {productId:'P1', quantity:2}; success response returned</t>
  </si>
  <si>
    <t>L1-FES-05</t>
  </si>
  <si>
    <t>getOrderTimeline maps order status to the correct ordered step list</t>
  </si>
  <si>
    <t>orderStatusMeta constant loaded</t>
  </si>
  <si>
    <t>getOrderTimeline('In Delivery')</t>
  </si>
  <si>
    <t>Steps up to 'In Delivery' marked done/current in 4.4.1 order
'Delivered' step not yet active</t>
  </si>
  <si>
    <t>L1-FES-06</t>
  </si>
  <si>
    <t>NotificationService</t>
  </si>
  <si>
    <t>formatPrice renders VND with thousands separators</t>
  </si>
  <si>
    <t>NFR-U02</t>
  </si>
  <si>
    <t>CreateNotificationAsync() / CreateRoleNotificationAsync()</t>
  </si>
  <si>
    <t>formatPrice(9999999)</t>
  </si>
  <si>
    <t>Returns '9.999.999 ₫' (or project's canonical format) — assert exact current format</t>
  </si>
  <si>
    <t xml:space="preserve">  ▶  Block: ⊕ v2.3 — Endpoint gửi lại OTP  |  authService.resendOtp  |  FT-01 AC-04; BV-02</t>
  </si>
  <si>
    <t>L1-FES-07</t>
  </si>
  <si>
    <t>resendOtp gọi ĐÚNG endpoint /api/auth/resend-otp</t>
  </si>
  <si>
    <t>FT-01 AC-04</t>
  </si>
  <si>
    <t>MSW handler bắt POST /api/auth/resend-otp</t>
  </si>
  <si>
    <t>await authService.resendOtp({ email })</t>
  </si>
  <si>
    <t>Đúng 1 request tới /api/auth/resend-otp với body {email}
KHÔNG còn gọi lại /api/auth/register như cách hack cũ</t>
  </si>
  <si>
    <t>L1-FES-08</t>
  </si>
  <si>
    <t>FE-Services</t>
  </si>
  <si>
    <t>authService.fetchWithToken()</t>
  </si>
  <si>
    <t>FE-Contexts (Vitest + RTL renderHook)  |  AuthContext, CartContext, ToastContext</t>
  </si>
  <si>
    <t>Server trả 429 (quá nhanh) -&gt; hiển thị lỗi, không coi là đã gửi</t>
  </si>
  <si>
    <t>MSW trả 429 kèm errorCode OTP_RESEND_TOO_SOON</t>
  </si>
  <si>
    <t>Trả lỗi có kiểm soát; UI không hiển thị 'đã gửi'
Không tự retry ngầm</t>
  </si>
  <si>
    <t xml:space="preserve">  ▶  Block: AuthContext  |  login/logout state</t>
  </si>
  <si>
    <t>L1-FEC-01</t>
  </si>
  <si>
    <t>login() stores user + tokens; isAuthenticated = true</t>
  </si>
  <si>
    <t>cartService / orderService / productService</t>
  </si>
  <si>
    <t>MSW: /api/auth/login -&gt; {user, accessToken, refreshToken}</t>
  </si>
  <si>
    <t>act(() =&gt; result.current.login(credentials))</t>
  </si>
  <si>
    <t>user populated; isAuthenticated === true
Token available to fetchWithToken</t>
  </si>
  <si>
    <t>L1-FEC-02</t>
  </si>
  <si>
    <t>logout() clears user/token state</t>
  </si>
  <si>
    <t>Authenticated state from L1-FEC-01 setup</t>
  </si>
  <si>
    <t>act(() =&gt; result.current.logout())</t>
  </si>
  <si>
    <t>user = null; isAuthenticated === false; storage cleared</t>
  </si>
  <si>
    <t xml:space="preserve">  ▶  Block: CartContext  |  FT-01 NAC-01, cart state</t>
  </si>
  <si>
    <t>L1-FEC-03</t>
  </si>
  <si>
    <t>addItem updates cart state and cartCount</t>
  </si>
  <si>
    <t>Đã đăng nhập; MSW mock endpoint /api/Cart
ProductCard.jsx gọi addToCart({ id, name, imageUrl, price }, 1)</t>
  </si>
  <si>
    <t>act(() =&gt; result.current.addToCart({ id:'P1', name:'SP A', imageUrl:'...', price:50000 }, 2))</t>
  </si>
  <si>
    <t>Giỏ có 1 dòng P1 số lượng 2; cartCount = 2
Request gửi lên chứa productId='P1' (KHÔNG phải undefined)</t>
  </si>
  <si>
    <t>Endpoint gửi lại OTP</t>
  </si>
  <si>
    <t>L1-FEC-04</t>
  </si>
  <si>
    <t>GUEST addItem -&gt; redirect to /login, intended product preserved for post-login add</t>
  </si>
  <si>
    <t>FT-01 AC-05; NAC-05</t>
  </si>
  <si>
    <t>CHƯA đăng nhập (khách vãng lai); localStorage trống
Mock navigate</t>
  </si>
  <si>
    <t>act(() =&gt; result.current.addToCart({ id:'P1', name, price }, 1))
Sau đó đăng nhập và để CartContext chạy mergeGuestCartIntoServer()</t>
  </si>
  <si>
    <t>cartService.addGuestCartItem ghi localStorage['guestCart'] chứa P1
Sau khi đăng nhập: mergeGuestCartIntoServer() gộp P1 vào giỏ server
localStorage['guestCart'] được xoá sau khi gộp thành công</t>
  </si>
  <si>
    <t xml:space="preserve">  ▶  Block: ToastContext</t>
  </si>
  <si>
    <t>L1-FEC-05</t>
  </si>
  <si>
    <t>showToast renders toast then auto-dismisses after timeout</t>
  </si>
  <si>
    <t>NFR-U03</t>
  </si>
  <si>
    <t>FE-Contexts</t>
  </si>
  <si>
    <t>AuthContext</t>
  </si>
  <si>
    <t>FE-Components (Vitest + RTL)  |  ProtectedRoute, Cart, Checkout, PhoneVerificationModal, Pagination, ProductCard, NotificationBell</t>
  </si>
  <si>
    <t>vi.useFakeTimers()</t>
  </si>
  <si>
    <t>showToast('success','Đã thêm vào giỏ') ; vi.advanceTimersByTime(toastDuration)</t>
  </si>
  <si>
    <t>Toast visible with message; removed from DOM after duration</t>
  </si>
  <si>
    <t>CartContext</t>
  </si>
  <si>
    <t xml:space="preserve">  ▶  Block: ProtectedRoute  |  role gating — NFR-SEC04</t>
  </si>
  <si>
    <t xml:space="preserve">  ▶  Block: ⊕ v2.3 — Gộp giỏ khách vãng lai  |  mergeGuestCartIntoServer  |  FT-01 AC-05; BR-025; FT-02 NAC-01</t>
  </si>
  <si>
    <t>L1-FCMP-01</t>
  </si>
  <si>
    <t>L1-FEC-06</t>
  </si>
  <si>
    <t>Concurrency</t>
  </si>
  <si>
    <t>Unauthenticated user hits protected route -&gt; redirected to /login</t>
  </si>
  <si>
    <t>Cờ mergingRef chống chạy song song khi React StrictMode double-invoke</t>
  </si>
  <si>
    <t>localStorage['guestCart'] có 1 sản phẩm
MSW đếm số request POST /api/Cart</t>
  </si>
  <si>
    <t>Render provider trong &lt;StrictMode&gt; (effect chạy 2 lần) hoặc gọi mergeGuestCartIntoServer() 2 lần liên tiếp</t>
  </si>
  <si>
    <t>Auth state: not logged in; MemoryRouter at /checkout</t>
  </si>
  <si>
    <t>Chỉ đúng 1 lượt gộp được thực hiện; KHÔNG tạo Cart trùng, KHÔNG cộng đôi số lượng
localStorage['guestCart'] xoá đúng 1 lần</t>
  </si>
  <si>
    <t>render(&lt;ProtectedRoute&gt;&lt;Checkout/&gt;&lt;/ProtectedRoute&gt;)</t>
  </si>
  <si>
    <t>Redirect to /login rendered; Checkout content NOT in DOM</t>
  </si>
  <si>
    <t>ToastContext</t>
  </si>
  <si>
    <t>L1-FEC-07</t>
  </si>
  <si>
    <t>Giá của giỏ khách vãng lai phải do SERVER tính lại khi gộp</t>
  </si>
  <si>
    <t>L1-FCMP-02</t>
  </si>
  <si>
    <t>BR-025; FT-02 NAC-01; FT-01 AC-05</t>
  </si>
  <si>
    <t>Customer role opens /warehouse portal -&gt; access blocked</t>
  </si>
  <si>
    <t>localStorage['guestCart'] chứa P1 kèm price=1000 (giá client, có thể bị sửa tay)</t>
  </si>
  <si>
    <t>NFR-SEC03; FT-09 NAC-01</t>
  </si>
  <si>
    <t>Đăng nhập -&gt; mergeGuestCartIntoServer()</t>
  </si>
  <si>
    <t>Request gộp chỉ gửi productId + quantity; server tự tính giá và tạo PriceSnapshot tại thời điểm gộp
Nếu FE gửi kèm price và server tin theo -&gt; LỖ HỔNG cùng loại CLIENT_PRICE_MISMATCH</t>
  </si>
  <si>
    <t>Auth: role=Customer; route requires WarehouseStaff</t>
  </si>
  <si>
    <t>render warehouse route inside ProtectedRoute</t>
  </si>
  <si>
    <t>Warehouse portal NOT rendered; redirected/denied view shown</t>
  </si>
  <si>
    <t>L1-FEC-08</t>
  </si>
  <si>
    <t>Gộp giỏ khách vãng lai</t>
  </si>
  <si>
    <t>Gộp thất bại -&gt; KHÔNG xoá guestCart (không mất hàng của khách)</t>
  </si>
  <si>
    <t xml:space="preserve">  ▶  Block: Cart &amp; Checkout pages  |  FT-01 NAC-02/NAC-03; FT-02 SB-2; FT-03 BV-01</t>
  </si>
  <si>
    <t>localStorage['guestCart'] có 2 sản phẩm; MSW trả 500 cho POST /api/Cart</t>
  </si>
  <si>
    <t>localStorage['guestCart'] VẪN còn nguyên để thử lại lần sau
Hiển thị lỗi cho người dùng, không im lặng</t>
  </si>
  <si>
    <t>L1-FCMP-03</t>
  </si>
  <si>
    <t>Empty cart -&gt; 'Proceed to Checkout' disabled + tooltip</t>
  </si>
  <si>
    <t>MSW: GET /api/cart -&gt; {items: []}</t>
  </si>
  <si>
    <t>render(&lt;Cart/&gt;)</t>
  </si>
  <si>
    <t>Checkout button disabled; tooltip 'Your cart is empty...' (VN text per Screen Design)
No navigation on click</t>
  </si>
  <si>
    <t>L1-FCMP-04</t>
  </si>
  <si>
    <t>Price-Expired cart -&gt; warning banner + checkout blocked until refresh</t>
  </si>
  <si>
    <t>FT-01 NAC-03; BV-01; BR-025</t>
  </si>
  <si>
    <t>⚠ FIX MỘT PHẦN
CartContext.jsx:36-53 giữ nguyên guestCart khi merge lỗi (đúng) nhưng KHÔNG setError() nên người dùng không thấy lỗi.</t>
  </si>
  <si>
    <t>MSW: cart with isPriceExpired=true</t>
  </si>
  <si>
    <t>render(&lt;Checkout/&gt;)</t>
  </si>
  <si>
    <t>Banner 'Your cart prices may have changed...' visible
Proceed blocked until user confirms refreshed prices</t>
  </si>
  <si>
    <t>Không tồn tại isPriceExpired/banner giá trong FE — tính năng chưa có</t>
  </si>
  <si>
    <t>❌ CHƯA FIX
Suy luận từ ORD-09/GH-08 (BE vẫn chưa chặn giá hết hạn) — banner cảnh báo phía FE nhiều khả năng vẫn chưa tồn tại; CHƯA xác minh trực tiếp mã FE cho case này, cần kiểm tra lại Checkout component.</t>
  </si>
  <si>
    <t>L1-FCMP-05</t>
  </si>
  <si>
    <t>Total &gt;= 100M without negotiated price -&gt; Payment hidden, 'Request Quotation' shown</t>
  </si>
  <si>
    <t>FT-02 AC-03; BR-026</t>
  </si>
  <si>
    <t>MSW: checkout summary {total:120,000,000, requiresQuotation:true}</t>
  </si>
  <si>
    <t>'Proceed to Payment' NOT in DOM; 'Request Quotation' button rendered</t>
  </si>
  <si>
    <t>FE-Components</t>
  </si>
  <si>
    <t>⚠ FIX MỘT PHẦN
Cart.jsx:323-342 đã hiện khối 'Yêu cầu báo giá đặc biệt' khi &gt;=100M, nhưng nút 'Đặt Hàng &amp; Xem Hóa Đơn' (426-433) vẫn hiện song song — khách vẫn bấm đặt hàng thẳng được.</t>
  </si>
  <si>
    <t>ProtectedRoute</t>
  </si>
  <si>
    <t>L1-FCMP-06</t>
  </si>
  <si>
    <t>SePay 15-min countdown reaches 0 -&gt; expired state + manual-verify guidance</t>
  </si>
  <si>
    <t>FT-03 BV-01; BR-008</t>
  </si>
  <si>
    <t>vi.useFakeTimers; QR screen with expiry NOW+15min</t>
  </si>
  <si>
    <t>render QR screen; vi.advanceTimersByTime(15*60*1000)</t>
  </si>
  <si>
    <t>Countdown shows 00:00; expired message rendered
QR hidden/disabled; guidance to contact Sales for manual verification</t>
  </si>
  <si>
    <t>Màn QR SePay không có đếm ngược 15 phút — tính năng chưa có</t>
  </si>
  <si>
    <t>❌ CHƯA FIX
Checkout.jsx:379 countdown chỉ là bộ đếm 5s auto-redirect SAU khi thanh toán xong, không phải bộ đếm hết hạn QR 15 phút. Màn QR (878-960) không có countdown/trạng thái hết hạn.</t>
  </si>
  <si>
    <t xml:space="preserve">  ▶  Block: Form validation &amp; shared components</t>
  </si>
  <si>
    <t>InventoryReservationService  |  MỚI v2.1  |  methods: ReserveAsync, AllocateAsync, ReleaseReservedAsync, ReleaseAllocatedAsync, DeductOnHandAsync  |  FT-03; FT-05; BR-008/032/033</t>
  </si>
  <si>
    <t>L1-FCMP-07</t>
  </si>
  <si>
    <t>Cart &amp; Checkout pages</t>
  </si>
  <si>
    <t>Phone input '091234567' (9 digits) and '0912345678a' -&gt; validation error shown</t>
  </si>
  <si>
    <t>FT-01 NAC-02; BV-02</t>
  </si>
  <si>
    <t>render(&lt;PhoneVerificationModal/&gt;) — [Theory-style test.each]</t>
  </si>
  <si>
    <t>type invalid phone; submit</t>
  </si>
  <si>
    <t>Error 'Invalid phone number format.' displayed; submit blocked; no API call (MSW not hit)</t>
  </si>
  <si>
    <t>GH-34</t>
  </si>
  <si>
    <t>❌ CHƯA FIX
PhoneVerificationModal.jsx:29-52 chỉ check rỗng, không có regex định dạng — SĐT sai định dạng vẫn lọt qua và gọi API.</t>
  </si>
  <si>
    <t>L1-FCMP-08</t>
  </si>
  <si>
    <t>Pagination on page 1 -&gt; Prev disabled; renders correct page count</t>
  </si>
  <si>
    <t xml:space="preserve">  ▶  Block: ReserveAsync()  |  FT-03 AC-01; BR-008; BV-01</t>
  </si>
  <si>
    <t>props {page:1, totalPages:5}</t>
  </si>
  <si>
    <t>render(&lt;Pagination/&gt;)</t>
  </si>
  <si>
    <t>Prev button disabled; 5 page indicators; onChange fires with correct page</t>
  </si>
  <si>
    <t>L1-RES-01</t>
  </si>
  <si>
    <t>Giữ tồn cho đơn SePay -&gt; hạn 15 phút</t>
  </si>
  <si>
    <t>FT-03 AC-01; BR-008</t>
  </si>
  <si>
    <t>L1-FCMP-09</t>
  </si>
  <si>
    <t>Inventory P1: OnHand=10, Reserved=0, Allocated=0, Damaged=0, Quarantine=0
=&gt; AvailableQuantity = 10</t>
  </si>
  <si>
    <t>ProductCard shows formatted VND price and product name</t>
  </si>
  <si>
    <t>reservationService.ReserveAsync(new[]{ (P1, 3) })</t>
  </si>
  <si>
    <t>FT-01 AC-01; NFR-U02</t>
  </si>
  <si>
    <t>Reserved P1 = 3; OnHand vẫn = 10
AvailableQuantity (computed) = 10-3-0-0-0 = 7
Method trả Task (void), không ném exception</t>
  </si>
  <si>
    <t>product {name, price: 9999999}</t>
  </si>
  <si>
    <t>render(&lt;ProductCard/&gt;)</t>
  </si>
  <si>
    <t>Formatted price rendered ('9.999.999 ₫'); name visible; image alt set</t>
  </si>
  <si>
    <t>L1-RES-02</t>
  </si>
  <si>
    <t>Giữ tồn cho đơn COD -&gt; hạn 35 phút</t>
  </si>
  <si>
    <t>FT-03 AC-04; BR-008; BV-02</t>
  </si>
  <si>
    <t>L1-FCMP-10</t>
  </si>
  <si>
    <t>NotificationBell shows unread count badge from service</t>
  </si>
  <si>
    <t>Inventory P1 Available=10, P2 Available=5</t>
  </si>
  <si>
    <t>reservationService.ReserveAsync(new[]{ (P1,3), (P2,2) })</t>
  </si>
  <si>
    <t>Cả 2 SKU cùng tăng Reserved trong 1 lệnh
P1 Available=7; P2 Available=3</t>
  </si>
  <si>
    <t>MSW: /api/notifications/unread-count -&gt; {count: 3}</t>
  </si>
  <si>
    <t>render(&lt;NotificationBell/&gt;)</t>
  </si>
  <si>
    <t>Badge '3' rendered; opening dropdown lists notifications</t>
  </si>
  <si>
    <t>Form validation &amp; shared components</t>
  </si>
  <si>
    <t>L1-RES-03</t>
  </si>
  <si>
    <t>Giữ đúng bằng tồn khả dụng -&gt; cho phép, Available về 0</t>
  </si>
  <si>
    <t>Inventory P1: OnHand=10, Reserved=0 =&gt; Available=10</t>
  </si>
  <si>
    <t>reservationService.ReserveAsync(new[]{ (P1, 10) })</t>
  </si>
  <si>
    <t>Reserved = 10; OnHandQuantity vẫn = 10
RawAvailable() = 10-10-0-0-0 = 0 (assert biểu thức THÔ, không dùng AvailableQuantity)
Không ném exception</t>
  </si>
  <si>
    <t>L1-RES-04</t>
  </si>
  <si>
    <t>Giữ vượt tồn khả dụng 1 đơn vị -&gt; từ chối toàn bộ</t>
  </si>
  <si>
    <t>Inventory P1 Available=10</t>
  </si>
  <si>
    <t>reservationService.ReserveAsync(new[]{ (P1, 11) })</t>
  </si>
  <si>
    <t>Ném Exception (thiếu tồn)
Reserved P1 vẫn = 0; OnHandQuantity = 10; RawAvailable() = 10
KHÔNG assert AvailableQuantity</t>
  </si>
  <si>
    <t xml:space="preserve">  ▶  Block: ⊕ v2.3 — ProtectedRoute: prop allowGuest + điều hướng theo vai trò  |  NFR-SEC03; FT-01 NAC-05</t>
  </si>
  <si>
    <t>L1-FCMP-11</t>
  </si>
  <si>
    <t>allowGuest=true cho phép khách vãng lai xem route công khai</t>
  </si>
  <si>
    <t>FT-01 AC-01; NFR-SEC03</t>
  </si>
  <si>
    <t>L1-RES-05</t>
  </si>
  <si>
    <t>Atomicity</t>
  </si>
  <si>
    <t>Chưa đăng nhập; route /products bọc trong ProtectedRoute allowGuest</t>
  </si>
  <si>
    <t>Nhiều dòng, 1 dòng thiếu hàng -&gt; rollback toàn bộ</t>
  </si>
  <si>
    <t>FT-05 NAC-01; BR-032</t>
  </si>
  <si>
    <t>render(&lt;ProtectedRoute allowGuest&gt;&lt;Products/&gt;&lt;/ProtectedRoute&gt;)</t>
  </si>
  <si>
    <t>Inventory P1 Available=10, P2 Available=1</t>
  </si>
  <si>
    <t>Nội dung hiển thị bình thường, KHÔNG redirect
(khớp bảng vai trò SRS: Guest được duyệt catalogue)</t>
  </si>
  <si>
    <t>reservationService.ReserveAsync(new[]{ (P1,4), (P2,2) })</t>
  </si>
  <si>
    <t>Ném Exception
P1 KHÔNG bị giữ 4 — toàn bộ lệnh rollback trong 1 transaction</t>
  </si>
  <si>
    <t>L1-FCMP-12</t>
  </si>
  <si>
    <t>L1-RES-06</t>
  </si>
  <si>
    <t>allowGuest KHÔNG được rò sang route nhạy cảm</t>
  </si>
  <si>
    <t>Hai đơn cùng giữ 10 sản phẩm cuối -&gt; đúng 1 đơn thành công</t>
  </si>
  <si>
    <t>FT-05 NAC-01; NFR-A05; NFR-D01</t>
  </si>
  <si>
    <t>Inventory P1 Available=10; hai luồng song song dùng TaskCompletionSource làm barrier</t>
  </si>
  <si>
    <t>Chưa đăng nhập
[Theory] /checkout, /profile, /sales, /admin, /warehouse</t>
  </si>
  <si>
    <t>Task.WhenAll( ReserveAsync(new[]{(P1,10)}), ReserveAsync(new[]{(P1,10)}) )</t>
  </si>
  <si>
    <t>Truy cập từng route trên</t>
  </si>
  <si>
    <t>Đúng 1 luồng thành công, 1 luồng ném Exception
OnHandQuantity = 10, Reserved = 10, RawAvailable() = 0 và KHÔNG ÂM</t>
  </si>
  <si>
    <t>TẤT CẢ đều redirect /login, không route nào render nội dung
allowGuest chỉ có tác dụng ở route được khai báo tường minh</t>
  </si>
  <si>
    <t>ProtectedRoute: prop allowGuest + điều hướng theo vai trò</t>
  </si>
  <si>
    <t>⚠ KHÔNG THAY THẾ ĐƯỢC L2: chạy in-memory nên ghi bị serialise. Bằng chứng thật cho NFR-A05/D01 là L2-FUL-08 (Pass 5/5 vòng trên SQL Server thật).  |  🟠 BẪY ASSERTION: Inventory.AvailableQuantity (Inventory.cs:24) bọc Math.Max(0, ...) nên assert "không âm" LUÔN XANH kể cả khi đã oversell. Phải assert OnHandQuantity VÀ biểu thức thô RawAvailable() (= OnHand - Reserved - Allocated - Damaged - Quarantine, CHƯA kẹp).</t>
  </si>
  <si>
    <t xml:space="preserve">  ▶  Block: AllocateAsync() / ReleaseReservedAsync() / ReleaseAllocatedAsync()  |  BR-033</t>
  </si>
  <si>
    <t>L1-FCMP-13</t>
  </si>
  <si>
    <t>Bảng điều hướng sau đăng nhập theo vai trò</t>
  </si>
  <si>
    <t>NFR-SEC03; FT-09 AC-01</t>
  </si>
  <si>
    <t>[Theory] vai trò SalesStaff / SalesManager / Admin / CEO / WarehouseStaff / Customer</t>
  </si>
  <si>
    <t>L1-RES-07</t>
  </si>
  <si>
    <t>Đăng nhập rồi vào route gốc được bảo vệ</t>
  </si>
  <si>
    <t>Điều hướng đúng: /sales · /sales-manager · /admin · CEOPortal · /warehouse · trang khách
Không vai trò nào rơi vào portal của vai trò khác</t>
  </si>
  <si>
    <t>Chuyển Reserved -&gt; Allocated nguyên tử</t>
  </si>
  <si>
    <t>FT-03 AC-02; FT-05 AC-02</t>
  </si>
  <si>
    <t>Inventory P1: Reserved=3, Allocated=0</t>
  </si>
  <si>
    <t>reservationService.AllocateAsync(new[]{ (P1, 3) })</t>
  </si>
  <si>
    <t>Reserved=0; Allocated=3; OnHand không đổi
AvailableQuantity không đổi (cả 2 đều trừ vào Available)</t>
  </si>
  <si>
    <t>L1-RES-08</t>
  </si>
  <si>
    <t>Hết hạn giữ chỉ giải phóng phần RESERVED, KHÔNG đụng ALLOCATED</t>
  </si>
  <si>
    <t>BR-033; FT-05 AC-02</t>
  </si>
  <si>
    <t>Inventory P1: Reserved=3, Available=7</t>
  </si>
  <si>
    <t>reservationService.ReleaseReservedAsync(new[]{ (P1, 3) })</t>
  </si>
  <si>
    <t>Reserved=0; Available=10
KHÔNG đụng tới AllocatedQuantity</t>
  </si>
  <si>
    <t>L1-RES-09</t>
  </si>
  <si>
    <t>Giải phóng reservation đã chuyển allocated -&gt; từ chối</t>
  </si>
  <si>
    <t>BR-033; FT-03 BV-03</t>
  </si>
  <si>
    <t>Inventory P1: Reserved=1 (ít hơn số muốn trả)</t>
  </si>
  <si>
    <t>Ném Exception hoặc chặn; Reserved không xuống dưới 0
Assert trực tiếp giá trị Reserved, không suy ra qua AvailableQuantity</t>
  </si>
  <si>
    <t>InventoryReservationService</t>
  </si>
  <si>
    <t>ReserveAsync()</t>
  </si>
  <si>
    <t>L1-RES-10</t>
  </si>
  <si>
    <t>ReleaseAllocated khi huỷ đơn -&gt; trả hàng về khả dụng</t>
  </si>
  <si>
    <t>FT-08 AC-01; BR-032</t>
  </si>
  <si>
    <t>Inventory P1: Allocated=3, Available=7</t>
  </si>
  <si>
    <t>reservationService.ReleaseAllocatedAsync(new[]{ (P1, 3) })</t>
  </si>
  <si>
    <t>Allocated=0; Available=10; Reserved không đổi</t>
  </si>
  <si>
    <t xml:space="preserve">  ▶  Block: DeductOnHandAsync()  |  BR-032; NFR-A05</t>
  </si>
  <si>
    <t>L1-RES-11</t>
  </si>
  <si>
    <t>Trừ tồn thực khi xuất kho -&gt; OnHand giảm, Allocated giảm</t>
  </si>
  <si>
    <t>FT-05 AC-05; BR-032</t>
  </si>
  <si>
    <t>Inventory P1: OnHand=10, Reserved=0, Allocated=0 (bán tại quầy, KHÔNG qua Reserve/Allocate)</t>
  </si>
  <si>
    <t>reservationService.DeductOnHandAsync(new[]{ (P1, 3) })</t>
  </si>
  <si>
    <t>OnHand=7; Reserved/Allocated không đổi
AvailableQuantity=7</t>
  </si>
  <si>
    <t>DiscountTierService  |  MỚI v2.1  |  methods: GetAll, GetById, Create, Update, GetApplicableDiscountPercent  |  FT-02; BR-006; BR-050</t>
  </si>
  <si>
    <t>L1-RES-12</t>
  </si>
  <si>
    <t>Trừ tồn làm OnHand âm -&gt; chặn</t>
  </si>
  <si>
    <t>Inventory P1: OnHand=2</t>
  </si>
  <si>
    <t>Ném Exception; OnHandQuantity vẫn = 2 (guarded UPDATE chặn tại DB)
RawAvailable() không âm</t>
  </si>
  <si>
    <t>L1-RES-13</t>
  </si>
  <si>
    <t xml:space="preserve">  ▶  Block: GetApplicableDiscountPercentAsync()  |  FT-02 AC-01; BV-01; BR-006</t>
  </si>
  <si>
    <t>Gọi trừ tồn lần 2 cho cùng đơn -&gt; không trừ kép</t>
  </si>
  <si>
    <t>L1-DT-01</t>
  </si>
  <si>
    <t>Inventory P1: OnHand=10</t>
  </si>
  <si>
    <t>Gọi DeductOnHandAsync(new[]{(P1,3)}) HAI lần liên tiếp</t>
  </si>
  <si>
    <t>Tổng 9.999.999đ -&gt; 0% (giá niêm yết)</t>
  </si>
  <si>
    <t>OnHand = 4 — service KHÔNG tự idempotent (đúng thiết kế)
=&gt; Idempotency phải do tầng gọi (OrderService) đảm bảo bằng business key</t>
  </si>
  <si>
    <t>Bảng bậc chiết khấu đã seed</t>
  </si>
  <si>
    <t>discountTierService.GetApplicableDiscountPercentAsync(9_999_999)</t>
  </si>
  <si>
    <t>Trả 0% — dưới ngưỡng bậc đầu tiên</t>
  </si>
  <si>
    <t>L1-DT-02</t>
  </si>
  <si>
    <t>Tổng đúng 10.000.000đ -&gt; áp bậc đầu tiên</t>
  </si>
  <si>
    <t>Bậc 1 bắt đầu từ 10.000.000đ</t>
  </si>
  <si>
    <t>discountTierService.GetApplicableDiscountPercentAsync(10_000_000)</t>
  </si>
  <si>
    <t>Trả đúng % của bậc 1 (không phải 0%)</t>
  </si>
  <si>
    <t>L1-DT-03</t>
  </si>
  <si>
    <t xml:space="preserve">  ▶  Block: ⊕ v2.2 — Công thức AvailableQuantity  |  BR-032; FT-05 BV-01</t>
  </si>
  <si>
    <t>Tổng 99.999.999đ -&gt; vẫn trong dải chiết khấu tự động</t>
  </si>
  <si>
    <t>FT-02 BV-01; BR-006</t>
  </si>
  <si>
    <t>Bảng bậc seed đầy đủ</t>
  </si>
  <si>
    <t>discountTierService.GetApplicableDiscountPercentAsync(99_999_999)</t>
  </si>
  <si>
    <t>L1-RES-14</t>
  </si>
  <si>
    <t>Trả % của bậc cao nhất &lt; 100M; không rơi vào luồng báo giá</t>
  </si>
  <si>
    <t>Available = OnHand - Reserved - Allocated - Damaged - Quarantine, sàn tại 0</t>
  </si>
  <si>
    <t>Inventory P1: OnHand=10, Reserved=3, Allocated=2, Damaged=1, Quarantine=1</t>
  </si>
  <si>
    <t>Đọc thuộc tính tính toán inventory.AvailableQuantity</t>
  </si>
  <si>
    <t>RawAvailable() = 10-3-2-1-1 = 3
[Theory] khi tổng trừ VƯỢT OnHand: RawAvailable() ÂM (dấu hiệu oversell cần phát hiện) trong khi AvailableQuantity vẫn trả 0 do Math.Max
=&gt; chính là lý do KHÔNG được assert trên AvailableQuantity</t>
  </si>
  <si>
    <t>L1-DT-04</t>
  </si>
  <si>
    <t>AllocateAsync() / ReleaseReservedAsync() / ReleaseAllocatedAsync()</t>
  </si>
  <si>
    <t>Tổng đúng 100.000.000đ -&gt; KHÔNG áp chiết khấu tự động</t>
  </si>
  <si>
    <t>FT-02 AC-01; BV-01; BR-026</t>
  </si>
  <si>
    <t>Ngưỡng báo giá = 100.000.000đ</t>
  </si>
  <si>
    <t>discountTierService.GetApplicableDiscountPercentAsync(100_000_000)</t>
  </si>
  <si>
    <t>L1-RES-15</t>
  </si>
  <si>
    <t>Trả 0% / báo cần báo giá — không tự áp bậc</t>
  </si>
  <si>
    <t>Hàng cách ly và hàng hỏng bị loại khỏi tồn bán được</t>
  </si>
  <si>
    <t>L1-DT-05</t>
  </si>
  <si>
    <t>Inventory P1: OnHand=10, Quarantine=4 (hàng trả về chờ kiểm định)</t>
  </si>
  <si>
    <t>Đọc inventory.AvailableQuantity</t>
  </si>
  <si>
    <t>Tổng âm hoặc 0 -&gt; 0%, không lỗi</t>
  </si>
  <si>
    <t>FT-02 BV-01</t>
  </si>
  <si>
    <t>RawAvailable() = 10-0-0-0-4 = 6 — hàng cách ly KHÔNG bán được (FT-08)</t>
  </si>
  <si>
    <t>[Theory] subtotal = -1 và 0</t>
  </si>
  <si>
    <t>discountTierService.GetApplicableDiscountPercentAsync(x)</t>
  </si>
  <si>
    <t>Trả 0%; không ném lỗi hạ tầng</t>
  </si>
  <si>
    <t>L1-DT-06</t>
  </si>
  <si>
    <t>Chỉ dùng bậc đang hiệu lực tại thời điểm tính</t>
  </si>
  <si>
    <t>BR-050; FT-09 AC-03</t>
  </si>
  <si>
    <t>Bậc cũ hết hiệu lực hôm qua, bậc mới hiệu lực hôm nay</t>
  </si>
  <si>
    <t>discountTierService.GetApplicableDiscountPercentAsync(15_000_000)</t>
  </si>
  <si>
    <t>Áp bậc MỚI; bậc hết hiệu lực bị bỏ qua</t>
  </si>
  <si>
    <t xml:space="preserve">  ▶  Block: CRUD  |  BR-050; FT-09 AC-03</t>
  </si>
  <si>
    <t>L1-DT-07</t>
  </si>
  <si>
    <t>Tạo bậc chồng lấn khoảng giá trị -&gt; từ chối</t>
  </si>
  <si>
    <t>BR-006; BR-050</t>
  </si>
  <si>
    <t>Đã có bậc 10.000.000–49.999.999</t>
  </si>
  <si>
    <t>discountTierService.CreateAsync(dto{from:30_000_000, to:60_000_000})</t>
  </si>
  <si>
    <t>Từ chối vì chồng lấn; bảng bậc không đổi</t>
  </si>
  <si>
    <t>✅ ĐÃ FIX
DiscountTierService.cs:36,114-124 EnsureNoOverlapAsync throw khi khoảng giá trị chồng lấn.</t>
  </si>
  <si>
    <t>L1-DT-08</t>
  </si>
  <si>
    <t>Tạo bậc có % ngoài khoảng 0–100 -&gt; từ chối</t>
  </si>
  <si>
    <t>BR-006</t>
  </si>
  <si>
    <t>[Theory] percent = -1 và 101</t>
  </si>
  <si>
    <t>discountTierService.CreateAsync(dto{percent:x})</t>
  </si>
  <si>
    <t>Từ chối validation</t>
  </si>
  <si>
    <t>L1-DT-09</t>
  </si>
  <si>
    <t>Sửa bậc tạo phiên bản hiệu lực mới, không ghi đè lịch sử</t>
  </si>
  <si>
    <t>BR-050; FT-09 NAC-04</t>
  </si>
  <si>
    <t>Bậc T1 đang hiệu lực và đã dùng cho đơn cũ</t>
  </si>
  <si>
    <t>discountTierService.UpdateAsync(T1, dto)</t>
  </si>
  <si>
    <t>Giá trị cũ vẫn tra cứu được; đơn cũ không bị tính lại</t>
  </si>
  <si>
    <t>DeductOnHandAsync()</t>
  </si>
  <si>
    <t>Công thức AvailableQuantity</t>
  </si>
  <si>
    <t>SystemConfigService  |  MỚI v2.1  |  methods: GetAllAsync, GetEffectiveValueAsync, GetHistoryAsync, SetValueAsync  |  FT-09; BR-050; BR-022</t>
  </si>
  <si>
    <t>DiscountTierService</t>
  </si>
  <si>
    <t>GetApplicableDiscountPercentAsync()</t>
  </si>
  <si>
    <t xml:space="preserve">  ▶  Block: GetEffectiveValueAsync()  |  FT-09 AC-03; BV-02; BR-050</t>
  </si>
  <si>
    <t>L1-CFG-01</t>
  </si>
  <si>
    <t>Lấy giá trị tại T-1s / T / T+1s quanh thời điểm hiệu lực</t>
  </si>
  <si>
    <t>FT-09 BV-02; BR-050</t>
  </si>
  <si>
    <t>Config key 'QUOTATION_MIN_VALUE' có phiên bản mới hiệu lực từ T</t>
  </si>
  <si>
    <t>[Theory] systemConfigService.GetEffectiveValueAsync('QUOTATION_MIN_VALUE', asOf: T-1s | T | T+1s)</t>
  </si>
  <si>
    <t>T-1s trả giá trị CŨ; T và T+1s trả giá trị MỚI
Kiểu trả về là string? — phải parse trước khi so sánh</t>
  </si>
  <si>
    <t>L1-CFG-02</t>
  </si>
  <si>
    <t>Khoá cấu hình không tồn tại -&gt; trả mặc định / not-found rõ ràng</t>
  </si>
  <si>
    <t>Không tồn tại key 'UNKNOWN_KEY'</t>
  </si>
  <si>
    <t>systemConfigService.GetEffectiveValueAsync('UNKNOWN_KEY')</t>
  </si>
  <si>
    <t>Trả null (kiểu string?) — không ném lỗi hạ tầng
Tầng gọi phải có giá trị mặc định</t>
  </si>
  <si>
    <t xml:space="preserve">  ▶  Block: SetValueAsync() / GetHistoryAsync()  |  BR-022; BR-050</t>
  </si>
  <si>
    <t>L1-CFG-03</t>
  </si>
  <si>
    <t>Đổi cấu hình tạo PHIÊN BẢN mới + ghi audit, không ghi đè bản cũ</t>
  </si>
  <si>
    <t>FT-09 AC-03; AC-04; BR-050; BR-022</t>
  </si>
  <si>
    <t>Key 'COD_WARNING_MINUTES' đang có giá trị 25</t>
  </si>
  <si>
    <t>systemConfigService.SetValueAsync('COD_WARNING_MINUTES', UpdateSystemConfigRequest{Value:'20'}, actorUserId, actorEmail, ipAddress)</t>
  </si>
  <si>
    <t>Tạo phiên bản MỚI; GetHistoryAsync('COD_WARNING_MINUTES') trả cả bản 25 và 20
AuditLog ghi actorEmail + ipAddress + before/after</t>
  </si>
  <si>
    <t>L1-CFG-04</t>
  </si>
  <si>
    <t>Đặt thời điểm hiệu lực vào QUÁ KHỨ để tính lại dữ liệu cũ -&gt; từ chối</t>
  </si>
  <si>
    <t>FT-09 NAC-04; BR-050</t>
  </si>
  <si>
    <t>Có giỏ hàng đang giữ giá và đơn đã hoàn tất</t>
  </si>
  <si>
    <t>systemConfigService.SetValueAsync('LIST_PRICE_MAX_EXCLUSIVE', request{EffectiveFrom: NOW-1d}, actor...)</t>
  </si>
  <si>
    <t>Từ chối thay đổi hồi tố; snapshot giá và đơn cũ không đổi</t>
  </si>
  <si>
    <t>✅ ĐÃ FIX
SystemConfigService.cs:95-96 throw nếu EffectiveDate &lt; UtcNow (chặn hồi tố).</t>
  </si>
  <si>
    <t>L1-CFG-05</t>
  </si>
  <si>
    <t>Ghi audit thất bại -&gt; giao dịch cấu hình KHÔNG hoàn tất</t>
  </si>
  <si>
    <t>FT-09 AC-04; BR-022</t>
  </si>
  <si>
    <t>Mock audit ném lỗi khi ghi</t>
  </si>
  <si>
    <t>systemConfigService.SetValueAsync('PRICE_LOCK_HOURS', request, actor...)</t>
  </si>
  <si>
    <t>Cấu hình KHÔNG được lưu — rollback trọn vẹn</t>
  </si>
  <si>
    <t>L1-CFG-06</t>
  </si>
  <si>
    <t>Lịch sử trả theo thứ tự thời gian, đủ actor và lý do</t>
  </si>
  <si>
    <t>FT-09 AC-04</t>
  </si>
  <si>
    <t>Key 'SEPAY_RESERVATION_MINUTES' đã đổi 3 lần</t>
  </si>
  <si>
    <t>AdminUserService  |  MỚI v2.1  |  methods: SearchAsync, GetByIdAsync, CreateStaffAsync, ChangeRoleAsync, SetActiveStatusAsync  |  FT-09; NFR-SEC03; BR-022</t>
  </si>
  <si>
    <t>systemConfigService.GetHistoryAsync('SEPAY_RESERVATION_MINUTES')</t>
  </si>
  <si>
    <t>Trả List&lt;SystemConfigVersionDto&gt; đủ 3 bản, sắp theo thời gian, mỗi bản có actor + giá trị</t>
  </si>
  <si>
    <t xml:space="preserve">  ▶  Block: CreateStaffAsync() / ChangeRoleAsync()  |  FT-09 AC-04; BR-022</t>
  </si>
  <si>
    <t>SystemConfigService</t>
  </si>
  <si>
    <t>GetEffectiveValueAsync()</t>
  </si>
  <si>
    <t>L1-ADM-01</t>
  </si>
  <si>
    <t>Tạo tài khoản nhân viên -&gt; mật khẩu lưu dạng hash, gán đúng vai trò</t>
  </si>
  <si>
    <t>NFR-SEC02; FT-09 AC-04</t>
  </si>
  <si>
    <t>Email nhân viên mới chưa tồn tại</t>
  </si>
  <si>
    <t>adminUserService.CreateStaffAsync(CreateStaffUserRequest, actorUserId, actorEmail, ipAddress)</t>
  </si>
  <si>
    <t>Trả AdminUserDto đúng vai trò; PasswordHash != plaintext
AuditLog ghi actorEmail + ipAddress</t>
  </si>
  <si>
    <t>VehicleService  |  MỚI v2.1  |  methods: GetAllAsync, GetByIdAsync, CreateAsync, UpdateAsync  |  FT-07; BV-01; BR-037</t>
  </si>
  <si>
    <t>SetValueAsync() / GetHistoryAsync()</t>
  </si>
  <si>
    <t>L1-ADM-02</t>
  </si>
  <si>
    <t xml:space="preserve">  ▶  Block: CRUD đội xe  |  FT-07 BV-01; BR-037</t>
  </si>
  <si>
    <t>Tạo nhân viên trùng email -&gt; từ chối</t>
  </si>
  <si>
    <t>L1-VEH-01</t>
  </si>
  <si>
    <t>Danh sách xe chỉ trả xe đang hoạt động khi lọc active</t>
  </si>
  <si>
    <t>FT-01 NAC-01</t>
  </si>
  <si>
    <t>Email đã tồn tại</t>
  </si>
  <si>
    <t>5 xe: 4 active, 1 bảo trì</t>
  </si>
  <si>
    <t>adminUserService.CreateStaffAsync(request{emailTrùng}, actor...)</t>
  </si>
  <si>
    <t>vehicleService.GetAllAsync(query{active:true})</t>
  </si>
  <si>
    <t>Trả đúng 4 xe; xe bảo trì không xuất hiện để chọn lịch</t>
  </si>
  <si>
    <t>Ném lỗi trùng danh tính; không tạo user thứ 2</t>
  </si>
  <si>
    <t>L1-ADM-03</t>
  </si>
  <si>
    <t>Đổi vai trò -&gt; ghi audit before/after</t>
  </si>
  <si>
    <t>L1-VEH-02</t>
  </si>
  <si>
    <t>U1 đang là SalesStaff</t>
  </si>
  <si>
    <t>Tạo xe mới với biển số hợp lệ</t>
  </si>
  <si>
    <t>adminUserService.ChangeRoleAsync(U1, ChangeUserRoleRequest{Role:'SalesManager'}, actor...)</t>
  </si>
  <si>
    <t>FT-07 BR-037</t>
  </si>
  <si>
    <t>Vai trò đổi; AuditLog ghi before/after + actorEmail + ipAddress</t>
  </si>
  <si>
    <t>Biển số chưa tồn tại</t>
  </si>
  <si>
    <t>vehicleService.CreateAsync(dto)</t>
  </si>
  <si>
    <t>Xe được lưu, mặc định trạng thái hoạt động</t>
  </si>
  <si>
    <t>AdminUserService</t>
  </si>
  <si>
    <t>L1-ADM-04</t>
  </si>
  <si>
    <t>CreateStaffAsync() / ChangeRoleAsync()</t>
  </si>
  <si>
    <t>Đổi vai trò sang giá trị không hợp lệ -&gt; từ chối</t>
  </si>
  <si>
    <t>L1-VEH-03</t>
  </si>
  <si>
    <t>Vai trò 'SuperUser' không nằm trong 7 vai trò SRS</t>
  </si>
  <si>
    <t>adminUserService.ChangeRoleAsync(U1, request{Role:'SuperUser'}, actor...)</t>
  </si>
  <si>
    <t>Từ chối validation; vai trò cũ giữ nguyên</t>
  </si>
  <si>
    <t>Tạo xe trùng biển số -&gt; từ chối</t>
  </si>
  <si>
    <t>BR-037</t>
  </si>
  <si>
    <t>Biển số đã tồn tại</t>
  </si>
  <si>
    <t>vehicleService.CreateAsync(dto{biểnSốTrùng})</t>
  </si>
  <si>
    <t>L1-ADM-05</t>
  </si>
  <si>
    <t>Từ chối; không tạo bản ghi thứ 2</t>
  </si>
  <si>
    <t>Hạ vai trò Sales đang phụ trách khách -&gt; phải xử lý bàn giao trước</t>
  </si>
  <si>
    <t>FT-04 NAC-03; BV-01</t>
  </si>
  <si>
    <t>S1 đang phụ trách 5 khách (CustomerProfile.AssignedSalesStaffId = S1)</t>
  </si>
  <si>
    <t>✅ ĐÃ FIX
VehicleService.cs:44-46 check trùng biển số, throw nếu trùng.</t>
  </si>
  <si>
    <t>adminUserService.ChangeRoleAsync(S1, request{Role:'WarehouseStaff'}, actor...)</t>
  </si>
  <si>
    <t>L1-VEH-04</t>
  </si>
  <si>
    <t>Từ chối hoặc buộc bàn giao trước — không để 5 khách mất người phụ trách</t>
  </si>
  <si>
    <t>Chuyển xe sang trạng thái bảo trì -&gt; không còn xếp lịch được</t>
  </si>
  <si>
    <t>FT-07 NAC-01; BR-037</t>
  </si>
  <si>
    <t>✅ ĐÃ FIX
AdminUserService.cs:145-152 check còn khách gán cho NV trước khi đổi role, throw nếu còn.</t>
  </si>
  <si>
    <t xml:space="preserve">  ▶  Block: SetActiveStatusAsync() / SearchAsync()</t>
  </si>
  <si>
    <t>Xe V1 đang hoạt động</t>
  </si>
  <si>
    <t>vehicleService.UpdateAsync(V1, dto{status:'Maintenance'})</t>
  </si>
  <si>
    <t>V1 không còn trong danh sách xe khả dụng để lập chuyến</t>
  </si>
  <si>
    <t>L1-ADM-06</t>
  </si>
  <si>
    <t>Vô hiệu hoá tài khoản -&gt; phiên hiện tại không dùng được nữa</t>
  </si>
  <si>
    <t>L1-VEH-05</t>
  </si>
  <si>
    <t>Đưa xe đang có chuyến trong tương lai vào bảo trì -&gt; cảnh báo/chặn</t>
  </si>
  <si>
    <t>U1 đang hoạt động, có RefreshToken</t>
  </si>
  <si>
    <t>FT-07 NAC-01</t>
  </si>
  <si>
    <t>adminUserService.SetActiveStatusAsync(U1, SetUserActiveStatusRequest{IsActive:false}, actor...)</t>
  </si>
  <si>
    <t>IsActive=false; refresh token bị thu hồi; AuditLog được ghi</t>
  </si>
  <si>
    <t>V1 đã được xếp chuyến ngày mai</t>
  </si>
  <si>
    <t>Chặn hoặc buộc xử lý chuyến đã xếp trước</t>
  </si>
  <si>
    <t>L1-ADM-07</t>
  </si>
  <si>
    <t>VehicleService không biết tới lịch chuyến — tính năng chưa có</t>
  </si>
  <si>
    <t>✅ ĐÃ FIX
VehicleService.cs:91-102 khi chuyển sang Maintenance, check Orders có chuyến trong tương lai chưa giao, chặn nếu có.</t>
  </si>
  <si>
    <t>Vô hiệu hoá Sales đang là người duy nhất trong round-robin -&gt; cảnh báo/chặn</t>
  </si>
  <si>
    <t>FT-04 NAC-03; BV-02</t>
  </si>
  <si>
    <t>Chỉ còn S1 trong danh sách round-robin</t>
  </si>
  <si>
    <t>adminUserService.SetActiveStatusAsync(S1, request{IsActive:false}, actor...)</t>
  </si>
  <si>
    <t>Chặn hoặc cảnh báo — tránh không còn ai nhận khách mới</t>
  </si>
  <si>
    <t>✅ ĐÃ FIX
AdminUserService.cs:209-216 đếm NV Sales active còn lại, chặn vô hiệu hoá người cuối cùng.</t>
  </si>
  <si>
    <t>L1-ADM-08</t>
  </si>
  <si>
    <t>Search lọc theo vai trò + trạng thái + phân trang</t>
  </si>
  <si>
    <t>10 user: 4 SalesStaff (1 inactive)</t>
  </si>
  <si>
    <t>adminUserService.SearchAsync(AdminUserQueryDto{Role:'SalesStaff', IsActive:true})</t>
  </si>
  <si>
    <t>Trả PagedResultDto&lt;AdminUserDto&gt; đúng 3 user; TotalCount=3</t>
  </si>
  <si>
    <t>SetActiveStatusAsync() / SearchAsync()</t>
  </si>
  <si>
    <t>L1-ADM-09</t>
  </si>
  <si>
    <t>GetById với id không tồn tại -&gt; not-found, không lộ thông tin</t>
  </si>
  <si>
    <t>FT-09 NAC-01</t>
  </si>
  <si>
    <t>Không có user Ux</t>
  </si>
  <si>
    <t>adminUserService.GetByIdAsync(Ux)</t>
  </si>
  <si>
    <t>Ném not-found; không lộ thông tin</t>
  </si>
  <si>
    <t>VehicleService</t>
  </si>
  <si>
    <t>CRUD đội xe</t>
  </si>
  <si>
    <t>WebhookLogService  |  MỚI v2.1  |  methods: LogReceivedAsync, MarkProcessedAsync, MarkFailedAsync, RetryAsync, SearchAsync  |  FT-03; BR-029; BR-049; NFR-SEC05</t>
  </si>
  <si>
    <t xml:space="preserve">  ▶  Block: Ghi nhận &amp; đánh dấu  |  FT-03 AC-01; NAC-01; BR-049</t>
  </si>
  <si>
    <t>L1-WHL-01</t>
  </si>
  <si>
    <t>Mọi callback đều được ghi log, kể cả callback bị từ chối</t>
  </si>
  <si>
    <t>Callback SePay có chữ ký SAI</t>
  </si>
  <si>
    <t>webhookLogService.LogReceivedAsync(SePayWebhookDto payload)</t>
  </si>
  <si>
    <t>Trả Guid id của bản ghi log; Status = WebhookLogStatus.Received (0)
Mọi callback đều được ghi log trước khi validate</t>
  </si>
  <si>
    <t>L1-WHL-02</t>
  </si>
  <si>
    <t>Đánh dấu đã xử lý -&gt; lưu kết quả để trả lại cho lần gửi trùng</t>
  </si>
  <si>
    <t>WebhookLogService</t>
  </si>
  <si>
    <t>Ghi nhận &amp; đánh dấu</t>
  </si>
  <si>
    <t>Log L1 Status=Received</t>
  </si>
  <si>
    <t>webhookLogService.MarkProcessedAsync(L1)</t>
  </si>
  <si>
    <t>Status = Processed (1)</t>
  </si>
  <si>
    <t>L1-WHL-03</t>
  </si>
  <si>
    <t>Đánh dấu thất bại -&gt; tăng số lần thử, giữ nguyên lỗi</t>
  </si>
  <si>
    <t>BR-049; FT-09 AC-05</t>
  </si>
  <si>
    <t>Log L1 đã thất bại 1 lần (AttemptCount=1)</t>
  </si>
  <si>
    <t>webhookLogService.MarkFailedAsync(L1, exception)</t>
  </si>
  <si>
    <t>Status = Failed (2); AttemptCount tăng lên 2; nội dung exception được lưu</t>
  </si>
  <si>
    <t>L1-WHL-04</t>
  </si>
  <si>
    <t>Search lọc theo trạng thái/khoảng thời gian</t>
  </si>
  <si>
    <t>FT-03 SB; FT-09 AC-01</t>
  </si>
  <si>
    <t>3 log: 1 Processed, 2 Failed</t>
  </si>
  <si>
    <t>webhookLogService.SearchAsync(WebhookLogQueryDto{Status:'Failed'})</t>
  </si>
  <si>
    <t>Trả PagedResultDto&lt;WebhookLogDto&gt; đúng 2 bản ghi</t>
  </si>
  <si>
    <t xml:space="preserve">  ▶  Block: RetryAsync()  |  BR-029; BR-049</t>
  </si>
  <si>
    <t>L1-WHL-05</t>
  </si>
  <si>
    <t>Retry callback thất bại -&gt; xử lý lại đúng 1 lần</t>
  </si>
  <si>
    <t>BR-029</t>
  </si>
  <si>
    <t>Log L1 Status=Failed, đơn chưa Paid</t>
  </si>
  <si>
    <t>webhookLogService.RetryAsync(L1)</t>
  </si>
  <si>
    <t>Trả WebhookLogDto; xử lý lại bằng token ĐỌC TỪ CẤU HÌNH SERVER (không dùng token đã lưu)
Nếu hợp lệ: đơn chuyển Paid đúng 1 lần</t>
  </si>
  <si>
    <t>L1-WHL-06</t>
  </si>
  <si>
    <t>Delegation-Guard</t>
  </si>
  <si>
    <t>Retry callback ĐÃ xử lý thành công -&gt; không tạo giao dịch thứ 2</t>
  </si>
  <si>
    <t>Log L1 Status=Processed (đã xử lý xong)</t>
  </si>
  <si>
    <t>Verify KHÔNG gọi xuống OrderService.ProcessSePayWebhookAsync lần nữa (delegation guard tại tầng log)
Trả WebhookLogDto phản ánh kết quả gốc</t>
  </si>
  <si>
    <t>L1-WHL-07</t>
  </si>
  <si>
    <t>Vượt số lần retry tối đa -&gt; dừng và cảnh báo</t>
  </si>
  <si>
    <t>BR-049; FT-09 BV-03</t>
  </si>
  <si>
    <t>[Theory] AttemptCount = 4 / 5 / 6 (const WebhookLogService.MaxAttempts = 5)</t>
  </si>
  <si>
    <t>AttemptCount=4: vẫn thử lại
AttemptCount &gt;= 5: Status = Abandoned (3), dừng thử lại + tạo cảnh báo</t>
  </si>
  <si>
    <t>RetryAsync()</t>
  </si>
  <si>
    <t>AuditLogService  |  MỚI v2.1  |  methods: LogAsync, SearchAsync, ExportCsvAsync  |  FT-09; BR-022; BR-048; NFR-SEC08</t>
  </si>
  <si>
    <t xml:space="preserve">  ▶  Block: LogAsync()  |  FT-09 AC-04; BR-022; BR-048</t>
  </si>
  <si>
    <t>L1-AUD-01</t>
  </si>
  <si>
    <t>AuditLogService</t>
  </si>
  <si>
    <t>LogAsync()</t>
  </si>
  <si>
    <t>Ghi log đầy đủ actor, hành động, thực thể, thời điểm, before/after</t>
  </si>
  <si>
    <t>Thay đổi giá của sản phẩm P1</t>
  </si>
  <si>
    <t>auditLogService.LogAsync(entity:'Product', action:'PriceChange', before, after, actorId)</t>
  </si>
  <si>
    <t>Bản ghi lưu đủ 5 thành phần; không thiếu trường bắt buộc</t>
  </si>
  <si>
    <t>L1-AUD-02</t>
  </si>
  <si>
    <t>BR-022</t>
  </si>
  <si>
    <t>Thiếu actor hoặc thực thể -&gt; từ chối ghi log rỗng nghĩa</t>
  </si>
  <si>
    <t>actorId = null</t>
  </si>
  <si>
    <t>auditLogService.LogAsync(entity:'Order', action:'Cancel', actorId:null)</t>
  </si>
  <si>
    <t>Từ chối / ghi rõ hệ thống là actor — không tạo bản ghi khuyết thông tin</t>
  </si>
  <si>
    <t>L1-AUD-03</t>
  </si>
  <si>
    <t>FT-09 NAC-03; BR-048; NFR-SEC08</t>
  </si>
  <si>
    <t>Log là APPEND-ONLY: không có API sửa/xoá</t>
  </si>
  <si>
    <t>Đã có bản ghi A1</t>
  </si>
  <si>
    <t>Rà interface IAuditLogService + thử cập nhật entity qua context</t>
  </si>
  <si>
    <t>Không tồn tại phương thức Update/Delete
Mọi nỗ lực sửa đều bị chặn</t>
  </si>
  <si>
    <t>L1-AUD-04</t>
  </si>
  <si>
    <t>PII trong log được mask</t>
  </si>
  <si>
    <t>NFR-SEC06</t>
  </si>
  <si>
    <t>Thay đổi hồ sơ chứa SĐT và MST</t>
  </si>
  <si>
    <t>auditLogService.LogAsync(... before/after chứa PII ...)</t>
  </si>
  <si>
    <t>Giá trị lưu đã mask (vd 0912***678); không lưu token/secret</t>
  </si>
  <si>
    <t>✅ ĐÃ FIX
SensitiveDataRedactor.cs mask PII (phone/MST dạng 0912***678), redact hoàn toàn secret/token; đã wire vào AuditLogService.cs:41-42.</t>
  </si>
  <si>
    <t xml:space="preserve">  ▶  Block: SearchAsync() / ExportCsvAsync()</t>
  </si>
  <si>
    <t>L1-AUD-05</t>
  </si>
  <si>
    <t>Search lọc theo thực thể, actor, khoảng thời gian</t>
  </si>
  <si>
    <t>SearchAsync() / ExportCsvAsync()</t>
  </si>
  <si>
    <t>10 bản ghi thuộc 3 thực thể</t>
  </si>
  <si>
    <t>auditLogService.SearchAsync(query{entity:'Order', from, to})</t>
  </si>
  <si>
    <t>Chỉ trả bản ghi khớp bộ lọc</t>
  </si>
  <si>
    <t>L1-AUD-06</t>
  </si>
  <si>
    <t>Export CSV giữ nguyên nội dung và escape ký tự đặc biệt</t>
  </si>
  <si>
    <t>Bản ghi có dấu phẩy và dấu ngoặc kép trong lý do</t>
  </si>
  <si>
    <t>auditLogService.ExportCsvAsync(query)</t>
  </si>
  <si>
    <t>CSV hợp lệ, không vỡ cột; nội dung khớp bản ghi gốc</t>
  </si>
  <si>
    <t>L1-AUD-07</t>
  </si>
  <si>
    <t>MarketingPostService  |  MỚI v2.1  |  methods: CRUD, SubmitAsync, ApproveAsync, RejectAsync, PublishAsync, WebhookCallbackAsync  |  FT-10; BR-046; BR-003; BR-049</t>
  </si>
  <si>
    <t>Export bởi vai trò không được phép -&gt; forbidden</t>
  </si>
  <si>
    <t>FT-09 NAC-01; NFR-SEC03</t>
  </si>
  <si>
    <t>auditLogService.ExportCsvAsync(query, callerRole:'Customer')</t>
  </si>
  <si>
    <t>Ném forbidden; không sinh file</t>
  </si>
  <si>
    <t>ExportCsvAsync không có tham số callerRole — chuyển L3</t>
  </si>
  <si>
    <t>🔒 CẦN L3 (không phải bug)
ExportCsvAsync (AuditLogService.cs:79) không nhận callerRole, nhưng [Authorize] ở AuditLogController.cs:11 đã chặn. Có test L3: VietTien.IntegrationTests/RoleGateTests.cs:114-134 (L1_AUD_07_...).</t>
  </si>
  <si>
    <t>L1-MKT-01</t>
  </si>
  <si>
    <t>MarketingPostService</t>
  </si>
  <si>
    <t>Vòng đời bài đăng</t>
  </si>
  <si>
    <t>FT-10; BR-046</t>
  </si>
  <si>
    <t xml:space="preserve">  ▶  Block: Vòng đời bài đăng  |  FT-10; BR-046; 4.4.4</t>
  </si>
  <si>
    <t>Sales Staff tạo bài -&gt; trạng thái nháp, chưa đăng được</t>
  </si>
  <si>
    <t>L1-MKT-02</t>
  </si>
  <si>
    <t>Caller vai trò SalesStaff</t>
  </si>
  <si>
    <t>marketingPostService.CreatePostAsync(CreateMarketingPostDto, userId)</t>
  </si>
  <si>
    <t>Trả MarketingPostDto; Status = MarketingPostStatus.Draft (0)
Chưa có FacebookPostId</t>
  </si>
  <si>
    <t>L1-MKT-03</t>
  </si>
  <si>
    <t>Gửi duyệt -&gt; chuyển chờ Sales Manager</t>
  </si>
  <si>
    <t>FT-10; BR-046; NFR-SEC03</t>
  </si>
  <si>
    <t>Bài M1 Status=Draft, tác giả S1</t>
  </si>
  <si>
    <t>marketingPostService.SubmitPostAsync(M1, userId: S1, userRole: 'SalesStaff')</t>
  </si>
  <si>
    <t>Status chuyển Draft -&gt; Submitted (1); Sales Manager nhận thông báo</t>
  </si>
  <si>
    <t>L1-MKT-04</t>
  </si>
  <si>
    <t>FT-10; BR-046; 4.4.4 invalid row 1</t>
  </si>
  <si>
    <t>Sales Staff tự duyệt bài của mình -&gt; forbidden</t>
  </si>
  <si>
    <t>Bài M1 Status=Submitted; caller là chính tác giả S1 (SalesStaff)</t>
  </si>
  <si>
    <t>marketingPostService.MakeDecisionAsync(M1, dto{Decision=Approve}, managerId: S1)</t>
  </si>
  <si>
    <t>Ném forbidden (403); Status vẫn = Submitted</t>
  </si>
  <si>
    <t>L1-MKT-05</t>
  </si>
  <si>
    <t>🔒 CẦN L3 (không phải bug)
MakeDecisionAsync (184-266) tự nó không check role, nhưng [Authorize(Roles="SalesManager,SaleManager,Admin,CEO")] ở Controller đã chặn hẳn Sales Staff gọi endpoint này (kể cả tự duyệt bài của chính mình) — đã có test L3 xác nhận: VietTien.IntegrationTests/RoleGateTests.cs:136-157 (L1_MKT_03_MakeDecision_SalesStaffRole_Forbidden).</t>
  </si>
  <si>
    <t>Đăng bài CHƯA được duyệt -&gt; chặn</t>
  </si>
  <si>
    <t>Bài M1 Status=Draft (chưa Submit/Approve)</t>
  </si>
  <si>
    <t>marketingPostService.PublishNowAsync(M1, managerId)</t>
  </si>
  <si>
    <t>Từ chối; KHÔNG gọi IMakeWebhookService; Status vẫn Draft</t>
  </si>
  <si>
    <t>L1-MKT-06</t>
  </si>
  <si>
    <t>✅ ĐÃ FIX
MarketingPostService.cs:276-277 throw nếu Status != Approved trước khi gọi webhook.</t>
  </si>
  <si>
    <t>Sales Manager duyệt -&gt; cho phép đăng/hẹn giờ</t>
  </si>
  <si>
    <t>Bài M1 Status=Submitted; caller vai trò SalesManager</t>
  </si>
  <si>
    <t>marketingPostService.MakeDecisionAsync(M1, dto{Decision=Approve}, managerId)</t>
  </si>
  <si>
    <t>Status = Approved (2); lưu người duyệt + thời điểm</t>
  </si>
  <si>
    <t>L1-MKT-07</t>
  </si>
  <si>
    <t>Từ chối kèm lý do -&gt; trả về cho Sales sửa</t>
  </si>
  <si>
    <t>Bài M1 Status=Submitted</t>
  </si>
  <si>
    <t>marketingPostService.MakeDecisionAsync(M1, dto{Decision=Reject, Reason}, managerId)</t>
  </si>
  <si>
    <t>Status = Rejected (3) hoặc ReworkRequired (4) theo dto
Lý do được lưu và hiển thị cho Sales</t>
  </si>
  <si>
    <t>L1-MKT-08</t>
  </si>
  <si>
    <t>Đăng bài &amp; callback</t>
  </si>
  <si>
    <t>Sửa nội dung bài ĐÃ duyệt mà không duyệt lại -&gt; chặn</t>
  </si>
  <si>
    <t>FT-10; NFR-P07</t>
  </si>
  <si>
    <t>Bài M1 Status=Approved</t>
  </si>
  <si>
    <t>marketingPostService.UpdatePostAsync(M1, dto{đổi caption}, userId, userRole)</t>
  </si>
  <si>
    <t>Từ chối, hoặc đưa về Submitted/ReworkRequired — KHÔNG giữ phê duyệt cũ cho nội dung mới</t>
  </si>
  <si>
    <t>DashboardKpiServices  |  MỚI v2.1  |  CeoDashboardService · SalesManagerDashboardService · SalesStaffDashboardService · KpiService  |  FT-09; NAC-01; NFR-SEC03</t>
  </si>
  <si>
    <t xml:space="preserve">  ▶  Block: Đăng bài &amp; callback  |  BR-049; NFR-P07</t>
  </si>
  <si>
    <t>L1-MKT-09</t>
  </si>
  <si>
    <t>FT-10; BR-049</t>
  </si>
  <si>
    <t>Publish -&gt; gọi webhook 1 lần, trạng thái đang đăng</t>
  </si>
  <si>
    <t>Bài M1 Status=Approved; mock IMakeWebhookService</t>
  </si>
  <si>
    <t>makeWebhookService gọi đúng 1 lần
Status = Posting (6) — không chờ đồng bộ</t>
  </si>
  <si>
    <t>Callback thành công -&gt; lưu id/URL bài và số liệu</t>
  </si>
  <si>
    <t>Bài M1 Status=Posting</t>
  </si>
  <si>
    <t>marketingPostService.HandleMakeWebhookCallbackAsync(M1, MakeWebhookCallbackDto{success})</t>
  </si>
  <si>
    <t>L1-MKT-10</t>
  </si>
  <si>
    <t>Status = Success (7); lưu Facebook post id + URL</t>
  </si>
  <si>
    <t>FT-10; BR-049; FT-09 AC-05</t>
  </si>
  <si>
    <t xml:space="preserve">  ▶  Block: Phân quyền phạm vi dữ liệu  |  FT-09 AC-01; BV-01; NAC-01</t>
  </si>
  <si>
    <t>Callback thất bại -&gt; đánh dấu lỗi, giữ lịch sử, cảnh báo</t>
  </si>
  <si>
    <t>marketingPostService.HandleMakeWebhookCallbackAsync(M1, dto{failed, error})</t>
  </si>
  <si>
    <t>Status = PublishFailed (8); lưu lỗi; tạo cảnh báo
Bài vẫn còn trong lịch sử</t>
  </si>
  <si>
    <t>L1-MKT-11</t>
  </si>
  <si>
    <t>BR-029; BR-049</t>
  </si>
  <si>
    <t>L1-DASH-01</t>
  </si>
  <si>
    <t>Sales Staff chỉ thấy số liệu khách/đơn của chính mình</t>
  </si>
  <si>
    <t>FT-09 AC-01; BV-01</t>
  </si>
  <si>
    <t>Callback gửi trùng -&gt; không tạo bản ghi đăng thứ 2</t>
  </si>
  <si>
    <t>Bài M1 Status=Success, đã nhận callback</t>
  </si>
  <si>
    <t>S1 phụ trách 3 khách (5 đơn); S2 phụ trách 2 khách (4 đơn)</t>
  </si>
  <si>
    <t>marketingPostService.HandleMakeWebhookCallbackAsync(M1, cùng payload)</t>
  </si>
  <si>
    <t>salesStaffDashboardService.GetAsync(S1, period)</t>
  </si>
  <si>
    <t>Không đổi trạng thái; không ghi thêm bản ghi publish</t>
  </si>
  <si>
    <t>L1-MKT-12</t>
  </si>
  <si>
    <t>Chỉ tổng hợp 5 đơn của S1; không lẫn số liệu của S2</t>
  </si>
  <si>
    <t>BR-049</t>
  </si>
  <si>
    <t>Callback cho bài không ở trạng thái đang đăng -&gt; bỏ qua an toàn</t>
  </si>
  <si>
    <t>L1-DASH-02</t>
  </si>
  <si>
    <t>Bài M1 Status=Draft</t>
  </si>
  <si>
    <t>marketingPostService.HandleMakeWebhookCallbackAsync(M1, dto{success})</t>
  </si>
  <si>
    <t>L1-MKT-13</t>
  </si>
  <si>
    <t>Bỏ qua/từ chối — Draft KHÔNG được nhảy thẳng sang Success</t>
  </si>
  <si>
    <t>Sales Staff truyền id của người khác -&gt; không lấy được dữ liệu người đó</t>
  </si>
  <si>
    <t>FT-04; BR-003</t>
  </si>
  <si>
    <t>Caller là S1</t>
  </si>
  <si>
    <t>✅ ĐÃ FIX
HandleMakeWebhookCallbackAsync (306-307) bỏ qua callback nếu Status != Posting.</t>
  </si>
  <si>
    <t>salesStaffDashboardService.GetAsync(S2, period) với caller = S1</t>
  </si>
  <si>
    <t>Ném forbidden hoặc tự ép về phạm vi của S1 — không trả dữ liệu S2</t>
  </si>
  <si>
    <t>Đăng bài KHÔNG làm đổi quyền phụ trách khách hàng</t>
  </si>
  <si>
    <t>callerId lấy từ JWT, không truyền id người khác được — chuyển L3</t>
  </si>
  <si>
    <t>Khách U1 thuộc Sales S1; bài do S2 tạo</t>
  </si>
  <si>
    <t>✅ ĐÃ FIX
SalesStaffDashboardService.GetDashboardAsync giờ nhận callerId (ISalesStaffDashboardService.cs:8).</t>
  </si>
  <si>
    <t>L1-DASH-03</t>
  </si>
  <si>
    <t>CustomerProfile của U1 vẫn gán S1 — marketing không đổi ownership (BR-003)</t>
  </si>
  <si>
    <t>L1-MKT-14</t>
  </si>
  <si>
    <t>Sales Manager thấy số liệu toàn nhóm</t>
  </si>
  <si>
    <t>Nhóm có S1 và S2</t>
  </si>
  <si>
    <t>salesManagerDashboardService.GetAsync(managerId, period)</t>
  </si>
  <si>
    <t>Tổng hợp đủ 9 đơn của cả nhóm</t>
  </si>
  <si>
    <t>Giới hạn hàng đợi lên lịch</t>
  </si>
  <si>
    <t>FT-10; BR-046; BR-050</t>
  </si>
  <si>
    <t>L1-DASH-04</t>
  </si>
  <si>
    <t>CEO thấy số liệu toàn công ty, gồm cả kho và mua hàng</t>
  </si>
  <si>
    <t>Có dữ liệu đơn, tồn kho, PO, giao hàng</t>
  </si>
  <si>
    <t>ceoDashboardService.GetAsync(period)</t>
  </si>
  <si>
    <t>Bao gồm các nhóm chỉ số cấp công ty theo SRS</t>
  </si>
  <si>
    <t>DashboardKpiServices</t>
  </si>
  <si>
    <t>Phân quyền phạm vi dữ liệu</t>
  </si>
  <si>
    <t xml:space="preserve">  ▶  Block: ⊕ v2.2 — Giới hạn hàng đợi lên lịch  |  MAX_SCHEDULED_MARKETING_POSTS  |  4.4.4; BV-01</t>
  </si>
  <si>
    <t>L1-DASH-05</t>
  </si>
  <si>
    <t>Số bài Scheduled tại 29 / 30 / 31 so với ngưỡng cấu hình</t>
  </si>
  <si>
    <t>Vai trò Customer/Warehouse gọi dashboard cấp quản lý -&gt; forbidden</t>
  </si>
  <si>
    <t>SystemConfig 'MAX_SCHEDULED_MARKETING_POSTS' = 30
[Theory] hiện có 29 / 30 bài Status = Scheduled (5)</t>
  </si>
  <si>
    <t>marketingPostService.MakeDecisionAsync(M1, dto{Decision=Approve, ScheduledAt=tương lai}, managerId)</t>
  </si>
  <si>
    <t>salesManagerDashboardService.GetAsync(customerId, period)</t>
  </si>
  <si>
    <t>29 bài: lên lịch thành công (thành 30)
30 bài: TỪ CHỐI — vượt hàng đợi tối đa</t>
  </si>
  <si>
    <t>Ném forbidden; không trả dòng dữ liệu nào</t>
  </si>
  <si>
    <t>GetDashboardAsync(from,to) không có caller — chuyển L3</t>
  </si>
  <si>
    <t>🔒 CẦN L3 (không phải bug)
SalesManagerDashboardService.GetDashboardAsync(from,to) không nhận caller/role, nhưng [Authorize] ở Controller đã chặn Customer/Warehouse. Có test L3: VietTien.IntegrationTests/RoleGateTests.cs:181-211 (L1_DASH_05_...).</t>
  </si>
  <si>
    <t xml:space="preserve">  ▶  Block: Công thức &amp; khoảng thời gian  |  FT-09 AC-01</t>
  </si>
  <si>
    <t>L1-DASH-06</t>
  </si>
  <si>
    <t>Bộ lọc theo kỳ lấy đúng biên ngày đầu/cuối</t>
  </si>
  <si>
    <t>FT-09 AC-01; BV-02</t>
  </si>
  <si>
    <t>Đơn tạo lúc 00:00:00 ngày đầu kỳ và 23:59:59 ngày cuối kỳ</t>
  </si>
  <si>
    <t>kpiService.GetSnapshotAsync(from, to)</t>
  </si>
  <si>
    <t>Cả hai đơn biên đều được tính; đơn trước/sau kỳ bị loại</t>
  </si>
  <si>
    <t>L1-DASH-07</t>
  </si>
  <si>
    <t>Đơn Cancelled không tính vào doanh thu</t>
  </si>
  <si>
    <t>3 đơn Delivered + 2 đơn Cancelled</t>
  </si>
  <si>
    <t>kpiService.GetSnapshotAsync(period)</t>
  </si>
  <si>
    <t>Doanh thu chỉ cộng 3 đơn Delivered</t>
  </si>
  <si>
    <t>L1-DASH-08</t>
  </si>
  <si>
    <t>Không có dữ liệu trong kỳ -&gt; trả 0, không lỗi</t>
  </si>
  <si>
    <t>Kỳ không có đơn nào</t>
  </si>
  <si>
    <t>kpiService.GetSnapshotAsync(emptyPeriod)</t>
  </si>
  <si>
    <t>Các chỉ số = 0; không chia cho 0; không ném lỗi</t>
  </si>
  <si>
    <t>Công thức &amp; khoảng thời gian</t>
  </si>
  <si>
    <t>JobRunService  |  MỚI v2.1  |  methods: RunTrackedAsync, GetLastRunAsync, SearchAsync, GetHealthSummaryAsync  |  FT-09; BR-049; NFR-A04</t>
  </si>
  <si>
    <t>L1-JOB-01</t>
  </si>
  <si>
    <t>JobRunService</t>
  </si>
  <si>
    <t>RunTrackedAsync()</t>
  </si>
  <si>
    <t>FT-09 AC-05; BR-049</t>
  </si>
  <si>
    <t xml:space="preserve">  ▶  Block: RunTrackedAsync()  |  FT-09 AC-05; NAC-05; BV-03; BR-049</t>
  </si>
  <si>
    <t>L1-JOB-02</t>
  </si>
  <si>
    <t>FT-09 NAC-05; BR-049</t>
  </si>
  <si>
    <t>Job chạy thành công -&gt; ghi bắt đầu, kết thúc, kết quả</t>
  </si>
  <si>
    <t>Delegate job trả thành công</t>
  </si>
  <si>
    <t>L1-JOB-03</t>
  </si>
  <si>
    <t>jobRunService.RunTrackedAsync('JobA', () =&gt; ok)</t>
  </si>
  <si>
    <t>FT-09 BV-03; BR-049</t>
  </si>
  <si>
    <t>JobExecutionLog có start, finish, result = Success, retryCount = 0</t>
  </si>
  <si>
    <t>L1-JOB-04</t>
  </si>
  <si>
    <t>FT-09 NAC-05</t>
  </si>
  <si>
    <t>Job ném lỗi -&gt; KHÔNG được đánh dấu thành công</t>
  </si>
  <si>
    <t>Delegate job ném exception</t>
  </si>
  <si>
    <t>jobRunService.RunTrackedAsync('JobA', () =&gt; throw)</t>
  </si>
  <si>
    <t>Bản ghi = Failed, lưu nội dung lỗi
KHÔNG có bản ghi Success cho lần chạy này</t>
  </si>
  <si>
    <t>L1-JOB-05</t>
  </si>
  <si>
    <t>GetLastRunAsync() / SearchAsync() / GetHealthSummaryAsync()</t>
  </si>
  <si>
    <t>FT-09 AC-05</t>
  </si>
  <si>
    <t>Số lần thử lại tại 0 / max-1 / max / max+1</t>
  </si>
  <si>
    <t>[Theory] retryCount theo cấu hình</t>
  </si>
  <si>
    <t>jobRunService.RunTrackedAsync(... với job luôn lỗi ...)</t>
  </si>
  <si>
    <t>Tới max: vẫn thử lại
Vượt max: đánh dấu thất bại cuối + tạo cảnh báo</t>
  </si>
  <si>
    <t>L1-JOB-06</t>
  </si>
  <si>
    <t>FT-09 AC-05; NFR-A04</t>
  </si>
  <si>
    <t>JobRunService không có cơ chế retry — tính năng chưa có</t>
  </si>
  <si>
    <t>❌ CHƯA FIX
JobRunService.cs:22-55 RunTrackedAsync chỉ try/catch đánh dấu Failed, không có retryCount/max-retry/cảnh báo.</t>
  </si>
  <si>
    <t>Lỗi của job KHÔNG được nuốt im lặng</t>
  </si>
  <si>
    <t>Job lỗi nhưng không ghi log được</t>
  </si>
  <si>
    <t>L1-JOB-07</t>
  </si>
  <si>
    <t>jobRunService.RunTrackedAsync('JobA', failingJob)</t>
  </si>
  <si>
    <t>Thiếu ghi log được coi là lỗi vận hành nghiêm trọng — có cảnh báo, không im lặng</t>
  </si>
  <si>
    <t>NFR-A04</t>
  </si>
  <si>
    <t xml:space="preserve">  ▶  Block: GetLastRunAsync() / SearchAsync() / GetHealthSummaryAsync()</t>
  </si>
  <si>
    <t>L1-SJOB-01</t>
  </si>
  <si>
    <t>ScheduledJobs</t>
  </si>
  <si>
    <t>GetLastRun trả đúng lần chạy gần nhất</t>
  </si>
  <si>
    <t>SePayReservationExpiryJob</t>
  </si>
  <si>
    <t>JobA có 3 lần chạy</t>
  </si>
  <si>
    <t>jobRunService.GetLastRunAsync('JobA')</t>
  </si>
  <si>
    <t>Trả bản ghi mới nhất theo thời gian bắt đầu</t>
  </si>
  <si>
    <t>Health summary phản ánh đúng job đang lỗi</t>
  </si>
  <si>
    <t>L1-SJOB-02</t>
  </si>
  <si>
    <t>FT-03 BV-01; BR-033</t>
  </si>
  <si>
    <t>JobA thành công, JobB thất bại lần cuối</t>
  </si>
  <si>
    <t>jobRunService.GetHealthSummaryAsync()</t>
  </si>
  <si>
    <t>JobB hiển thị trạng thái không khoẻ; JobA khoẻ</t>
  </si>
  <si>
    <t>Job chưa từng chạy -&gt; hiển thị rõ 'chưa chạy', không báo khoẻ</t>
  </si>
  <si>
    <t>L1-SJOB-03</t>
  </si>
  <si>
    <t>JobC chưa có bản ghi nào</t>
  </si>
  <si>
    <t>L1-SJOB-04</t>
  </si>
  <si>
    <t>JobC không bị coi là đang khoẻ mạnh (tránh im lặng giả)</t>
  </si>
  <si>
    <t>ScheduledJobs  |  MỚI v2.1  |  OrderSlaJob · SePayReservationExpiryJob · SePayWebhookRetryJob · LowStockAlertJob · MarketingPostMakeScheduleJob  |  FT-03; FT-09; FT-12; BR-010/033/049</t>
  </si>
  <si>
    <t>L1-SJOB-05</t>
  </si>
  <si>
    <t>OrderSlaJob</t>
  </si>
  <si>
    <t>FT-03 BV-02; BR-010</t>
  </si>
  <si>
    <t>L1-SJOB-06</t>
  </si>
  <si>
    <t xml:space="preserve">  ▶  Block: SePayReservationExpiryJob  |  FT-03 BV-01; BR-008; BR-033</t>
  </si>
  <si>
    <t>Reservation 14:59 -&gt; KHÔNG bị giải phóng</t>
  </si>
  <si>
    <t>L1-SJOB-07</t>
  </si>
  <si>
    <t>SystemConfig 'SEPAY_RESERVATION_MINUTES' = 15
Reservation tạo cách đây 14 phút (mock clock)</t>
  </si>
  <si>
    <t>Chạy 1 chu kỳ SePayReservationExpiryJob</t>
  </si>
  <si>
    <t>FT-03 BV-02; BR-008</t>
  </si>
  <si>
    <t>Reservation còn nguyên; Reserved không bị trả lại</t>
  </si>
  <si>
    <t>L1-SJOB-08</t>
  </si>
  <si>
    <t>Reservation đúng 15:00 -&gt; giải phóng, hoàn tồn khả dụng</t>
  </si>
  <si>
    <t>FT-09 AC-02; BR-049</t>
  </si>
  <si>
    <t>'SEPAY_RESERVATION_MINUTES' = 15
Reservation tạo cách đây 15 phút; Reserved P1=3, Available=7</t>
  </si>
  <si>
    <t>Reserved=0; Available=10; đơn chuyển trạng thái theo luồng</t>
  </si>
  <si>
    <t>Job KHÔNG đụng tới phần đã ALLOCATED</t>
  </si>
  <si>
    <t>L1-SJOB-09</t>
  </si>
  <si>
    <t>SePayWebhookRetryJob</t>
  </si>
  <si>
    <t>Đơn A: Allocated=3 (quá hạn); đơn B: Reserved=2 (quá hạn)</t>
  </si>
  <si>
    <t>Chạy 1 chu kỳ job</t>
  </si>
  <si>
    <t>Chỉ B được giải phóng (ReleaseReservedAsync)
A giữ nguyên Allocated=3 — job KHÔNG gọi ReleaseAllocatedAsync</t>
  </si>
  <si>
    <t>Chạy job 2 lần liên tiếp -&gt; không hoàn tồn 2 lần</t>
  </si>
  <si>
    <t>L1-SJOB-10</t>
  </si>
  <si>
    <t>Có 1 reservation quá hạn (3 đơn vị); Available ban đầu = 7</t>
  </si>
  <si>
    <t>Chạy job lần 1 rồi lần 2</t>
  </si>
  <si>
    <t>Available = 10 sau lần 1 và VẪN = 10 sau lần 2</t>
  </si>
  <si>
    <t xml:space="preserve">  ▶  Block: OrderSlaJob  |  FT-03 BV-02; BR-010</t>
  </si>
  <si>
    <t>ExternalIntegrations  |  MỚI v2.1  |  EmailService · eSmsService · CloudinaryService · MakeWebhookService · AiGeneratorService  |  Test hợp đồng gọi ra ngoài (mock HttpClient)</t>
  </si>
  <si>
    <t>L1-SJOB-11</t>
  </si>
  <si>
    <t>LowStockAlertJob</t>
  </si>
  <si>
    <t>FT-12 AC-04; BV-03</t>
  </si>
  <si>
    <t>COD tại 24:59 / 25:00 -&gt; chỉ mốc 25:00 phát cảnh báo cho Sales</t>
  </si>
  <si>
    <t>SystemConfig 'COD_WARNING_MINUTES' = 25
[Theory] đơn COD tạo cách đây 24 / 25 / 26 phút, OrderStatus = PendingConfirmation</t>
  </si>
  <si>
    <t>Chạy 1 chu kỳ OrderSlaJob</t>
  </si>
  <si>
    <t>GH-43</t>
  </si>
  <si>
    <t>24 phút: chưa cảnh báo
25 và 26 phút: tạo đúng 1 cảnh báo cho Sales phụ trách</t>
  </si>
  <si>
    <t>L1-SJOB-12</t>
  </si>
  <si>
    <t>FT-12 AC-04; FT-09 AC-02</t>
  </si>
  <si>
    <t>COD tại 29:59 / 30:00 -&gt; chỉ mốc 30:00 escalate Sales Manager</t>
  </si>
  <si>
    <t>'COD_ESCALATION_MINUTES' = 30
[Theory] 29 / 30 / 31 phút</t>
  </si>
  <si>
    <t>30 và 31 phút: tạo escalation cho Sales Manager</t>
  </si>
  <si>
    <t xml:space="preserve">  ▶  Block: EmailService / eSmsService</t>
  </si>
  <si>
    <t>L1-SJOB-13</t>
  </si>
  <si>
    <t>COD tại 35:00 -&gt; hết hạn giữ hàng</t>
  </si>
  <si>
    <t>FT-12 AC-04</t>
  </si>
  <si>
    <t>L1-EXT-01</t>
  </si>
  <si>
    <t>'COD_RESERVATION_MINUTES' = 35
[Theory] 34 / 35 / 36 phút; đơn COD chưa xác nhận</t>
  </si>
  <si>
    <t>35 và 36 phút: gọi ReleaseReservedAsync, tồn trả về khả dụng</t>
  </si>
  <si>
    <t>Gửi email OTP dùng đúng template và địa chỉ nhận</t>
  </si>
  <si>
    <t>FT-01 AC-02; NFR-U02</t>
  </si>
  <si>
    <t>Mock SMTP/MailKit client (không kết nối thật)</t>
  </si>
  <si>
    <t>L1-SJOB-14</t>
  </si>
  <si>
    <t>Chạy lại job -&gt; không tạo cảnh báo trùng cho cùng đơn</t>
  </si>
  <si>
    <t>emailService.SendOtpEmailAsync(to, otp)</t>
  </si>
  <si>
    <t>MarketingPostMakeScheduleJob</t>
  </si>
  <si>
    <t>Verify NỘI DUNG email gửi đi: đúng địa chỉ nhận, tiêu đề tiếng Việt, thân thư CHỨA mã OTP
Gọi đúng 1 lần
OTP không xuất hiện trong log ứng dụng</t>
  </si>
  <si>
    <t>Đơn đã được cảnh báo mốc 25 phút</t>
  </si>
  <si>
    <t>Chạy job thêm 1 chu kỳ</t>
  </si>
  <si>
    <t>Không tạo cảnh báo thứ 2 cho cùng nghiệp vụ</t>
  </si>
  <si>
    <t>L1-EXT-02</t>
  </si>
  <si>
    <t xml:space="preserve">  ▶  Block: SePayWebhookRetryJob  |  BR-029; BR-049</t>
  </si>
  <si>
    <t>SMTP lỗi -&gt; không làm sập nghiệp vụ gọi nó</t>
  </si>
  <si>
    <t>L1-SJOB-15</t>
  </si>
  <si>
    <t>NFR-A02</t>
  </si>
  <si>
    <t>Mock SMTP ném lỗi</t>
  </si>
  <si>
    <t>emailService.SendOrderInvoiceEmailAsync(...)</t>
  </si>
  <si>
    <t>Chỉ retry callback ở trạng thái thất bại và chưa vượt số lần</t>
  </si>
  <si>
    <t>Lỗi được xử lý/ghi nhận; luồng đặt hàng không bị vỡ (theo NFR-A02)</t>
  </si>
  <si>
    <t>3 log: Processed, Failed(AttemptCount=2), Abandoned(AttemptCount=5)</t>
  </si>
  <si>
    <t>Chạy 1 chu kỳ SePayWebhookRetryJob</t>
  </si>
  <si>
    <t>Chỉ log Failed(2) được RetryAsync
Processed và Abandoned bị bỏ qua</t>
  </si>
  <si>
    <t>L1-SJOB-16</t>
  </si>
  <si>
    <t>L1-EXT-03</t>
  </si>
  <si>
    <t>Gửi SMS gọi đúng endpoint eSMS với tham số cấu hình</t>
  </si>
  <si>
    <t>Retry callback đã xử lý -&gt; không tạo giao dịch thanh toán thứ 2</t>
  </si>
  <si>
    <t>Mock HttpMessageHandler</t>
  </si>
  <si>
    <t>eSmsService.SendAsync(phone, message)</t>
  </si>
  <si>
    <t>Đơn đã Paid, có 1 PaymentTransaction</t>
  </si>
  <si>
    <t>Đúng 1 request; nội dung OTP không ghi vào log ứng dụng</t>
  </si>
  <si>
    <t>Chạy job với log tương ứng</t>
  </si>
  <si>
    <t>Vẫn đúng 1 PaymentTransaction; không thông báo lặp</t>
  </si>
  <si>
    <t>L1-EXT-04</t>
  </si>
  <si>
    <t xml:space="preserve">  ▶  Block: LowStockAlertJob  |  FT-12 AC-04; BV-03</t>
  </si>
  <si>
    <t>eSMS trả lỗi -&gt; báo lỗi rõ, không coi là đã gửi</t>
  </si>
  <si>
    <t>NFR-A02; FT-01 NAC-02</t>
  </si>
  <si>
    <t>Mock trả 500</t>
  </si>
  <si>
    <t>Trả thất bại; tầng gọi không đánh dấu đã gửi OTP</t>
  </si>
  <si>
    <t>Tồn tại threshold+1 / threshold / threshold-1</t>
  </si>
  <si>
    <t>ExternalIntegrations</t>
  </si>
  <si>
    <t>EmailService / eSmsService</t>
  </si>
  <si>
    <t>Inventory P1 có ReorderThreshold = 20 (cấu hình TRÊN DÒNG Inventory, không phải SystemConfig)
[Theory] AvailableQuantity = 21 / 20 / 19</t>
  </si>
  <si>
    <t>Chạy 1 chu kỳ LowStockAlertJob (job chạy mỗi 15 phút)</t>
  </si>
  <si>
    <t>Code dùng điều kiện AvailableQuantity &lt; ReorderThreshold:
21: không cảnh báo
19: có cảnh báo
20: KHÔNG cảnh báo theo code</t>
  </si>
  <si>
    <t xml:space="preserve">  ▶  Block: CloudinaryService / MakeWebhookService / AiGeneratorService</t>
  </si>
  <si>
    <t>❌ CHƯA FIX
LowStockAlertJob.cs:45 dùng '&gt; ReorderThreshold' nên bằng ngưỡng vẫn bị cảnh báo (lẽ ra không) — lỗi off-by-one vẫn còn, lặp lại ở dòng 84 cho vật tư.</t>
  </si>
  <si>
    <t>L1-EXT-05</t>
  </si>
  <si>
    <t>Không tạo cảnh báo trùng khi đã có cảnh báo đang mở</t>
  </si>
  <si>
    <t>Upload ảnh trả URL và publicId dùng lại được khi xoá</t>
  </si>
  <si>
    <t>P1 đã có LowStockAlert tạo cách đây 1 giờ (cooldown 24 giờ cho inventory)</t>
  </si>
  <si>
    <t>Chạy LowStockAlertJob thêm 1 chu kỳ</t>
  </si>
  <si>
    <t>Không tạo cảnh báo thứ 2 — cooldown 24h chặn
[Theory] cũng test nguyên vật liệu với cooldown 2 ngày</t>
  </si>
  <si>
    <t>Mock Cloudinary client</t>
  </si>
  <si>
    <t>cloudinaryService.UploadImageAsync(file)</t>
  </si>
  <si>
    <t>Trả URL + publicId; publicId trích xuất lại đúng khi gọi xoá</t>
  </si>
  <si>
    <t>Cảnh báo tự đóng khi tồn hồi phục trên ngưỡng</t>
  </si>
  <si>
    <t>L1-EXT-06</t>
  </si>
  <si>
    <t>File ngoài allowlist / vượt kích thước -&gt; chặn trước khi gọi ra ngoài</t>
  </si>
  <si>
    <t>Cảnh báo đang mở; tồn P1 được nhập lên trên ReorderThreshold</t>
  </si>
  <si>
    <t>Chạy LowStockAlertJob</t>
  </si>
  <si>
    <t>File .exe hoặc vượt giới hạn</t>
  </si>
  <si>
    <t>Cảnh báo chuyển trạng thái đã xử lý theo quy tắc cấu hình</t>
  </si>
  <si>
    <t>cloudinaryService.UploadImageAsync(badFile)</t>
  </si>
  <si>
    <t>Từ chối tại chỗ; KHÔNG phát sinh request ra Cloudinary</t>
  </si>
  <si>
    <t xml:space="preserve">  ▶  Block: MarketingPostMakeScheduleJob  |  FT-10; BR-046; BR-049</t>
  </si>
  <si>
    <t>L1-EXT-07</t>
  </si>
  <si>
    <t>MakeWebhook gửi đúng payload và có timeout</t>
  </si>
  <si>
    <t>Chỉ đăng bài ĐÃ DUYỆT và tới giờ hẹn</t>
  </si>
  <si>
    <t>makeWebhookService.TriggerAsync(payload)</t>
  </si>
  <si>
    <t>Đúng 1 request, payload khớp; có cấu hình timeout để không treo</t>
  </si>
  <si>
    <t>3 bài: 1 nháp tới giờ, 1 đã duyệt chưa tới giờ, 1 đã duyệt tới giờ</t>
  </si>
  <si>
    <t>Chỉ bài thứ 3 được gửi đăng</t>
  </si>
  <si>
    <t>L1-EXT-08</t>
  </si>
  <si>
    <t>AI generator quá thời gian -&gt; trả lỗi có kiểm soát</t>
  </si>
  <si>
    <t>NFR-P07; NFR-A02</t>
  </si>
  <si>
    <t>Chạy lại job -&gt; không đăng lặp bài đã gửi</t>
  </si>
  <si>
    <t>Mock HttpMessageHandler trả timeout (hoặc delay vượt cấu hình)</t>
  </si>
  <si>
    <t>await act = () =&gt; aiGeneratorService.GenerateAsync(prompt)</t>
  </si>
  <si>
    <t>act.Should().ThrowAsync&lt;Exception&gt;() — lỗi PHẢI nổi lên, không bị nuốt
Verify HttpMessageHandler nhận ĐÚNG 1 request (không retry ngầm vô hạn)</t>
  </si>
  <si>
    <t>Bài M1 đã được gửi đăng ở chu kỳ trước</t>
  </si>
  <si>
    <t>Không gọi webhook lần 2 cho M1</t>
  </si>
  <si>
    <t>CloudinaryService / MakeWebhookService / AiGeneratorService</t>
  </si>
  <si>
    <t>Webhook lỗi -&gt; đánh dấu thất bại + cảnh báo, không mất bài</t>
  </si>
  <si>
    <t>Mock IMakeWebhookService ném lỗi</t>
  </si>
  <si>
    <t>Chạy job</t>
  </si>
  <si>
    <t>Bài chuyển trạng thái thất bại, giữ trong lịch sử, tạo cảnh báo</t>
  </si>
  <si>
    <t>L1-REG-01</t>
  </si>
  <si>
    <t>RegressionFixes</t>
  </si>
  <si>
    <t>81434ce — Vá IDOR / auth / state-guard</t>
  </si>
  <si>
    <t>L1-REG-02</t>
  </si>
  <si>
    <t>L1-REG-03</t>
  </si>
  <si>
    <t>FT-11 NAC-04; NFR-SEC03</t>
  </si>
  <si>
    <t>L1-REG-04</t>
  </si>
  <si>
    <t>L1-REG-05</t>
  </si>
  <si>
    <t>510915c — Race condition &amp; guard huỷ/thanh toán</t>
  </si>
  <si>
    <t>FT-05 NAC-01; NFR-A05; BR-032</t>
  </si>
  <si>
    <t>L1-REG-06</t>
  </si>
  <si>
    <t>FT-08 NAC-05; 4.4.1</t>
  </si>
  <si>
    <t>L1-REG-07</t>
  </si>
  <si>
    <t>FT-03 NAC-02; BR-016</t>
  </si>
  <si>
    <t>L1-REG-08</t>
  </si>
  <si>
    <t>L1-REG-09</t>
  </si>
  <si>
    <t>f5b6b5e + ae6fed6 — Validation DTO &amp; 6 bug logic</t>
  </si>
  <si>
    <t>FT-01 AC-05; FT-05 BV-02</t>
  </si>
  <si>
    <t>L1-REG-10</t>
  </si>
  <si>
    <t>L1-REG-11</t>
  </si>
  <si>
    <t>L1-REG-12</t>
  </si>
  <si>
    <t>FT-05 NAC-01; FT-06 NAC-03; BR-032</t>
  </si>
  <si>
    <t>Coverage Appendix  |  Test coverage code-driven — 239 nhóm hành vi / 692 test con  |  KHÔNG phải test case truy vết SRS: mỗi dòng là 1 hành vi ở tầng controller/hạ tầng, được phủ bởi nhiều test method. Test case truy vết SRS (390) nằm ở 37 sheet service.</t>
  </si>
  <si>
    <t>RegressionFixes  |  MỚI v2.1  |  Test hồi quy cho các commit vá lỗi 24–28/07 (f5b6b5e · 510915c · 81434ce · ae6fed6)  |  Mỗi case PHẢI Fail nếu bug tái xuất</t>
  </si>
  <si>
    <t>QUY ƯỚC ĐẾM: 1 test case = 1 hành vi nghiệp vụ truy vết AC/NAC/BV/BR của SRS · 1 test method = 1 lượt kiểm ([Theory] sinh nhiều lượt từ 1 case). Số liệu báo cáo: "390 test case truy vết SRS, thực thi bởi 1.253 test tự động; line coverage 80,6%".</t>
  </si>
  <si>
    <t xml:space="preserve">  ▶  Block: ManualPaymentService  —  PaymentsController  ·  coverage 100%  ·  PaymentsControllerTests.cs</t>
  </si>
  <si>
    <t xml:space="preserve">  ▶  Block: 81434ce — Vá IDOR / auth / state-guard  |  NFR-SEC03; BR-022</t>
  </si>
  <si>
    <t>CVG-001</t>
  </si>
  <si>
    <t>Coverage (code-driven)</t>
  </si>
  <si>
    <t>GetSePayExceptions() — 2 test con [L1-MP-06 → L1-MP-07]
· GetSePayExceptions_ReturnsOkWithList
· GetSePayExceptions_WhenServiceThrows_Returns400</t>
  </si>
  <si>
    <t>COVERAGE (code-driven)</t>
  </si>
  <si>
    <t>IDOR InventoryService: thao tác tồn kho ngoài phạm vi kho được gán</t>
  </si>
  <si>
    <t>Mock dependency của controller theo tên test</t>
  </si>
  <si>
    <t>Nhân viên thuộc kho W1; bản ghi tồn thuộc kho W2</t>
  </si>
  <si>
    <t>inventoryService.AdjustInventoryAsync(I_W2, qty, note, staffW1)</t>
  </si>
  <si>
    <t>Ném forbidden; số lượng của W2 không đổi</t>
  </si>
  <si>
    <t>PaymentsController.GetSePayExceptions()</t>
  </si>
  <si>
    <t>Xem assertion trong file test nguồn (tên test tra ngược 1-1)</t>
  </si>
  <si>
    <t>Cả hai</t>
  </si>
  <si>
    <t>✅ ĐÃ FIX  [🟢 ĐÃ FIX (07/08/2026, xác nhận qua L2 integration test thật)]
GH-12 đã fix: InventoryService.AdjustInventoryAsync nay ghi StockTransaction (TransactionType.StockAdjustment) cho mỗi lần điều chỉnh tồn — comment cũ về không ghi audit (dòng 126-127) đã được thay thế. Xác nhận PASS qua L2-TRF-04 chạy thật.</t>
  </si>
  <si>
    <t>Coverage 100% · nguồn: PaymentsControllerTests.cs</t>
  </si>
  <si>
    <t>CVG-002</t>
  </si>
  <si>
    <t>ManualConfirm() — 6 test con [L1-MP-08 → L1-MP-13]
· ManualConfirm_Success_ReturnsOk
· ManualConfirm_WhenModelStateInvalid_Returns400
· ManualConfirm_MapsException_ToStatusAndErrorCode
· ManualConfirm_WhenUnauthorized_Returns401
· ManualConfirm_WhenUnexpectedException_Returns500
· ManualConfirm_WithoutUserClaim_Returns401</t>
  </si>
  <si>
    <t>IDOR QuotationService: đọc báo giá không thuộc phạm vi</t>
  </si>
  <si>
    <t>PaymentsController.ManualConfirm()</t>
  </si>
  <si>
    <t>Báo giá Q9 thuộc khách U9 và Sales S2</t>
  </si>
  <si>
    <t>quotationService.GetByIdAsync(Q9, callerId=S1)</t>
  </si>
  <si>
    <t>Ném forbidden/not-found; không lộ giá đề xuất</t>
  </si>
  <si>
    <t>CVG-003</t>
  </si>
  <si>
    <t>RetryAllocation() — 2 test con [L1-MP-14 → L1-MP-15]
· RetryAllocation_Success_PassesNoteToService
· RetryAllocation_MapsException_ToStatus</t>
  </si>
  <si>
    <t>IDOR StockTransferService: nhận hàng ở kho không phải kho đích</t>
  </si>
  <si>
    <t>Phiếu T1 có kho đích W2; caller thuộc W3</t>
  </si>
  <si>
    <t>PaymentsController.RetryAllocation()</t>
  </si>
  <si>
    <t>stockTransferService.ReceiveAsync(T1, dto, staffW3)</t>
  </si>
  <si>
    <t>Ném forbidden; tồn kho W3 không đổi</t>
  </si>
  <si>
    <t>ReceiveAsync không có tham số caller/kho — chuyển L3</t>
  </si>
  <si>
    <t xml:space="preserve">  ▶  Block: SupplierService  —  SuppliersController  ·  coverage 100%  ·  CrudControllersTests.cs</t>
  </si>
  <si>
    <t>✅ ĐÃ FIX
StockTransferService.cs:287,304-309 ReceiveAsync nhận Guid staffId, throw nếu AssignedWarehouseId khác DestinationWarehouseId.</t>
  </si>
  <si>
    <t>CVG-004</t>
  </si>
  <si>
    <t>PurchaseOrderService: state-guard chặn chuyển trạng thái sai thứ tự</t>
  </si>
  <si>
    <t>GetAll() — 1 test con [L1-SUP-04]
· GetAll_ReturnsOkWithList</t>
  </si>
  <si>
    <t>SuppliersController.GetAll()</t>
  </si>
  <si>
    <t>Coverage 100% · nguồn: CrudControllersTests.cs</t>
  </si>
  <si>
    <t>CVG-005</t>
  </si>
  <si>
    <t>[Theory] PO ở Draft/Cancelled/Issued với thao tác không hợp lệ tương ứng</t>
  </si>
  <si>
    <t>Gọi Issue/SendToWarehouse/Close sai trạng thái nguồn</t>
  </si>
  <si>
    <t>Mọi trường hợp đều ném conflict; trạng thái không đổi</t>
  </si>
  <si>
    <t xml:space="preserve">  ▶  Block: 510915c — Race condition &amp; guard huỷ/thanh toán  |  NFR-A05; BR-032</t>
  </si>
  <si>
    <t>GetById() — 2 test con [L1-SUP-05 → L1-SUP-06]
· GetById_WhenFound_ReturnsOk
· GetById_MapsException</t>
  </si>
  <si>
    <t>Direct order: hai lời gọi song song trên cùng tồn kho</t>
  </si>
  <si>
    <t>SuppliersController.GetById()</t>
  </si>
  <si>
    <t>Available P1 = 10; hai request cùng đặt 10</t>
  </si>
  <si>
    <t>Task.WhenAll(PlaceDirectOrderAsync x2) với barrier đồng thời</t>
  </si>
  <si>
    <t>Đúng 1 thành công; Available = 0, KHÔNG âm; đúng 1 hoá đơn</t>
  </si>
  <si>
    <t>CVG-006</t>
  </si>
  <si>
    <t>Create() — 2 test con [L1-SUP-07 → L1-SUP-08]
· Create_Success_ReturnsOk
· Create_MapsException</t>
  </si>
  <si>
    <t>SuppliersController.Create()</t>
  </si>
  <si>
    <t>Không cho huỷ đơn đã sang trạng thái không được huỷ</t>
  </si>
  <si>
    <t>CVG-007</t>
  </si>
  <si>
    <t>[Theory] đơn ở In Delivery / Delivered</t>
  </si>
  <si>
    <t>Update() — 2 test con [L1-SUP-09 → L1-SUP-10]
· Update_Success_ReturnsOk
· Update_MapsException</t>
  </si>
  <si>
    <t>Ném conflict cho cả hai trạng thái; không tạo yêu cầu huỷ</t>
  </si>
  <si>
    <t>SuppliersController.Update()</t>
  </si>
  <si>
    <t>✅ ĐÃ FIX
OrderService.cs:1788-1793 RequestCancelOrderAsync throw cho cả InDelivery và Delivered (validStatuses check) ở tầng service/unit test.</t>
  </si>
  <si>
    <t>Không cho thanh toán lại đơn đã Paid</t>
  </si>
  <si>
    <t xml:space="preserve">  ▶  Block: VehicleService  —  VehiclesController  ·  coverage 93,8%  ·  CrudControllersTests.cs</t>
  </si>
  <si>
    <t>Đơn O1 đã Paid</t>
  </si>
  <si>
    <t>orderService.GenerateSePayQrAsync(O1, caller...)</t>
  </si>
  <si>
    <t>Ném conflict; không sinh QR mới; không tạo giao dịch thứ 2</t>
  </si>
  <si>
    <t>CVG-008</t>
  </si>
  <si>
    <t>GetAll() — 1 test con [L1-VEH-06]
· GetAll_ReturnsOk</t>
  </si>
  <si>
    <t>ℹ Cùng defect GH-05 với L1-ORD-13.</t>
  </si>
  <si>
    <t>✅ ĐÃ FIX
Giống L1-ORD-13 — OrderService.cs:296-297.</t>
  </si>
  <si>
    <t>VehiclesController.GetAll()</t>
  </si>
  <si>
    <t>NotificationService: không gửi thông báo cho người ngoài phạm vi</t>
  </si>
  <si>
    <t>Coverage 93,8% · nguồn: CrudControllersTests.cs</t>
  </si>
  <si>
    <t>Thông báo nội bộ về đơn của khách U1</t>
  </si>
  <si>
    <t>CVG-009</t>
  </si>
  <si>
    <t>notificationService.CreateNotificationAsync(type, recipient=U9, ...)</t>
  </si>
  <si>
    <t>Không gửi nội dung nhạy cảm cho người không liên quan</t>
  </si>
  <si>
    <t>GetById() — 1 test con [L1-VEH-07]
· GetById_MapsException</t>
  </si>
  <si>
    <t>VehiclesController.GetById()</t>
  </si>
  <si>
    <t>CVG-010</t>
  </si>
  <si>
    <t>Create() — 2 test con [L1-VEH-08 → L1-VEH-09]
· Create_Success_ReturnsOk
· Create_MapsException</t>
  </si>
  <si>
    <t xml:space="preserve">  ▶  Block: f5b6b5e + ae6fed6 — Validation DTO &amp; 6 bug logic  |  FT-01; FT-05; FT-06; FT-11; FT-12</t>
  </si>
  <si>
    <t>VehiclesController.Create()</t>
  </si>
  <si>
    <t>CVG-011</t>
  </si>
  <si>
    <t>Update() — 1 test con [L1-VEH-10]
· Update_MapsException</t>
  </si>
  <si>
    <t>Validation DTO: số lượng và ngày không hợp lệ bị chặn ở tầng nhập</t>
  </si>
  <si>
    <t>VehiclesController.Update()</t>
  </si>
  <si>
    <t>[Theory] qty = 0/-1; ngày giao ở quá khứ; kiểu dữ liệu sai</t>
  </si>
  <si>
    <t>Gọi các API nhận DTO tương ứng</t>
  </si>
  <si>
    <t>Bị chặn với lỗi validation rõ ràng; không tạo bản ghi nào</t>
  </si>
  <si>
    <t xml:space="preserve">  ▶  Block: DiscountTierService  —  DiscountTiersController  ·  coverage 93,4%  ·  CrudControllersTests.cs</t>
  </si>
  <si>
    <t>CVG-012</t>
  </si>
  <si>
    <t>GetAll() — 1 test con [L1-DT-10]
· GetAll_ReturnsOk</t>
  </si>
  <si>
    <t>DiscountTiersController.GetAll()</t>
  </si>
  <si>
    <t>AddressService: sau fix vẫn đảm bảo đúng 1 địa chỉ mặc định</t>
  </si>
  <si>
    <t>Coverage 93,4% · nguồn: CrudControllersTests.cs</t>
  </si>
  <si>
    <t>CVG-013</t>
  </si>
  <si>
    <t>U1 có A1 (mặc định), A2, A3</t>
  </si>
  <si>
    <t>Đặt mặc định lần lượt A2 rồi A3</t>
  </si>
  <si>
    <t>GetById() — 1 test con [L1-DT-11]
· GetById_MapsException</t>
  </si>
  <si>
    <t>Sau mỗi lần: đúng 1 địa chỉ mặc định; các địa chỉ khác đều false</t>
  </si>
  <si>
    <t>DiscountTiersController.GetById()</t>
  </si>
  <si>
    <t>CVG-014</t>
  </si>
  <si>
    <t>Create() — 2 test con [L1-DT-12 → L1-DT-13]
· Create_Success_ReturnsOk
· Create_WhenServiceThrows_Returns400</t>
  </si>
  <si>
    <t>MaterialService: sau fix, tìm kiếm không phân biệt hoa thường và dấu</t>
  </si>
  <si>
    <t>DiscountTiersController.Create()</t>
  </si>
  <si>
    <t>Vật tư 'Nhựa PP'</t>
  </si>
  <si>
    <t>materialService.GetAllAsync('NHỰA')</t>
  </si>
  <si>
    <t>Vẫn tìm được 'Nhựa PP'</t>
  </si>
  <si>
    <t>CVG-015</t>
  </si>
  <si>
    <t>Update() — 1 test con [L1-DT-14]
· Update_MapsException</t>
  </si>
  <si>
    <t>DiscountTiersController.Update()</t>
  </si>
  <si>
    <t>GoodsIssue/GoodsReceipt: lỗi giữa chừng phải rollback toàn bộ</t>
  </si>
  <si>
    <t>Ép lỗi ở bước ghi StockTransaction</t>
  </si>
  <si>
    <t xml:space="preserve">  ▶  Block: MaterialService  —  MaterialController  ·  coverage 95,3%  ·  CrudControllersTests.cs</t>
  </si>
  <si>
    <t>Post phiếu xuất/nhập nhiều dòng</t>
  </si>
  <si>
    <t>Không có dòng nào được ghi một phần; tồn kho giữ nguyên hoàn toàn</t>
  </si>
  <si>
    <t>CVG-016</t>
  </si>
  <si>
    <t>GetAll() — 1 test con [L1-MAT-04]
· GetAll_PassesSearchParamsToService</t>
  </si>
  <si>
    <t>MaterialController.GetAll()</t>
  </si>
  <si>
    <t>Coverage 95,3% · nguồn: CrudControllersTests.cs</t>
  </si>
  <si>
    <t>CVG-017</t>
  </si>
  <si>
    <t>GetById() — 1 test con [L1-MAT-05]
· GetById_MapsException</t>
  </si>
  <si>
    <t>MaterialController.GetById()</t>
  </si>
  <si>
    <t>CVG-018</t>
  </si>
  <si>
    <t>Create() — 2 test con [L1-MAT-06 → L1-MAT-07]
· Create_WhenModelStateInvalid_Returns400
· Create_MapsException</t>
  </si>
  <si>
    <t>MaterialController.Create()</t>
  </si>
  <si>
    <t>CVG-019</t>
  </si>
  <si>
    <t>Update() — 2 test con [L1-MAT-08 → L1-MAT-09]
· Update_WhenModelStateInvalid_Returns400
· Update_MapsException</t>
  </si>
  <si>
    <t>MaterialController.Update()</t>
  </si>
  <si>
    <t>CVG-020</t>
  </si>
  <si>
    <t>Delete() — 2 test con [L1-MAT-10 → L1-MAT-11]
· Delete_Success_Returns204
· Delete_MapsException</t>
  </si>
  <si>
    <t>MaterialController.Delete()</t>
  </si>
  <si>
    <t xml:space="preserve">  ▶  Block: StockTransferService  —  StockTransferController  ·  coverage 98,2%  ·  StockTransferAndSePayControllerTests.cs · AdminDashboardStockTransferTests.cs</t>
  </si>
  <si>
    <t>CVG-021</t>
  </si>
  <si>
    <t>GetAll() — 2 test con [L1-ST-07 → L1-ST-08]
· GetAll_ReturnsOk
· GetAll_WhenServiceThrows_Returns400</t>
  </si>
  <si>
    <t>StockTransferController.GetAll()</t>
  </si>
  <si>
    <t>Coverage 98,2% · nguồn: StockTransferAndSePayControllerTests.cs · AdminDashboardStockTransferTests.cs</t>
  </si>
  <si>
    <t>CVG-022</t>
  </si>
  <si>
    <t>GetById() — 1 test con [L1-ST-09]
· GetById_MapsException</t>
  </si>
  <si>
    <t>StockTransferController.GetById()</t>
  </si>
  <si>
    <t>CVG-023</t>
  </si>
  <si>
    <t>Create() — 3 test con [L1-ST-10 → L1-ST-12]
· Create_WithoutUserClaim_Returns401
· Create_Success_Returns201WithCreatorFromJwt
· Create_MapsException</t>
  </si>
  <si>
    <t>StockTransferController.Create()</t>
  </si>
  <si>
    <t>CVG-024</t>
  </si>
  <si>
    <t>Update() — 2 test con [L1-ST-13 → L1-ST-14]
· Update_WhenConcurrent_Returns409
· Update_MapsException</t>
  </si>
  <si>
    <t>StockTransferController.Update()</t>
  </si>
  <si>
    <t>⚠ Nhánh DbUpdateConcurrencyException → 409 KHÔNG chạy được qua HTTP thật khi bảng thiếu RowVersion (GH-04) — mock là cách duy nhất chạm tới.  |  Coverage 98,2% · nguồn: StockTransferAndSePayControllerTests.cs · AdminDashboardStockTransferTests.cs</t>
  </si>
  <si>
    <t>CVG-025</t>
  </si>
  <si>
    <t>Dispatch() — 2 test con [L1-ST-15 → L1-ST-16]
· Dispatch_Success_ReturnsOk
· Dispatch_MapsException</t>
  </si>
  <si>
    <t>StockTransferController.Dispatch()</t>
  </si>
  <si>
    <t>CVG-026</t>
  </si>
  <si>
    <t>Cancel() — 2 test con [L1-ST-17 → L1-ST-18]
· Cancel_MapsException
· Cancel_Success_ReturnsOk</t>
  </si>
  <si>
    <t>StockTransferController.Cancel()</t>
  </si>
  <si>
    <t>CVG-027</t>
  </si>
  <si>
    <t>RequestTransport() — 4 test con [L1-ST-19 → L1-ST-28]
· RequestTransport_Success_ReturnsOk
· RequestTransport_WhenTransferMissing_Returns404
· RequestTransport_WhenConcurrent_Returns409
· RequestTransport_WhenServiceThrows_Returns400</t>
  </si>
  <si>
    <t>StockTransferController.RequestTransport()</t>
  </si>
  <si>
    <t xml:space="preserve">  ▶  Block: OrderService  —  SePayController · OrderController · DeliveryController  ·  coverage 96–100%  ·  StockTransferAndSePayControllerTests.cs · OrderPurchaseOrderControllerTests.cs · DeliveryInventoryAdminControllerTests.cs</t>
  </si>
  <si>
    <t>CVG-028</t>
  </si>
  <si>
    <t>Webhook() — 6 test con [L1-ORD-77 → L1-ORD-82]
· Webhook_WithSepayTokenHeader_ReturnsOkAndLogsProcessed
· Webhook_WithBearerAuthorizationHeader_ReadsToken
· Webhook_WithRawAuthorizationHeader_ReadsToken
· Webhook_WithQueryToken_ReadsToken
· Webhook_WithWrongToken_Returns401AndDoesNotMarkFailed
· Webhook_WhenProcessingFails_Returns500AndMarksFailed</t>
  </si>
  <si>
    <t>SePayController · OrderController · DeliveryController.Webhook()</t>
  </si>
  <si>
    <t>Coverage 96–100% · nguồn: StockTransferAndSePayControllerTests.cs · OrderPurchaseOrderControllerTests.cs · DeliveryInventoryAdminControllerTests.cs</t>
  </si>
  <si>
    <t xml:space="preserve">  ▶  Block: CartService  —  CartController  ·  coverage 100%  ·  SmallControllersTests.cs</t>
  </si>
  <si>
    <t>CVG-029</t>
  </si>
  <si>
    <t>GetCart() — 2 test con [L1-CART-11 → L1-CART-12]
· GetCart_ReturnsOkAndPassesCallerId
· GetCart_WithoutUserClaim_Returns400</t>
  </si>
  <si>
    <t>CartController.GetCart()</t>
  </si>
  <si>
    <t>Coverage 100% · nguồn: SmallControllersTests.cs</t>
  </si>
  <si>
    <t>CVG-030</t>
  </si>
  <si>
    <t>AddItemToCart() — 4 test con [L1-CART-13 → L1-CART-16]
· AddItemToCart_WhenModelStateInvalid_Returns400WithoutCallingService
· AddItemToCart_WhenProfileIncomplete_Returns409WithCode
· AddItemToCart_Success_ReturnsOk
· AddItemToCart_WhenServiceThrows_Returns400</t>
  </si>
  <si>
    <t>CartController.AddItemToCart()</t>
  </si>
  <si>
    <t>CVG-031</t>
  </si>
  <si>
    <t>UpdateCartItemQuantity() — 3 test con [L1-CART-17 → L1-CART-19]
· UpdateCartItemQuantity_WhenModelStateInvalid_Returns400
· UpdateCartItemQuantity_Success_ReturnsOk
· UpdateCartItemQuantity_WhenServiceThrows_Returns400</t>
  </si>
  <si>
    <t>CartController.UpdateCartItemQuantity()</t>
  </si>
  <si>
    <t>CVG-032</t>
  </si>
  <si>
    <t>RemoveItemFromCart() — 2 test con [L1-CART-20 → L1-CART-21]
· RemoveItemFromCart_Success_ReturnsOk
· RemoveItemFromCart_WhenServiceThrows_Returns400</t>
  </si>
  <si>
    <t>CartController.RemoveItemFromCart()</t>
  </si>
  <si>
    <t>CVG-033</t>
  </si>
  <si>
    <t>ClearCart() — 2 test con [L1-CART-22 → L1-CART-23]
· ClearCart_Success_ReturnsOk
· ClearCart_WhenServiceThrows_Returns400</t>
  </si>
  <si>
    <t>CartController.ClearCart()</t>
  </si>
  <si>
    <t xml:space="preserve">  ▶  Block: ProductService  —  ProductController  ·  coverage 96,1%  ·  SmallControllersTests.cs</t>
  </si>
  <si>
    <t>CVG-034</t>
  </si>
  <si>
    <t>GetProducts() — 1 test con [L1-PROD-06]
· GetProducts_PassesAllFiltersThroughToService</t>
  </si>
  <si>
    <t>ProductController.GetProducts()</t>
  </si>
  <si>
    <t>Coverage 96,1% · nguồn: SmallControllersTests.cs</t>
  </si>
  <si>
    <t>CVG-035</t>
  </si>
  <si>
    <t>GetProductById() — 2 test con [L1-PROD-07 → L1-PROD-08]
· GetProductById_WhenNotFound_Returns404
· GetProductById_WhenFound_ReturnsOk</t>
  </si>
  <si>
    <t>ProductController.GetProductById()</t>
  </si>
  <si>
    <t>CVG-036</t>
  </si>
  <si>
    <t>GetCategories() — 1 test con [L1-PROD-09]
· GetCategories_ReturnsOk</t>
  </si>
  <si>
    <t>ProductController.GetCategories()</t>
  </si>
  <si>
    <t>CVG-037</t>
  </si>
  <si>
    <t>CreateProduct() — 1 test con [L1-PROD-10]
· CreateProduct_WhenServiceThrows_Returns400</t>
  </si>
  <si>
    <t>ProductController.CreateProduct()</t>
  </si>
  <si>
    <t xml:space="preserve">  ▶  Block: NotificationService  —  NotificationsController  ·  coverage 95,1%  ·  SmallControllersTests.cs</t>
  </si>
  <si>
    <t>CVG-038</t>
  </si>
  <si>
    <t>GetNotifications() — 2 test con [L1-NOTI-04 → L1-NOTI-05]
· GetNotifications_WithoutUserClaim_Returns401
· GetNotifications_ReturnsOnlyOwnNotifications</t>
  </si>
  <si>
    <t>NotificationsController.GetNotifications()</t>
  </si>
  <si>
    <t>🔒 CHỐNG RÒ RỈ DỮ LIỆU — seed dữ liệu người dùng khác rồi khẳng định không lọt vào kết quả. Cùng lớp lỗ hổng với IDOR L1-ORD-71 đã vá; giữ nguyên khi refactor.  |  Coverage 95,1% · nguồn: SmallControllersTests.cs</t>
  </si>
  <si>
    <t>CVG-039</t>
  </si>
  <si>
    <t>GetUnreadCount() — 2 test con [L1-NOTI-06 → L1-NOTI-07]
· GetUnreadCount_CountsOnlyUnreadOfCaller
· GetUnreadCount_WithoutUserClaim_Returns401</t>
  </si>
  <si>
    <t>NotificationsController.GetUnreadCount()</t>
  </si>
  <si>
    <t>CVG-040</t>
  </si>
  <si>
    <t>MarkAsRead() — 2 test con [L1-NOTI-08 → L1-NOTI-09]
· MarkAsRead_WhenNotFound_Returns404
· MarkAsRead_SetsIsReadTrue</t>
  </si>
  <si>
    <t>NotificationsController.MarkAsRead()</t>
  </si>
  <si>
    <t>Coverage 95,1% · nguồn: SmallControllersTests.cs</t>
  </si>
  <si>
    <t>CVG-041</t>
  </si>
  <si>
    <t>MarkAllAsRead() — 1 test con [L1-NOTI-10]
· MarkAllAsRead_MarksEveryUnreadOfCaller</t>
  </si>
  <si>
    <t>NotificationsController.MarkAllAsRead()</t>
  </si>
  <si>
    <t>CVG-042</t>
  </si>
  <si>
    <t>DeleteNotification() — 2 test con [L1-NOTI-11 → L1-NOTI-12]
· DeleteNotification_WhenNotFound_Returns404
· DeleteNotification_RemovesRow</t>
  </si>
  <si>
    <t>NotificationsController.DeleteNotification()</t>
  </si>
  <si>
    <t>CVG-043</t>
  </si>
  <si>
    <t>DeleteAllRead() — 1 test con [L1-NOTI-13]
· DeleteAllRead_RemovesOnlyReadOnes</t>
  </si>
  <si>
    <t>NotificationsController.DeleteAllRead()</t>
  </si>
  <si>
    <t xml:space="preserve">  ▶  Block: WarehouseService  —  WarehouseController · HandoverController  ·  coverage 100%  ·  WarehouseControllersTests.cs · SmallControllersTests.cs</t>
  </si>
  <si>
    <t>CVG-044</t>
  </si>
  <si>
    <t>GetHandoverById() — 1 test con [L1-WH-13]
· GetHandoverById_ReturnsHardcodedPendingStatus</t>
  </si>
  <si>
    <t>WarehouseController · HandoverController.GetHandoverById()</t>
  </si>
  <si>
    <t>⚠ HandoverController là STUB CHƯA CÀI ĐẶT (4 action trả giá trị cứng). Nhóm này CHỈ khoá hành vi hiện tại, KHÔNG chứng minh luồng bàn giao hoạt động — luồng thật ở WarehouseController.HandoverOrder.  |  Coverage 100% · nguồn: WarehouseControllersTests.cs · SmallControllersTests.cs</t>
  </si>
  <si>
    <t>CVG-045</t>
  </si>
  <si>
    <t>CreateHandover() — 1 test con [L1-WH-14]
· CreateHandover_ReturnsOk</t>
  </si>
  <si>
    <t>WarehouseController · HandoverController.CreateHandover()</t>
  </si>
  <si>
    <t>CVG-046</t>
  </si>
  <si>
    <t>WarehouseConfirm() — 1 test con [L1-WH-15]
· WarehouseConfirm_ReturnsOk</t>
  </si>
  <si>
    <t>WarehouseController · HandoverController.WarehouseConfirm()</t>
  </si>
  <si>
    <t>CVG-047</t>
  </si>
  <si>
    <t>SalesConfirm() — 1 test con [L1-WH-16]
· SalesConfirm_ReturnsOk</t>
  </si>
  <si>
    <t>WarehouseController · HandoverController.SalesConfirm()</t>
  </si>
  <si>
    <t xml:space="preserve">  ▶  Block: JobRunService  —  SystemHealthController  ·  coverage 98,2%  ·  SmallControllersTests.cs</t>
  </si>
  <si>
    <t>CVG-048</t>
  </si>
  <si>
    <t>SearchJobRuns() — 2 test con [L1-JOB-08 → L1-JOB-09]
· SearchJobRuns_Success_ReturnsOk
· SearchJobRuns_WhenServiceThrows_Returns400</t>
  </si>
  <si>
    <t>SystemHealthController.SearchJobRuns()</t>
  </si>
  <si>
    <t>Coverage 98,2% · nguồn: SmallControllersTests.cs</t>
  </si>
  <si>
    <t>CVG-049</t>
  </si>
  <si>
    <t>GetJobRunsSummary() — 2 test con [L1-JOB-10 → L1-JOB-11]
· GetJobRunsSummary_FillsIntervalDescriptionInAllThreeUnits
· GetJobRunsSummary_PassesDistinctSortedJobNames</t>
  </si>
  <si>
    <t>SystemHealthController.GetJobRunsSummary()</t>
  </si>
  <si>
    <t>CVG-050</t>
  </si>
  <si>
    <t>RetryJob() — 2 test con [L1-JOB-12 → L1-JOB-13]
· RetryJob_WhenJobNameUnknown_Returns404
· RetryJob_MatchesJobNameCaseInsensitivelyAndTagsManualTrigger</t>
  </si>
  <si>
    <t>SystemHealthController.RetryJob()</t>
  </si>
  <si>
    <t>CVG-051</t>
  </si>
  <si>
    <t>SearchWebhookLogs() — 2 test con [L1-JOB-14 → L1-JOB-15]
· SearchWebhookLogs_Success_ReturnsOk
· SearchWebhookLogs_WhenServiceThrows_Returns400</t>
  </si>
  <si>
    <t>SystemHealthController.SearchWebhookLogs()</t>
  </si>
  <si>
    <t>CVG-052</t>
  </si>
  <si>
    <t>RetryWebhookLog() — 2 test con [L1-JOB-16 → L1-JOB-17]
· RetryWebhookLog_Success_ReturnsOk
· RetryWebhookLog_WhenLogMissing_Returns400</t>
  </si>
  <si>
    <t>SystemHealthController.RetryWebhookLog()</t>
  </si>
  <si>
    <t xml:space="preserve">  ▶  Block: WarehouseManagementService  —  WarehouseManagementController · WarehouseShiftController  ·  coverage 93–100%  ·  WarehouseControllersTests.cs · SmallControllersTests.cs</t>
  </si>
  <si>
    <t>CVG-053</t>
  </si>
  <si>
    <t>GetShifts() — 2 test con [L1-WM-04 → L1-WM-05]
· GetShifts_MapsTimeSpanToHhMmString
· GetShifts_WhenEmpty_ReturnsEmptyList</t>
  </si>
  <si>
    <t>WarehouseManagementController · WarehouseShiftController.GetShifts()</t>
  </si>
  <si>
    <t>Coverage 93–100% · nguồn: WarehouseControllersTests.cs · SmallControllersTests.cs</t>
  </si>
  <si>
    <t xml:space="preserve">  ▶  Block: UserProfileService  —  UserProfileController · CustomerProfileController  ·  coverage 100%  ·  ProfileAndSalesControllersTests.cs</t>
  </si>
  <si>
    <t>CVG-054</t>
  </si>
  <si>
    <t>GetProfile() — 6 test con [L1-UP-06 → L1-UP-23]
· GetProfile_Success_ReturnsOk
· GetProfile_WithoutUserClaim_Returns401
· GetProfile_WhenUserRowMissing_Returns404
· GetProfile_WithoutUserClaim_Returns401
· GetProfile_WhenNoProfileYet_ReturnsEmptyDtoNot404
· GetProfile_MapsAllCompanyFields</t>
  </si>
  <si>
    <t>UserProfileController · CustomerProfileController.GetProfile()</t>
  </si>
  <si>
    <t>Coverage 100% · nguồn: ProfileAndSalesControllersTests.cs</t>
  </si>
  <si>
    <t>CVG-055</t>
  </si>
  <si>
    <t>UpdateProfile() — 6 test con [L1-UP-09 → L1-UP-30]
· UpdateProfile_WhenModelStateInvalid_Returns400AndListsFieldErrors
· UpdateProfile_Success_ReturnsOk
· UpdateProfile_WithoutUserClaim_Returns401
· UpdateProfile_WithoutUserClaim_Returns401
· UpdateProfile_WhenNoProfileYet_CreatesOne
· UpdateProfile_WhenProfileExists_UpdatesInPlaceWithoutInsert</t>
  </si>
  <si>
    <t>UserProfileController · CustomerProfileController.UpdateProfile()</t>
  </si>
  <si>
    <t>CVG-056</t>
  </si>
  <si>
    <t>UploadAvatar() — 3 test con [L1-UP-12 → L1-UP-14]
· UploadAvatar_Success_ReturnsOk
· UploadAvatar_WhenFileRejected_Returns400
· UploadAvatar_WithoutUserClaim_Returns401</t>
  </si>
  <si>
    <t>UserProfileController · CustomerProfileController.UploadAvatar()</t>
  </si>
  <si>
    <t>CVG-057</t>
  </si>
  <si>
    <t>DeleteAvatar() — 2 test con [L1-UP-15 → L1-UP-16]
· DeleteAvatar_Success_Returns204
· DeleteAvatar_WithoutUserClaim_Returns401</t>
  </si>
  <si>
    <t>UserProfileController · CustomerProfileController.DeleteAvatar()</t>
  </si>
  <si>
    <t>CVG-058</t>
  </si>
  <si>
    <t>ChangePassword() — 4 test con [L1-UP-17 → L1-UP-20]
· ChangePassword_WhenModelStateInvalid_Returns400
· ChangePassword_Success_ReturnsOk
· ChangePassword_WhenCurrentPasswordWrong_Returns400
· ChangePassword_WithoutUserClaim_Returns401</t>
  </si>
  <si>
    <t>UserProfileController · CustomerProfileController.ChangePassword()</t>
  </si>
  <si>
    <t xml:space="preserve">  ▶  Block: AddressService  —  UserProfileController (địa chỉ)  ·  coverage 100%  ·  ProfileAndSalesControllersTests.cs</t>
  </si>
  <si>
    <t>CVG-059</t>
  </si>
  <si>
    <t>GetAddresses() — 2 test con [L1-ADDR-05 → L1-ADDR-06]
· GetAddresses_Success_ReturnsOk
· GetAddresses_WithoutUserClaim_Returns401</t>
  </si>
  <si>
    <t>UserProfileController (địa chỉ).GetAddresses()</t>
  </si>
  <si>
    <t>CVG-060</t>
  </si>
  <si>
    <t>CreateAddress() — 4 test con [L1-ADDR-07 → L1-ADDR-10]
· CreateAddress_WhenModelStateInvalid_Returns400
· CreateAddress_Success_Returns201
· CreateAddress_WhenLimitReached_Returns400
· CreateAddress_WithoutUserClaim_Returns401</t>
  </si>
  <si>
    <t>UserProfileController (địa chỉ).CreateAddress()</t>
  </si>
  <si>
    <t>CVG-061</t>
  </si>
  <si>
    <t>UpdateAddress() — 4 test con [L1-ADDR-11 → L1-ADDR-14]
· UpdateAddress_WhenModelStateInvalid_Returns400
· UpdateAddress_Success_ReturnsOk
· UpdateAddress_WhenAddressMissing_Returns404
· UpdateAddress_WhenAddressOfAnotherUser_Returns401</t>
  </si>
  <si>
    <t>UserProfileController (địa chỉ).UpdateAddress()</t>
  </si>
  <si>
    <t>🔒 CHỐNG RÒ RỈ DỮ LIỆU — seed dữ liệu người dùng khác rồi khẳng định không lọt vào kết quả. Cùng lớp lỗ hổng với IDOR L1-ORD-71 đã vá; giữ nguyên khi refactor.  |  Coverage 100% · nguồn: ProfileAndSalesControllersTests.cs</t>
  </si>
  <si>
    <t>CVG-062</t>
  </si>
  <si>
    <t>DeleteAddress() — 4 test con [L1-ADDR-15 → L1-ADDR-18]
· DeleteAddress_Success_Returns204
· DeleteAddress_WhenAddressInUse_Returns400
· DeleteAddress_WhenAddressMissing_Returns404
· DeleteAddress_WithoutUserClaim_Returns401</t>
  </si>
  <si>
    <t>UserProfileController (địa chỉ).DeleteAddress()</t>
  </si>
  <si>
    <t>CVG-063</t>
  </si>
  <si>
    <t>SetDefaultAddress() — 3 test con [L1-ADDR-19 → L1-ADDR-21]
· SetDefaultAddress_Success_ReturnsOk
· SetDefaultAddress_WhenAddressMissing_Returns404
· SetDefaultAddress_WithoutUserClaim_Returns401</t>
  </si>
  <si>
    <t>UserProfileController (địa chỉ).SetDefaultAddress()</t>
  </si>
  <si>
    <t>CVG-064</t>
  </si>
  <si>
    <t>GetProfileStatus() — 4 test con [L1-UP-24 → L1-UP-27]
· GetProfileStatus_WithoutUserClaim_Returns401
· GetProfileStatus_WhenNoProfile_ReportsIncomplete
· GetProfileStatus_WhenProfileHasAddress_ReportsCompleted
· GetProfileStatus_WhenProfileWithoutAddress_ReportsIncomplete</t>
  </si>
  <si>
    <t>UserProfileController · CustomerProfileController.GetProfileStatus()</t>
  </si>
  <si>
    <t>CVG-065</t>
  </si>
  <si>
    <t>GetProfileByPhone() — 2 test con [L1-UP-31 → L1-UP-32]
· GetProfileByPhone_WhenNotFound_Returns404
· GetProfileByPhone_WhenFound_ReturnsProfileWithoutCredit</t>
  </si>
  <si>
    <t>UserProfileController · CustomerProfileController.GetProfileByPhone()</t>
  </si>
  <si>
    <t>CVG-066</t>
  </si>
  <si>
    <t>GetCreditHistory() — 3 test con [L1-UP-33 → L1-UP-35]
· GetCreditHistory_WithoutUserClaim_Returns401
· GetCreditHistory_WhenNoProfile_ReturnsEmptyList
· GetCreditHistory_ReturnsOnlyOwnRowsNewestFirst</t>
  </si>
  <si>
    <t>UserProfileController · CustomerProfileController.GetCreditHistory()</t>
  </si>
  <si>
    <t xml:space="preserve">  ▶  Block: SalesAllocationService  —  SalesController  ·  coverage 100%  ·  ProfileAndSalesControllersTests.cs</t>
  </si>
  <si>
    <t>CVG-067</t>
  </si>
  <si>
    <t>GetMyCustomers() — 1 test con [L1-SA-14]
· GetMyCustomers_PassesCallerIdAndQuery</t>
  </si>
  <si>
    <t>SalesController.GetMyCustomers()</t>
  </si>
  <si>
    <t>CVG-068</t>
  </si>
  <si>
    <t>GetMyCustomerDetail() — 2 test con [L1-SA-15 → L1-SA-16]
· GetMyCustomerDetail_Success_ReturnsOk
· GetMyCustomerDetail_WhenCustomerOfAnotherSale_Returns404</t>
  </si>
  <si>
    <t>SalesController.GetMyCustomerDetail()</t>
  </si>
  <si>
    <t>CVG-069</t>
  </si>
  <si>
    <t>UpdateCustomerNote() — 2 test con [L1-SA-17 → L1-SA-18]
· UpdateCustomerNote_Success_ReturnsOk
· UpdateCustomerNote_WhenServiceThrows_Returns404</t>
  </si>
  <si>
    <t>SalesController.UpdateCustomerNote()</t>
  </si>
  <si>
    <t>CVG-070</t>
  </si>
  <si>
    <t>GetRoundRobin() — 1 test con [L1-SA-19]
· GetRoundRobin_ReturnsOk</t>
  </si>
  <si>
    <t>SalesController.GetRoundRobin()</t>
  </si>
  <si>
    <t>CVG-071</t>
  </si>
  <si>
    <t>AssignUnassignedCustomers() — 2 test con [L1-SA-20 → L1-SA-21]
· AssignUnassignedCustomers_Success_ReturnsOk
· AssignUnassignedCustomers_WhenNoActiveSale_Returns400</t>
  </si>
  <si>
    <t>SalesController.AssignUnassignedCustomers()</t>
  </si>
  <si>
    <t>CVG-072</t>
  </si>
  <si>
    <t>UpdateRoundRobin() — 2 test con [L1-SA-22 → L1-SA-23]
· UpdateRoundRobin_Success_ReturnsOk
· UpdateRoundRobin_WhenServiceThrows_Returns400</t>
  </si>
  <si>
    <t>SalesController.UpdateRoundRobin()</t>
  </si>
  <si>
    <t xml:space="preserve">  ▶  Block: SalesChangeRequestService  —  SalesChangeRequestsController  ·  coverage 100%  ·  ProfileAndSalesControllersTests.cs</t>
  </si>
  <si>
    <t>CVG-073</t>
  </si>
  <si>
    <t>Create() — 3 test con [L1-SCR-08 → L1-SCR-10]
· Create_Success_ReturnsOkWithNewId
· Create_WhenCustomerHasNoAssignedSale_Returns404
· Create_WhenAlreadyHasPendingRequest_Returns400</t>
  </si>
  <si>
    <t>SalesChangeRequestsController.Create()</t>
  </si>
  <si>
    <t>CVG-074</t>
  </si>
  <si>
    <t>GetMine() — 2 test con [L1-SCR-11 → L1-SCR-12]
· GetMine_Success_ReturnsOk
· GetMine_WhenServiceThrows_Returns404</t>
  </si>
  <si>
    <t>SalesChangeRequestsController.GetMine()</t>
  </si>
  <si>
    <t>CVG-075</t>
  </si>
  <si>
    <t>GetMyAssignedSale() — 2 test con [L1-SCR-13 → L1-SCR-14]
· GetMyAssignedSale_Success_ReturnsOk
· GetMyAssignedSale_WhenNoneAssigned_Returns404</t>
  </si>
  <si>
    <t>SalesChangeRequestsController.GetMyAssignedSale()</t>
  </si>
  <si>
    <t>CVG-076</t>
  </si>
  <si>
    <t>GetSalesOptions() — 1 test con [L1-SCR-15]
· GetSalesOptions_ReturnsOk</t>
  </si>
  <si>
    <t>SalesChangeRequestsController.GetSalesOptions()</t>
  </si>
  <si>
    <t>CVG-077</t>
  </si>
  <si>
    <t>Cancel() — 4 test con [L1-SCR-16 → L1-SCR-19]
· Cancel_Success_ReturnsOk
· Cancel_WhenRequestMissing_Returns404
· Cancel_WhenRequestBelongsToAnotherCustomer_Returns403
· Cancel_WhenAlreadyProcessed_Returns400</t>
  </si>
  <si>
    <t>SalesChangeRequestsController.Cancel()</t>
  </si>
  <si>
    <t>CVG-078</t>
  </si>
  <si>
    <t>SubmitAdditionalInfo() — 4 test con [L1-SCR-20 → L1-SCR-23]
· SubmitAdditionalInfo_Success_ReturnsOk
· SubmitAdditionalInfo_WhenNotOwner_Returns403
· SubmitAdditionalInfo_WhenWrongState_Returns400
· SubmitAdditionalInfo_WhenRequestMissing_Returns404</t>
  </si>
  <si>
    <t>SalesChangeRequestsController.SubmitAdditionalInfo()</t>
  </si>
  <si>
    <t>CVG-079</t>
  </si>
  <si>
    <t>GetAboutMe() — 1 test con [L1-SCR-24]
· GetAboutMe_ReturnsOk</t>
  </si>
  <si>
    <t>SalesChangeRequestsController.GetAboutMe()</t>
  </si>
  <si>
    <t>CVG-080</t>
  </si>
  <si>
    <t>SubmitExplanation() — 4 test con [L1-SCR-25 → L1-SCR-28]
· SubmitExplanation_Success_ReturnsOk
· SubmitExplanation_WhenManagerHasNotOpenedGate_Returns400
· SubmitExplanation_WhenNotTheAccusedSale_Returns403
· SubmitExplanation_WhenRequestMissing_Returns404</t>
  </si>
  <si>
    <t>SalesChangeRequestsController.SubmitExplanation()</t>
  </si>
  <si>
    <t>CVG-081</t>
  </si>
  <si>
    <t>GetPaged() — 1 test con [L1-SCR-29]
· GetPaged_ReturnsOk</t>
  </si>
  <si>
    <t>SalesChangeRequestsController.GetPaged()</t>
  </si>
  <si>
    <t>CVG-082</t>
  </si>
  <si>
    <t>GetDetail() — 2 test con [L1-SCR-30 → L1-SCR-31]
· GetDetail_Success_ReturnsOk
· GetDetail_WhenMissing_Returns404</t>
  </si>
  <si>
    <t>SalesChangeRequestsController.GetDetail()</t>
  </si>
  <si>
    <t>CVG-083</t>
  </si>
  <si>
    <t>GetReviewContext() — 2 test con [L1-SCR-32 → L1-SCR-33]
· GetReviewContext_Success_ReturnsOk
· GetReviewContext_WhenMissing_Returns404</t>
  </si>
  <si>
    <t>SalesChangeRequestsController.GetReviewContext()</t>
  </si>
  <si>
    <t>CVG-084</t>
  </si>
  <si>
    <t>RequestExplanation() — 3 test con [L1-SCR-34 → L1-SCR-36]
· RequestExplanation_Success_ReturnsOk
· RequestExplanation_WhenMissing_Returns404
· RequestExplanation_WhenWrongState_Returns400</t>
  </si>
  <si>
    <t>SalesChangeRequestsController.RequestExplanation()</t>
  </si>
  <si>
    <t>CVG-085</t>
  </si>
  <si>
    <t>RequestMoreInfo() — 3 test con [L1-SCR-37 → L1-SCR-39]
· RequestMoreInfo_Success_ReturnsOk
· RequestMoreInfo_WhenMissing_Returns404
· RequestMoreInfo_WhenWrongState_Returns400</t>
  </si>
  <si>
    <t>SalesChangeRequestsController.RequestMoreInfo()</t>
  </si>
  <si>
    <t>CVG-086</t>
  </si>
  <si>
    <t>Reject() — 3 test con [L1-SCR-40 → L1-SCR-42]
· Reject_Success_ReturnsOk
· Reject_WhenMissing_Returns404
· Reject_WhenWrongState_Returns400</t>
  </si>
  <si>
    <t>SalesChangeRequestsController.Reject()</t>
  </si>
  <si>
    <t>CVG-087</t>
  </si>
  <si>
    <t>Approve() — 3 test con [L1-SCR-43 → L1-SCR-45]
· Approve_Success_ReturnsOk
· Approve_WhenNewSaleMissing_Returns404
· Approve_WhenNewSaleSameAsCurrent_Returns400</t>
  </si>
  <si>
    <t>SalesChangeRequestsController.Approve()</t>
  </si>
  <si>
    <t>CVG-088</t>
  </si>
  <si>
    <t>GetOrders() — 3 test con [L1-WH-17 → L1-WH-19]
· GetOrders_ClampsPagingToSafeRange
· GetOrders_WhenPageSizeNonPositive_FallsBackTo10
· GetOrders_WhenTabTypeInvalid_Returns400</t>
  </si>
  <si>
    <t>WarehouseController · HandoverController.GetOrders()</t>
  </si>
  <si>
    <t>Coverage 100% · nguồn: WarehouseControllersTests.cs · SmallControllersTests.cs</t>
  </si>
  <si>
    <t>CVG-089</t>
  </si>
  <si>
    <t>GetOrderDetail() — 3 test con [L1-WH-20 → L1-WH-22]
· GetOrderDetail_Success_ReturnsOk
· GetOrderDetail_WhenOrderMissing_Returns404
· GetOrderDetail_WhenServiceThrows_Returns400</t>
  </si>
  <si>
    <t>WarehouseController · HandoverController.GetOrderDetail()</t>
  </si>
  <si>
    <t>CVG-090</t>
  </si>
  <si>
    <t>AcceptOrder() — 3 test con [L1-WH-23 → L1-WH-25]
· AcceptOrder_Success_ReturnsOkAndPassesStaffId
· AcceptOrder_WhenOrderMissing_Returns404
· AcceptOrder_WithoutUserClaim_Returns400</t>
  </si>
  <si>
    <t>WarehouseController · HandoverController.AcceptOrder()</t>
  </si>
  <si>
    <t>CVG-091</t>
  </si>
  <si>
    <t>ReportShortage() — 5 test con [L1-WH-26 → L1-WH-30]
· ReportShortage_WhenModelStateInvalid_Returns400
· ReportShortage_Success_ReturnsOk
· ReportShortage_WhenOrderMissing_Returns404
· ReportShortage_WhenStaffOfAnotherWarehouse_Returns403
· ReportShortage_WhenServiceThrows_Returns400</t>
  </si>
  <si>
    <t>WarehouseController · HandoverController.ReportShortage()</t>
  </si>
  <si>
    <t>CVG-092</t>
  </si>
  <si>
    <t>GetPickTasks() — 2 test con [L1-WH-31 → L1-WH-32]
· GetPickTasks_ClampsPaging
· GetPickTasks_WhenServiceThrows_Returns400</t>
  </si>
  <si>
    <t>WarehouseController · HandoverController.GetPickTasks()</t>
  </si>
  <si>
    <t>CVG-093</t>
  </si>
  <si>
    <t>GetPickTaskDetail() — 3 test con [L1-WH-33 → L1-WH-35]
· GetPickTaskDetail_Success_ReturnsOk
· GetPickTaskDetail_WhenMissing_Returns404
· GetPickTaskDetail_WhenServiceThrows_Returns400</t>
  </si>
  <si>
    <t>WarehouseController · HandoverController.GetPickTaskDetail()</t>
  </si>
  <si>
    <t>CVG-094</t>
  </si>
  <si>
    <t>AcceptPickTask() — 4 test con [L1-WH-36 → L1-WH-39]
· AcceptPickTask_Success_ReturnsOk
· AcceptPickTask_WhenMissing_Returns404
· AcceptPickTask_WhenAnotherStaffTookItFirst_Returns409
· AcceptPickTask_WhenServiceThrows_Returns400</t>
  </si>
  <si>
    <t>WarehouseController · HandoverController.AcceptPickTask()</t>
  </si>
  <si>
    <t>CVG-095</t>
  </si>
  <si>
    <t>UpdatePickTaskItemProgress() — 6 test con [L1-WH-40 → L1-WH-45]
· UpdatePickTaskItemProgress_WithoutImage_DoesNotCallCloudinary
· UpdatePickTaskItemProgress_WithImage_UploadsThenPassesUrl
· UpdatePickTaskItemProgress_WithEmptyImage_SkipsUpload
· UpdatePickTaskItemProgress_WhenMissing_Returns404
· UpdatePickTaskItemProgress_WhenConcurrent_Returns409
· UpdatePickTaskItemProgress_WhenServiceThrows_Returns400</t>
  </si>
  <si>
    <t>WarehouseController · HandoverController.UpdatePickTaskItemProgress()</t>
  </si>
  <si>
    <t>⚠ Nhánh DbUpdateConcurrencyException → 409 KHÔNG chạy được qua HTTP thật khi bảng thiếu RowVersion (GH-04) — mock là cách duy nhất chạm tới.  |  Coverage 100% · nguồn: WarehouseControllersTests.cs · SmallControllersTests.cs</t>
  </si>
  <si>
    <t>CVG-096</t>
  </si>
  <si>
    <t>CompletePickTask() — 5 test con [L1-WH-46 → L1-WH-50]
· CompletePickTask_Success_ReturnsOk
· CompletePickTask_WhenMissing_Returns404
· CompletePickTask_WhenNotTheAssignee_Returns403
· CompletePickTask_WhenConcurrent_Returns409
· CompletePickTask_WhenServiceThrows_Returns400</t>
  </si>
  <si>
    <t>WarehouseController · HandoverController.CompletePickTask()</t>
  </si>
  <si>
    <t>CVG-097</t>
  </si>
  <si>
    <t>ConsolidateOrder() — 4 test con [L1-WH-51 → L1-WH-54]
· ConsolidateOrder_Success_ReturnsOk
· ConsolidateOrder_WhenMissing_Returns404
· ConsolidateOrder_WhenNotAuthorized_Returns403
· ConsolidateOrder_WhenServiceThrows_Returns400</t>
  </si>
  <si>
    <t>WarehouseController · HandoverController.ConsolidateOrder()</t>
  </si>
  <si>
    <t>CVG-098</t>
  </si>
  <si>
    <t>HandoverOrder() — 4 test con [L1-WH-55 → L1-WH-58]
· HandoverOrder_WhenSignaturesAreBase64_UploadsBothAndReplacesWithUrls
· HandoverOrder_WhenSignaturesAlreadyUrls_SkipsUpload
· HandoverOrder_WhenOrderMissing_Returns404
· HandoverOrder_WhenServiceThrows_Returns400</t>
  </si>
  <si>
    <t>WarehouseController · HandoverController.HandoverOrder()</t>
  </si>
  <si>
    <t>CVG-099</t>
  </si>
  <si>
    <t>PostGoodsIssue() — 3 test con [L1-WH-59 → L1-WH-61]
· PostGoodsIssue_Success_ReturnsOk
· PostGoodsIssue_WhenMissing_Returns404
· PostGoodsIssue_WhenStockInsufficient_Returns400</t>
  </si>
  <si>
    <t>WarehouseController · HandoverController.PostGoodsIssue()</t>
  </si>
  <si>
    <t xml:space="preserve">  ▶  Block: GoodsIssueService  —  GoodsIssueController  ·  coverage 100%  ·  WarehouseControllersTests.cs</t>
  </si>
  <si>
    <t>CVG-100</t>
  </si>
  <si>
    <t>GetGoodsIssues() — 2 test con [L1-GI-10 → L1-GI-11]
· GetGoodsIssues_PassesTypeFilter
· GetGoodsIssues_WhenServiceThrows_Returns400</t>
  </si>
  <si>
    <t>GoodsIssueController.GetGoodsIssues()</t>
  </si>
  <si>
    <t>Coverage 100% · nguồn: WarehouseControllersTests.cs</t>
  </si>
  <si>
    <t>CVG-101</t>
  </si>
  <si>
    <t>GetGoodsIssueById() — 3 test con [L1-GI-12 → L1-GI-14]
· GetGoodsIssueById_Success_ReturnsOk
· GetGoodsIssueById_WhenMissing_Returns404
· GetGoodsIssueById_WhenServiceThrows_Returns400</t>
  </si>
  <si>
    <t>GoodsIssueController.GetGoodsIssueById()</t>
  </si>
  <si>
    <t>CVG-102</t>
  </si>
  <si>
    <t>CreateGoodsIssue() — 4 test con [L1-GI-15 → L1-GI-18]
· CreateGoodsIssue_WithoutUserClaim_Returns401
· CreateGoodsIssue_Success_ReturnsOkWithStaffIdFromToken
· CreateGoodsIssue_WhenOrderMissing_Returns404
· CreateGoodsIssue_WhenServiceThrows_Returns400</t>
  </si>
  <si>
    <t>GoodsIssueController.CreateGoodsIssue()</t>
  </si>
  <si>
    <t>CVG-103</t>
  </si>
  <si>
    <t>UploadProof() — 7 test con [L1-GI-19 → L1-GI-25]
· UploadProof_WhenNoFile_Returns400WithoutCallingService
· UploadProof_WhenFileEmpty_Returns400
· UploadProof_Success_ReturnsOk
· UploadProof_WhenIssueMissing_Returns404
· UploadProof_WhenIssueAlreadyPosted_Returns409
· UploadProof_WhenConcurrent_Returns409
· UploadProof_WhenServiceThrows_Returns400</t>
  </si>
  <si>
    <t>GoodsIssueController.UploadProof()</t>
  </si>
  <si>
    <t>⚠ Nhánh DbUpdateConcurrencyException → 409 KHÔNG chạy được qua HTTP thật khi bảng thiếu RowVersion (GH-04) — mock là cách duy nhất chạm tới.  |  Coverage 100% · nguồn: WarehouseControllersTests.cs</t>
  </si>
  <si>
    <t>CVG-104</t>
  </si>
  <si>
    <t>UpdateHandoverInfo() — 5 test con [L1-GI-26 → L1-GI-30]
· UpdateHandoverInfo_Success_ReturnsOk
· UpdateHandoverInfo_WhenMissing_Returns404
· UpdateHandoverInfo_WhenWrongState_Returns409
· UpdateHandoverInfo_WhenConcurrent_Returns409
· UpdateHandoverInfo_WhenServiceThrows_Returns400</t>
  </si>
  <si>
    <t>GoodsIssueController.UpdateHandoverInfo()</t>
  </si>
  <si>
    <t>CVG-105</t>
  </si>
  <si>
    <t>PostGoodsIssue() — 6 test con [L1-GI-31 → L1-GI-36]
· PostGoodsIssue_WithoutUserClaim_Returns401
· PostGoodsIssue_Success_ReturnsOk
· PostGoodsIssue_WhenMissing_Returns404
· PostGoodsIssue_WhenStockInsufficient_Returns409
· PostGoodsIssue_WhenConcurrent_Returns409
· PostGoodsIssue_WhenServiceThrows_Returns400</t>
  </si>
  <si>
    <t>GoodsIssueController.PostGoodsIssue()</t>
  </si>
  <si>
    <t>CVG-106</t>
  </si>
  <si>
    <t>CreateReversal() — 6 test con [L1-GI-37 → L1-GI-42]
· CreateReversal_WithoutUserClaim_Returns401
· CreateReversal_Success_ReturnsOk
· CreateReversal_WhenMissing_Returns404
· CreateReversal_WhenIssueNotPosted_Returns409
· CreateReversal_WhenConcurrent_Returns409
· CreateReversal_WhenServiceThrows_Returns400</t>
  </si>
  <si>
    <t>GoodsIssueController.CreateReversal()</t>
  </si>
  <si>
    <t>CVG-107</t>
  </si>
  <si>
    <t>GetAll() — 2 test con [L1-WM-06 → L1-WM-07]
· GetAll_ReturnsOk
· GetAll_WhenServiceThrows_Returns400</t>
  </si>
  <si>
    <t>WarehouseManagementController · WarehouseShiftController.GetAll()</t>
  </si>
  <si>
    <t>CVG-108</t>
  </si>
  <si>
    <t>GetById() — 2 test con [L1-WM-08 → L1-WM-09]
· GetById_Success_ReturnsOk
· GetById_WhenMissing_Returns404</t>
  </si>
  <si>
    <t>WarehouseManagementController · WarehouseShiftController.GetById()</t>
  </si>
  <si>
    <t>CVG-109</t>
  </si>
  <si>
    <t>Create() — 3 test con [L1-WM-10 → L1-WM-12]
· Create_WhenModelStateInvalid_Returns400
· Create_Success_Returns201
· Create_WhenCodeDuplicated_Returns400</t>
  </si>
  <si>
    <t>WarehouseManagementController · WarehouseShiftController.Create()</t>
  </si>
  <si>
    <t>CVG-110</t>
  </si>
  <si>
    <t>Update() — 3 test con [L1-WM-13 → L1-WM-15]
· Update_WhenModelStateInvalid_Returns400
· Update_Success_ReturnsOk
· Update_WhenServiceThrows_Returns400</t>
  </si>
  <si>
    <t>WarehouseManagementController · WarehouseShiftController.Update()</t>
  </si>
  <si>
    <t>CVG-111</t>
  </si>
  <si>
    <t>Delete() — 2 test con [L1-WM-16 → L1-WM-17]
· Delete_Success_ReturnsOk
· Delete_WhenWarehouseStillHasStock_Returns400</t>
  </si>
  <si>
    <t>WarehouseManagementController · WarehouseShiftController.Delete()</t>
  </si>
  <si>
    <t>CVG-112</t>
  </si>
  <si>
    <t>GetQuarantineList() — 1 test con [L1-WM-18]
· GetQuarantineList_MapsProductNameAndStatus</t>
  </si>
  <si>
    <t>WarehouseManagementController · WarehouseShiftController.GetQuarantineList()</t>
  </si>
  <si>
    <t>CVG-113</t>
  </si>
  <si>
    <t>ReceiveToQuarantine() — 4 test con [L1-WM-19 → L1-WM-22]
· ReceiveToQuarantine_WhenNoInventoryForProduct_Returns404
· ReceiveToQuarantine_WhenOrderMissing_Returns404
· ReceiveToQuarantine_Success_IncreasesQuarantineQtyAndWritesLog
· ReceiveToQuarantine_WithoutUserClaim_Returns400</t>
  </si>
  <si>
    <t>WarehouseManagementController · WarehouseShiftController.ReceiveToQuarantine()</t>
  </si>
  <si>
    <t>CVG-114</t>
  </si>
  <si>
    <t>DispatchQuarantine() — 8 test con [L1-WM-23 → L1-WM-30]
· DispatchQuarantine_WhenLogMissing_Returns404
· DispatchQuarantine_WhenAlreadyProcessed_Returns400
· DispatchQuarantine_Available_ReleasesBackToStock
· DispatchQuarantine_Damaged_MovesQtyToDamagedBucket
· DispatchQuarantine_WithUnknownAction_Returns400
· DispatchQuarantine_LegacyLogWithoutInventoryLink_SelfHealsThenReleases
· DispatchQuarantine_LegacyLogWithNoMatchingInventory_Returns400
· DispatchQuarantine_WithoutUserClaim_Returns400</t>
  </si>
  <si>
    <t>WarehouseManagementController · WarehouseShiftController.DispatchQuarantine()</t>
  </si>
  <si>
    <t>CVG-115</t>
  </si>
  <si>
    <t>GetStaff() — 1 test con [L1-WM-31]
· GetStaff_ReturnsOnlyWarehouseRoles</t>
  </si>
  <si>
    <t>WarehouseManagementController · WarehouseShiftController.GetStaff()</t>
  </si>
  <si>
    <t>🔒 CHỐNG RÒ RỈ DỮ LIỆU — seed dữ liệu người dùng khác rồi khẳng định không lọt vào kết quả. Cùng lớp lỗ hổng với IDOR L1-ORD-71 đã vá; giữ nguyên khi refactor.  |  Coverage 93–100% · nguồn: WarehouseControllersTests.cs · SmallControllersTests.cs</t>
  </si>
  <si>
    <t>CVG-116</t>
  </si>
  <si>
    <t>ScheduleDelivery() — 4 test con [L1-ORD-83 → L1-ORD-86]
· ScheduleDelivery_Success_ReturnsOkAndPassesCallerId
· ScheduleDelivery_WhenVehicleAlreadyBooked_Returns409
· ScheduleDelivery_WhenOrderMissing_Returns400
· ScheduleDelivery_WithoutUserClaim_Returns400</t>
  </si>
  <si>
    <t>SePayController · OrderController · DeliveryController.ScheduleDelivery()</t>
  </si>
  <si>
    <t>CVG-117</t>
  </si>
  <si>
    <t>GetDeliveryOrders() — 2 test con [L1-ORD-87 → L1-ORD-88]
· GetDeliveryOrders_Success_ReturnsOk
· GetDeliveryOrders_WhenServiceThrows_Returns400</t>
  </si>
  <si>
    <t>SePayController · OrderController · DeliveryController.GetDeliveryOrders()</t>
  </si>
  <si>
    <t>CVG-118</t>
  </si>
  <si>
    <t>CompleteDelivery() — 4 test con [L1-ORD-89 → L1-ORD-92]
· CompleteDelivery_Success_ReturnsOk
· CompleteDelivery_WhenOrderMissing_Returns404
· CompleteDelivery_WhenOrderNotInDelivery_Returns400
· CompleteDelivery_WhenServiceThrows_Returns400</t>
  </si>
  <si>
    <t>SePayController · OrderController · DeliveryController.CompleteDelivery()</t>
  </si>
  <si>
    <t>CVG-119</t>
  </si>
  <si>
    <t>RequestCancelPaidOrder() — 4 test con [L1-ORD-93 → L1-ORD-96]
· RequestCancelPaidOrder_Success_ReturnsOkAndForwardsReason
· RequestCancelPaidOrder_WhenOrderMissing_Returns404
· RequestCancelPaidOrder_WhenOrderNotPaid_Returns400
· RequestCancelPaidOrder_WhenServiceThrows_Returns400</t>
  </si>
  <si>
    <t>SePayController · OrderController · DeliveryController.RequestCancelPaidOrder()</t>
  </si>
  <si>
    <t>CVG-120</t>
  </si>
  <si>
    <t>ApproveCancelAndCreateReplacement() — 4 test con [L1-ORD-97 → L1-ORD-100]
· ApproveCancelAndCreateReplacement_Success_ReturnsOk
· ApproveCancelAndCreateReplacement_WhenOriginalOrderMissing_Returns404
· ApproveCancelAndCreateReplacement_WhenAlreadyApproved_Returns400
· ApproveCancelAndCreateReplacement_WhenServiceThrows_Returns400</t>
  </si>
  <si>
    <t>SePayController · OrderController · DeliveryController.ApproveCancelAndCreateReplacement()</t>
  </si>
  <si>
    <t>CVG-121</t>
  </si>
  <si>
    <t>CreateExchangeReplacement() — 4 test con [L1-ORD-101 → L1-ORD-104]
· CreateExchangeReplacement_Success_ReturnsOk
· CreateExchangeReplacement_WhenRequestMissing_Returns404
· CreateExchangeReplacement_WhenRequestNotApproved_Returns400
· CreateExchangeReplacement_WhenServiceThrows_Returns400</t>
  </si>
  <si>
    <t>SePayController · OrderController · DeliveryController.CreateExchangeReplacement()</t>
  </si>
  <si>
    <t>CVG-122</t>
  </si>
  <si>
    <t>GetPendingPickups() — 2 test con [L1-ORD-105 → L1-ORD-106]
· GetPendingPickups_Success_ReturnsOk
· GetPendingPickups_WhenServiceThrows_Returns400</t>
  </si>
  <si>
    <t>SePayController · OrderController · DeliveryController.GetPendingPickups()</t>
  </si>
  <si>
    <t>CVG-123</t>
  </si>
  <si>
    <t>SchedulePickup() — 4 test con [L1-ORD-107 → L1-ORD-110]
· SchedulePickup_Success_ReturnsOk
· SchedulePickup_WhenRequestMissing_Returns404
· SchedulePickup_WhenWrongState_Returns400
· SchedulePickup_WhenServiceThrows_Returns400</t>
  </si>
  <si>
    <t>SePayController · OrderController · DeliveryController.SchedulePickup()</t>
  </si>
  <si>
    <t>CVG-124</t>
  </si>
  <si>
    <t>ConfirmPickup() — 4 test con [L1-ORD-111 → L1-ORD-114]
· ConfirmPickup_Success_ReturnsOk
· ConfirmPickup_WhenRequestMissing_Returns404
· ConfirmPickup_WhenNotScheduledYet_Returns400
· ConfirmPickup_WhenServiceThrows_Returns400</t>
  </si>
  <si>
    <t>SePayController · OrderController · DeliveryController.ConfirmPickup()</t>
  </si>
  <si>
    <t xml:space="preserve">  ▶  Block: InventoryService  —  InventoryController  ·  coverage 100%  ·  DeliveryInventoryAdminControllerTests.cs</t>
  </si>
  <si>
    <t>CVG-125</t>
  </si>
  <si>
    <t>GetInventoryReport() — 2 test con [L1-INV-06 → L1-INV-07]
· GetInventoryReport_PassesAllFiltersThrough
· GetInventoryReport_WhenDateRangeInvalid_Returns400</t>
  </si>
  <si>
    <t>InventoryController.GetInventoryReport()</t>
  </si>
  <si>
    <t>Coverage 100% · nguồn: DeliveryInventoryAdminControllerTests.cs</t>
  </si>
  <si>
    <t>CVG-126</t>
  </si>
  <si>
    <t>GetSlowMovingItems() — 2 test con [L1-INV-08 → L1-INV-09]
· GetSlowMovingItems_UsesDefault14DaysWhenNotSupplied
· GetSlowMovingItems_WhenDaysInvalid_Returns400</t>
  </si>
  <si>
    <t>InventoryController.GetSlowMovingItems()</t>
  </si>
  <si>
    <t>CVG-127</t>
  </si>
  <si>
    <t>SubmitShiftCount() — 7 test con [L1-INV-10 → L1-INV-16]
· SubmitShiftCount_Success_ReturnsOkWithStaffIdFromToken
· SubmitShiftCount_WhenPayloadInvalid_Returns400
· SubmitShiftCount_WhenShiftMissing_Returns404
· SubmitShiftCount_WhenStaffOfAnotherWarehouse_Returns403
· SubmitShiftCount_WhenConcurrent_Returns409
· SubmitShiftCount_WhenServiceThrows_Returns400
· SubmitShiftCount_WithoutUserClaim_Returns403</t>
  </si>
  <si>
    <t>InventoryController.SubmitShiftCount()</t>
  </si>
  <si>
    <t>⚠ Nhánh DbUpdateConcurrencyException → 409 KHÔNG chạy được qua HTTP thật khi bảng thiếu RowVersion (GH-04) — mock là cách duy nhất chạm tới.  |  Coverage 100% · nguồn: DeliveryInventoryAdminControllerTests.cs</t>
  </si>
  <si>
    <t>CVG-128</t>
  </si>
  <si>
    <t>GetWarehouseInventory() — 3 test con [L1-INV-17 → L1-INV-19]
· GetWarehouseInventory_ClampsPagingToSafeRange
· GetWarehouseInventory_WhenPageSizeNonPositive_FallsBackTo10
· GetWarehouseInventory_WhenServiceThrows_Returns400</t>
  </si>
  <si>
    <t>InventoryController.GetWarehouseInventory()</t>
  </si>
  <si>
    <t>CVG-129</t>
  </si>
  <si>
    <t>AdjustInventory() — 5 test con [L1-INV-20 → L1-INV-24]
· AdjustInventory_Success_ReturnsOk
· AdjustInventory_WhenInventoryMissing_Returns404
· AdjustInventory_WhenStaffOfAnotherWarehouse_Returns403
· AdjustInventory_WhenConcurrent_Returns409
· AdjustInventory_WhenServiceThrows_Returns400</t>
  </si>
  <si>
    <t>InventoryController.AdjustInventory()</t>
  </si>
  <si>
    <t>CVG-130</t>
  </si>
  <si>
    <t>AddInventory() — 4 test con [L1-INV-25 → L1-INV-28]
· AddInventory_Success_ReturnsOk
· AddInventory_WhenProductMissing_Returns404
· AddInventory_WhenProductAlreadyInWarehouse_Returns409
· AddInventory_WhenServiceThrows_Returns400</t>
  </si>
  <si>
    <t>InventoryController.AddInventory()</t>
  </si>
  <si>
    <t xml:space="preserve">  ▶  Block: AdminUserService  —  AdminUsersController  ·  coverage 98,5%  ·  DeliveryInventoryAdminControllerTests.cs</t>
  </si>
  <si>
    <t>CVG-131</t>
  </si>
  <si>
    <t>Search() — 2 test con [L1-ADM-10 → L1-ADM-11]
· Search_Success_ReturnsOk
· Search_WhenServiceThrows_Returns400</t>
  </si>
  <si>
    <t>AdminUsersController.Search()</t>
  </si>
  <si>
    <t>Coverage 98,5% · nguồn: DeliveryInventoryAdminControllerTests.cs</t>
  </si>
  <si>
    <t>CVG-132</t>
  </si>
  <si>
    <t>GetById() — 3 test con [L1-ADM-12 → L1-ADM-14]
· GetById_Success_ReturnsOk
· GetById_WhenMissing_Returns404
· GetById_WhenServiceThrows_Returns400</t>
  </si>
  <si>
    <t>AdminUsersController.GetById()</t>
  </si>
  <si>
    <t>CVG-133</t>
  </si>
  <si>
    <t>Create() — 3 test con [L1-ADM-15 → L1-ADM-17]
· Create_Success_PassesActorIdentityForAuditTrail
· Create_WhenEmailDuplicated_Returns409
· Create_WhenServiceThrows_Returns400</t>
  </si>
  <si>
    <t>AdminUsersController.Create()</t>
  </si>
  <si>
    <t>CVG-134</t>
  </si>
  <si>
    <t>ChangeRole() — 4 test con [L1-ADM-18 → L1-ADM-21]
· ChangeRole_Success_ReturnsOk
· ChangeRole_WhenUserMissing_Returns404
· ChangeRole_WhenSelfDemotionBlocked_Returns409
· ChangeRole_WhenServiceThrows_Returns400</t>
  </si>
  <si>
    <t>AdminUsersController.ChangeRole()</t>
  </si>
  <si>
    <t>CVG-135</t>
  </si>
  <si>
    <t>SetStatus() — 4 test con [L1-ADM-22 → L1-ADM-25]
· SetStatus_Success_ReturnsOk
· SetStatus_WhenUserMissing_Returns404
· SetStatus_WhenSelfDeactivationBlocked_Returns409
· SetStatus_WhenServiceThrows_Returns400</t>
  </si>
  <si>
    <t>AdminUsersController.SetStatus()</t>
  </si>
  <si>
    <t xml:space="preserve">  ▶  Block: MarketingPostService  —  MarketingPostController  ·  coverage 100%  ·  DeliveryInventoryAdminControllerTests.cs</t>
  </si>
  <si>
    <t>CVG-136</t>
  </si>
  <si>
    <t>GenerateOptions() — 2 test con [L1-MKT-15 → L1-MKT-16]
· GenerateOptions_Success_ReturnsOk
· GenerateOptions_WhenAiUnavailable_Returns400</t>
  </si>
  <si>
    <t>MarketingPostController.GenerateOptions()</t>
  </si>
  <si>
    <t>CVG-137</t>
  </si>
  <si>
    <t>GetPosts() — 3 test con [L1-MKT-17 → L1-MKT-19]
· GetPosts_PassesRoleAndUserIdForScoping
· GetPosts_WithoutUserClaim_FallsBackToEmptyGuid
· GetPosts_WhenServiceThrows_Returns400</t>
  </si>
  <si>
    <t>MarketingPostController.GetPosts()</t>
  </si>
  <si>
    <t>CVG-138</t>
  </si>
  <si>
    <t>GetPostById() — 2 test con [L1-MKT-20 → L1-MKT-21]
· GetPostById_Success_ReturnsOk
· GetPostById_WhenMissing_Returns404</t>
  </si>
  <si>
    <t>MarketingPostController.GetPostById()</t>
  </si>
  <si>
    <t>CVG-139</t>
  </si>
  <si>
    <t>CreatePost() — 3 test con [L1-MKT-22 → L1-MKT-24]
· CreatePost_WithoutUserClaim_Returns401
· CreatePost_Success_ReturnsOk
· CreatePost_WhenServiceThrows_Returns400</t>
  </si>
  <si>
    <t>MarketingPostController.CreatePost()</t>
  </si>
  <si>
    <t>CVG-140</t>
  </si>
  <si>
    <t>UpdatePost() — 4 test con [L1-MKT-25 → L1-MKT-28]
· UpdatePost_WithoutUserClaim_Returns401
· UpdatePost_Success_ReturnsOk
· UpdatePost_WhenNotOwner_Returns403
· UpdatePost_WhenAlreadyPublished_Returns400</t>
  </si>
  <si>
    <t>MarketingPostController.UpdatePost()</t>
  </si>
  <si>
    <t>CVG-141</t>
  </si>
  <si>
    <t>SubmitPost() — 4 test con [L1-MKT-29 → L1-MKT-32]
· SubmitPost_WithoutUserClaim_Returns401
· SubmitPost_Success_ReturnsOk
· SubmitPost_WhenNotOwner_Returns403
· SubmitPost_WhenWrongState_Returns400</t>
  </si>
  <si>
    <t>MarketingPostController.SubmitPost()</t>
  </si>
  <si>
    <t>CVG-142</t>
  </si>
  <si>
    <t>MakeDecision() — 3 test con [L1-MKT-33 → L1-MKT-35]
· MakeDecision_WithoutUserClaim_Returns401
· MakeDecision_Success_ReturnsOk
· MakeDecision_WhenServiceThrows_Returns400</t>
  </si>
  <si>
    <t>MarketingPostController.MakeDecision()</t>
  </si>
  <si>
    <t>CVG-143</t>
  </si>
  <si>
    <t>PublishNow() — 3 test con [L1-MKT-36 → L1-MKT-38]
· PublishNow_WithoutUserClaim_Returns401
· PublishNow_Success_ReturnsOk
· PublishNow_WhenNotApproved_Returns400</t>
  </si>
  <si>
    <t>MarketingPostController.PublishNow()</t>
  </si>
  <si>
    <t>CVG-144</t>
  </si>
  <si>
    <t>MakeWebhookCallback() — 4 test con [L1-MKT-39 → L1-MKT-42]
· MakeWebhookCallback_WithoutSecretHeader_Returns401
· MakeWebhookCallback_WithWrongSecret_Returns401
· MakeWebhookCallback_WithCorrectSecret_ReturnsOk
· MakeWebhookCallback_WhenPostMissing_Returns400</t>
  </si>
  <si>
    <t>MarketingPostController.MakeWebhookCallback()</t>
  </si>
  <si>
    <t>🔒 CHỐNG RÒ RỈ DỮ LIỆU — seed dữ liệu người dùng khác rồi khẳng định không lọt vào kết quả. Cùng lớp lỗ hổng với IDOR L1-ORD-71 đã vá; giữ nguyên khi refactor.  |  Coverage 100% · nguồn: DeliveryInventoryAdminControllerTests.cs</t>
  </si>
  <si>
    <t xml:space="preserve">  ▶  Block: AuthService  —  AuthController  ·  coverage 100%  ·  AuthQuotationControllerTests.cs</t>
  </si>
  <si>
    <t>CVG-145</t>
  </si>
  <si>
    <t>Register() — 3 test con [L1-AUTH-34 → L1-AUTH-36]
· Register_WhenModelStateInvalid_Returns400WithoutCallingService
· Register_WhenEmailAlreadyUsed_Returns400
· Register_Success_ReturnsOk</t>
  </si>
  <si>
    <t>AuthController.Register()</t>
  </si>
  <si>
    <t>Coverage 100% · nguồn: AuthQuotationControllerTests.cs</t>
  </si>
  <si>
    <t>CVG-146</t>
  </si>
  <si>
    <t>VerifyOtp() — 3 test con [L1-AUTH-37 → L1-AUTH-39]
· VerifyOtp_WhenModelStateInvalid_Returns400
· VerifyOtp_WhenCodeWrongOrExpired_Returns400
· VerifyOtp_Success_ReturnsOk</t>
  </si>
  <si>
    <t>AuthController.VerifyOtp()</t>
  </si>
  <si>
    <t>CVG-147</t>
  </si>
  <si>
    <t>ResendOtp() — 3 test con [L1-AUTH-40 → L1-AUTH-42]
· ResendOtp_WhenModelStateInvalid_Returns400
· ResendOtp_ForwardsEmailToService
· ResendOtp_WhenRateLimited_Returns400</t>
  </si>
  <si>
    <t>AuthController.ResendOtp()</t>
  </si>
  <si>
    <t>CVG-148</t>
  </si>
  <si>
    <t>Login() — 3 test con [L1-AUTH-43 → L1-AUTH-45]
· Login_WhenModelStateInvalid_Returns400
· Login_WhenCredentialsWrong_Returns401NotBadRequest
· Login_Success_ReturnsOkWithTokenPayload</t>
  </si>
  <si>
    <t>AuthController.Login()</t>
  </si>
  <si>
    <t>CVG-149</t>
  </si>
  <si>
    <t>GoogleLogin() — 3 test con [L1-AUTH-46 → L1-AUTH-48]
· GoogleLogin_WhenModelStateInvalid_Returns400
· GoogleLogin_WhenIdTokenInvalid_Returns401
· GoogleLogin_Success_ReturnsOk</t>
  </si>
  <si>
    <t>AuthController.GoogleLogin()</t>
  </si>
  <si>
    <t>CVG-150</t>
  </si>
  <si>
    <t>ForgotPassword() — 3 test con [L1-AUTH-49 → L1-AUTH-51]
· ForgotPassword_WhenModelStateInvalid_Returns400
· ForgotPassword_WhenEmailNotRegistered_StillReturns200
· ForgotPassword_WhenEmailRegistered_Returns200</t>
  </si>
  <si>
    <t>AuthController.ForgotPassword()</t>
  </si>
  <si>
    <t>CVG-151</t>
  </si>
  <si>
    <t>ResetPassword() — 3 test con [L1-AUTH-52 → L1-AUTH-54]
· ResetPassword_WhenModelStateInvalid_Returns400
· ResetPassword_WhenTokenExpired_Returns400
· ResetPassword_Success_ReturnsOk</t>
  </si>
  <si>
    <t>AuthController.ResetPassword()</t>
  </si>
  <si>
    <t>CVG-152</t>
  </si>
  <si>
    <t>RefreshToken() — 3 test con [L1-AUTH-55 → L1-AUTH-57]
· RefreshToken_WhenModelStateInvalid_Returns400
· RefreshToken_WhenTokenRevoked_Returns401
· RefreshToken_Success_ReturnsOk</t>
  </si>
  <si>
    <t>AuthController.RefreshToken()</t>
  </si>
  <si>
    <t>CVG-153</t>
  </si>
  <si>
    <t>Logout() — 3 test con [L1-AUTH-58 → L1-AUTH-60]
· Logout_WithoutUserClaim_Returns401
· Logout_Success_RevokesTokenOfCaller
· Logout_WhenServiceReportsFailure_Returns400</t>
  </si>
  <si>
    <t>AuthController.Logout()</t>
  </si>
  <si>
    <t>CVG-154</t>
  </si>
  <si>
    <t>CompleteProfile() — 4 test con [L1-AUTH-61 → L1-AUTH-64]
· CompleteProfile_WhenModelStateInvalid_Returns400
· CompleteProfile_WithoutUserClaim_Returns401
· CompleteProfile_Success_ReturnsOk
· CompleteProfile_WhenPhoneAlreadyUsed_Returns400</t>
  </si>
  <si>
    <t>AuthController.CompleteProfile()</t>
  </si>
  <si>
    <t>CVG-155</t>
  </si>
  <si>
    <t>RequestPhoneOtp() — 4 test con [L1-AUTH-65 → L1-AUTH-68]
· RequestPhoneOtp_WhenModelStateInvalid_Returns400
· RequestPhoneOtp_WithoutUserClaim_Returns401
· RequestPhoneOtp_Success_ForwardsPhoneNumber
· RequestPhoneOtp_WhenRateLimited_Returns400</t>
  </si>
  <si>
    <t>AuthController.RequestPhoneOtp()</t>
  </si>
  <si>
    <t>CVG-156</t>
  </si>
  <si>
    <t>VerifyPhoneOtp() — 4 test con [L1-AUTH-69 → L1-AUTH-72]
· VerifyPhoneOtp_WhenModelStateInvalid_Returns400
· VerifyPhoneOtp_WithoutUserClaim_Returns401
· VerifyPhoneOtp_Success_ReturnsOk
· VerifyPhoneOtp_WhenCodeWrong_Returns400</t>
  </si>
  <si>
    <t>AuthController.VerifyPhoneOtp()</t>
  </si>
  <si>
    <t xml:space="preserve">  ▶  Block: QuotationService  —  QuotationController  ·  coverage 100%  ·  AuthQuotationControllerTests.cs</t>
  </si>
  <si>
    <t>CVG-157</t>
  </si>
  <si>
    <t>CreateQuotationFromCart() — 3 test con [L1-QUO-18 → L1-QUO-20]
· CreateQuotationFromCart_Success_ReturnsOk
· CreateQuotationFromCart_WhenCartEmpty_Returns404
· CreateQuotationFromCart_WhenBelowThreshold_Returns400</t>
  </si>
  <si>
    <t>QuotationController.CreateQuotationFromCart()</t>
  </si>
  <si>
    <t>CVG-158</t>
  </si>
  <si>
    <t>GetQuotations() — 6 test con [L1-QUO-21 → L1-QUO-26]
· GetQuotations_AsCustomer_ReturnsOnlyOwnQuotations
· GetQuotations_AsSalesStaff_ReturnsOwnPlusPendingPool
· GetQuotations_AsSalesManager_ReturnsAll
· GetQuotations_AsCeoOrAdmin_ReturnsAll
· GetQuotations_AsUnrelatedRole_Returns403
· GetQuotations_WhenServiceThrows_Returns400</t>
  </si>
  <si>
    <t>QuotationController.GetQuotations()</t>
  </si>
  <si>
    <t>CVG-159</t>
  </si>
  <si>
    <t>GetQuotationById() — 4 test con [L1-QUO-27 → L1-QUO-30]
· GetQuotationById_Success_PassesRoleForScoping
· GetQuotationById_WhenMissing_Returns404
· GetQuotationById_WhenNotOwner_Returns403
· GetQuotationById_WhenServiceThrows_Returns400</t>
  </si>
  <si>
    <t>QuotationController.GetQuotationById()</t>
  </si>
  <si>
    <t>CVG-160</t>
  </si>
  <si>
    <t>PickUpQuotation() — 5 test con [L1-QUO-31 → L1-QUO-35]
· PickUpQuotation_Success_ReturnsOk
· PickUpQuotation_WhenMissing_Returns404
· PickUpQuotation_WhenAnotherSaleTookItFirst_Returns409
· PickUpQuotation_WhenConcurrent_Returns409
· PickUpQuotation_WhenServiceThrows_Returns400</t>
  </si>
  <si>
    <t>QuotationController.PickUpQuotation()</t>
  </si>
  <si>
    <t>⚠ Nhánh DbUpdateConcurrencyException → 409 KHÔNG chạy được qua HTTP thật khi bảng thiếu RowVersion (GH-04) — mock là cách duy nhất chạm tới.  |  Coverage 100% · nguồn: AuthQuotationControllerTests.cs</t>
  </si>
  <si>
    <t>CVG-161</t>
  </si>
  <si>
    <t>CreateVersion() — 6 test con [L1-QUO-36 → L1-QUO-41]
· CreateVersion_Success_ReturnsOk
· CreateVersion_WhenMissing_Returns404
· CreateVersion_WhenNotTheAssignedSale_Returns403
· CreateVersion_WhenPreviousVersionStillPending_Returns409
· CreateVersion_WhenConcurrent_Returns409
· CreateVersion_WhenServiceThrows_Returns400</t>
  </si>
  <si>
    <t>QuotationController.CreateVersion()</t>
  </si>
  <si>
    <t>CVG-162</t>
  </si>
  <si>
    <t>ManagerDecision() — 5 test con [L1-QUO-42 → L1-QUO-46]
· ManagerDecision_Success_ReturnsOk
· ManagerDecision_WhenMissing_Returns404
· ManagerDecision_WhenAlreadyDecided_Returns409
· ManagerDecision_WhenConcurrent_Returns409
· ManagerDecision_WhenServiceThrows_Returns400</t>
  </si>
  <si>
    <t>QuotationController.ManagerDecision()</t>
  </si>
  <si>
    <t>CVG-163</t>
  </si>
  <si>
    <t>CeoDecision() — 5 test con [L1-QUO-47 → L1-QUO-51]
· CeoDecision_Success_ReturnsOk
· CeoDecision_WhenMissing_Returns404
· CeoDecision_WhenManagerHasNotApprovedYet_Returns409
· CeoDecision_WhenConcurrent_Returns409
· CeoDecision_WhenServiceThrows_Returns400</t>
  </si>
  <si>
    <t>QuotationController.CeoDecision()</t>
  </si>
  <si>
    <t>CVG-164</t>
  </si>
  <si>
    <t>CustomerDecision() — 5 test con [L1-QUO-52 → L1-QUO-56]
· CustomerDecision_Success_ReturnsOk
· CustomerDecision_WhenNotOwner_Returns403
· CustomerDecision_WhenQuotationExpired_Returns409
· CustomerDecision_WhenConcurrent_Returns409
· CustomerDecision_WhenServiceThrows_Returns400</t>
  </si>
  <si>
    <t>QuotationController.CustomerDecision()</t>
  </si>
  <si>
    <t>CVG-165</t>
  </si>
  <si>
    <t>CancelQuotation() — 5 test con [L1-QUO-57 → L1-QUO-61]
· CancelQuotation_Success_ReturnsOk
· CancelQuotation_WhenNotOwner_Returns403
· CancelQuotation_WhenAlreadyAccepted_Returns409
· CancelQuotation_WhenConcurrent_Returns409
· CancelQuotation_WhenServiceThrows_Returns400</t>
  </si>
  <si>
    <t>QuotationController.CancelQuotation()</t>
  </si>
  <si>
    <t>CVG-166</t>
  </si>
  <si>
    <t>GetMessages() — 3 test con [L1-QUO-62 → L1-QUO-64]
· GetMessages_Success_PassesRoleForScoping
· GetMessages_WhenNotParticipant_Returns403
· GetMessages_WhenServiceThrows_Returns400</t>
  </si>
  <si>
    <t>QuotationController.GetMessages()</t>
  </si>
  <si>
    <t>🔒 CHỐNG RÒ RỈ DỮ LIỆU — seed dữ liệu người dùng khác rồi khẳng định không lọt vào kết quả. Cùng lớp lỗ hổng với IDOR L1-ORD-71 đã vá; giữ nguyên khi refactor.  |  Coverage 100% · nguồn: AuthQuotationControllerTests.cs</t>
  </si>
  <si>
    <t>CVG-167</t>
  </si>
  <si>
    <t>SendMessage() — 3 test con [L1-QUO-65 → L1-QUO-67]
· SendMessage_Success_ReturnsOk
· SendMessage_WhenNotParticipant_Returns403
· SendMessage_WhenServiceThrows_Returns400</t>
  </si>
  <si>
    <t>QuotationController.SendMessage()</t>
  </si>
  <si>
    <t>CVG-168</t>
  </si>
  <si>
    <t>GetCheckoutSummary() — 3 test con [L1-ORD-115 → L1-ORD-117]
· GetCheckoutSummary_Success_ReturnsOk
· GetCheckoutSummary_WhenCartEmpty_Returns404
· GetCheckoutSummary_WithoutUserClaim_Returns400</t>
  </si>
  <si>
    <t>SePayController · OrderController · DeliveryController.GetCheckoutSummary()</t>
  </si>
  <si>
    <t>CVG-169</t>
  </si>
  <si>
    <t>PlaceOrder() — 4 test con [L1-ORD-118 → L1-ORD-121]
· PlaceOrder_WhenModelStateInvalid_Returns400WithoutCallingService
· PlaceOrder_Success_ReturnsOk
· PlaceOrder_WhenAddressMissing_Returns404
· PlaceOrder_WhenStockInsufficient_Returns400</t>
  </si>
  <si>
    <t>SePayController · OrderController · DeliveryController.PlaceOrder()</t>
  </si>
  <si>
    <t>CVG-170</t>
  </si>
  <si>
    <t>GenerateSePayQr() — 3 test con [L1-ORD-122 → L1-ORD-124]
· GenerateSePayQr_Success_PassesCallerIdentity
· GenerateSePayQr_WhenOrderOfAnotherCustomer_Returns403
· GenerateSePayQr_WhenOrderAlreadyPaid_Returns400</t>
  </si>
  <si>
    <t>SePayController · OrderController · DeliveryController.GenerateSePayQr()</t>
  </si>
  <si>
    <t>CVG-171</t>
  </si>
  <si>
    <t>GetPaymentStatus() — 3 test con [L1-ORD-125 → L1-ORD-127]
· GetPaymentStatus_Success_ReturnsOk
· GetPaymentStatus_WhenOrderOfAnotherCustomer_Returns403
· GetPaymentStatus_WhenServiceThrows_Returns400</t>
  </si>
  <si>
    <t>SePayController · OrderController · DeliveryController.GetPaymentStatus()</t>
  </si>
  <si>
    <t>CVG-172</t>
  </si>
  <si>
    <t>PlaceDirectOrder() — 4 test con [L1-ORD-128 → L1-ORD-131]
· PlaceDirectOrder_WhenModelStateInvalid_Returns400
· PlaceDirectOrder_Success_ReturnsOk
· PlaceDirectOrder_WhenProductMissing_Returns404
· PlaceDirectOrder_WhenServiceThrows_Returns400</t>
  </si>
  <si>
    <t>SePayController · OrderController · DeliveryController.PlaceDirectOrder()</t>
  </si>
  <si>
    <t>CVG-173</t>
  </si>
  <si>
    <t>ConfirmPayment() — 4 test con [L1-ORD-132 → L1-ORD-135]
· ConfirmPayment_Success_ReturnsOk
· ConfirmPayment_WhenOrderMissing_Returns404
· ConfirmPayment_WhenAlreadyPaid_Returns409
· ConfirmPayment_WhenServiceThrows_Returns400</t>
  </si>
  <si>
    <t>SePayController · OrderController · DeliveryController.ConfirmPayment()</t>
  </si>
  <si>
    <t>CVG-174</t>
  </si>
  <si>
    <t>GetSalesDashboard() — 4 test con [L1-ORD-136 → L1-ORD-139]
· GetSalesDashboard_AsSalesStaff_ScopesToOwnData
· GetSalesDashboard_AsSalesManager_SeesWholeSystem
· GetSalesDashboard_WhenServiceThrows_Returns400
· GetSalesDashboard_WhenDataMissing_Returns404</t>
  </si>
  <si>
    <t>SePayController · OrderController · DeliveryController.GetSalesDashboard()</t>
  </si>
  <si>
    <t>🔒 CHỐNG RÒ RỈ DỮ LIỆU — seed dữ liệu người dùng khác rồi khẳng định không lọt vào kết quả. Cùng lớp lỗ hổng với IDOR L1-ORD-71 đã vá; giữ nguyên khi refactor.  |  Coverage 96–100% · nguồn: StockTransferAndSePayControllerTests.cs · OrderPurchaseOrderControllerTests.cs · DeliveryInventoryAdminControllerTests.cs</t>
  </si>
  <si>
    <t>CVG-175</t>
  </si>
  <si>
    <t>UploadInvoicePdf() — 4 test con [L1-ORD-140 → L1-ORD-143]
· UploadInvoicePdf_WhenModelStateInvalid_Returns400
· UploadInvoicePdf_Success_ReturnsOk
· UploadInvoicePdf_WhenOrderOfAnotherCustomer_Returns403
· UploadInvoicePdf_WhenServiceThrows_Returns400</t>
  </si>
  <si>
    <t>SePayController · OrderController · DeliveryController.UploadInvoicePdf()</t>
  </si>
  <si>
    <t>CVG-176</t>
  </si>
  <si>
    <t>GetMyOrderHistory() — 3 test con [L1-ORD-144 → L1-ORD-146]
· GetMyOrderHistory_Success_ScopesToCaller
· GetMyOrderHistory_WithoutUserClaim_Returns401
· GetMyOrderHistory_WhenServiceThrows_Returns400</t>
  </si>
  <si>
    <t>SePayController · OrderController · DeliveryController.GetMyOrderHistory()</t>
  </si>
  <si>
    <t>CVG-177</t>
  </si>
  <si>
    <t>GetMyOrderDetail() — 4 test con [L1-ORD-147 → L1-ORD-150]
· GetMyOrderDetail_Success_ReturnsOk
· GetMyOrderDetail_WhenOrderMissing_Returns404
· GetMyOrderDetail_WhenOrderOfAnotherCustomer_Returns401
· GetMyOrderDetail_WhenServiceThrows_Returns400</t>
  </si>
  <si>
    <t>SePayController · OrderController · DeliveryController.GetMyOrderDetail()</t>
  </si>
  <si>
    <t>CVG-178</t>
  </si>
  <si>
    <t>TrackOrderPublic() — 4 test con [L1-ORD-151 → L1-ORD-154]
· TrackOrderPublic_Success_ReturnsOk
· TrackOrderPublic_WhenOrderMissing_Returns404
· TrackOrderPublic_WhenQueryBlank_Returns400
· TrackOrderPublic_WhenServiceThrows_Returns400</t>
  </si>
  <si>
    <t>SePayController · OrderController · DeliveryController.TrackOrderPublic()</t>
  </si>
  <si>
    <t>CVG-179</t>
  </si>
  <si>
    <t>GetMySpendingStats() — 3 test con [L1-ORD-155 → L1-ORD-157]
· GetMySpendingStats_ForwardsPeriod
· GetMySpendingStats_WithoutUserClaim_Returns401
· GetMySpendingStats_WhenServiceThrows_Returns400</t>
  </si>
  <si>
    <t>SePayController · OrderController · DeliveryController.GetMySpendingStats()</t>
  </si>
  <si>
    <t>CVG-180</t>
  </si>
  <si>
    <t>RequestVatInvoice() — 5 test con [L1-ORD-158 → L1-ORD-162]
· RequestVatInvoice_Success_ReturnsOk
· RequestVatInvoice_WhenOrderMissing_Returns404
· RequestVatInvoice_WhenProfileMissingTaxCode_Returns400
· RequestVatInvoice_WhenOrderOfAnotherCustomer_Returns401
· RequestVatInvoice_WhenServiceThrows_Returns400</t>
  </si>
  <si>
    <t>SePayController · OrderController · DeliveryController.RequestVatInvoice()</t>
  </si>
  <si>
    <t>CVG-181</t>
  </si>
  <si>
    <t>GetSalesOrders() — 3 test con [L1-ORD-163 → L1-ORD-165]
· GetSalesOrders_AsSalesStaff_ScopesToOwnCustomers
· GetSalesOrders_AsSalesManager_SeesAll
· GetSalesOrders_WhenServiceThrows_Returns400</t>
  </si>
  <si>
    <t>SePayController · OrderController · DeliveryController.GetSalesOrders()</t>
  </si>
  <si>
    <t>CVG-182</t>
  </si>
  <si>
    <t>GetSalesOrderDetail() — 5 test con [L1-ORD-166 → L1-ORD-170]
· GetSalesOrderDetail_AsSalesStaff_ScopesToOwnCustomers
· GetSalesOrderDetail_AsAdmin_NoScoping
· GetSalesOrderDetail_WhenMissing_Returns404
· GetSalesOrderDetail_WhenOrderOfAnotherSale_Returns403
· GetSalesOrderDetail_WhenServiceThrows_Returns400</t>
  </si>
  <si>
    <t>SePayController · OrderController · DeliveryController.GetSalesOrderDetail()</t>
  </si>
  <si>
    <t>CVG-183</t>
  </si>
  <si>
    <t>ConfirmSalesOrder() — 4 test con [L1-ORD-171 → L1-ORD-174]
· ConfirmSalesOrder_Success_ReturnsOk
· ConfirmSalesOrder_WhenMissing_Returns404
· ConfirmSalesOrder_WhenWrongState_Returns400
· ConfirmSalesOrder_WhenServiceThrows_Returns400</t>
  </si>
  <si>
    <t>SePayController · OrderController · DeliveryController.ConfirmSalesOrder()</t>
  </si>
  <si>
    <t>CVG-184</t>
  </si>
  <si>
    <t>RejectSalesOrder() — 4 test con [L1-ORD-175 → L1-ORD-178]
· RejectSalesOrder_WhenModelStateInvalid_Returns400
· RejectSalesOrder_Success_ForwardsReason
· RejectSalesOrder_WhenMissing_Returns404
· RejectSalesOrder_WhenWrongState_Returns400</t>
  </si>
  <si>
    <t>SePayController · OrderController · DeliveryController.RejectSalesOrder()</t>
  </si>
  <si>
    <t>CVG-185</t>
  </si>
  <si>
    <t>RequestCancelOrder() — 5 test con [L1-ORD-179 → L1-ORD-183]
· RequestCancelOrder_WhenModelStateInvalid_Returns400
· RequestCancelOrder_Success_ReturnsOk
· RequestCancelOrder_WhenMissing_Returns404
· RequestCancelOrder_WhenOrderAlreadyShipped_Returns400
· RequestCancelOrder_WhenServiceThrows_Returns400</t>
  </si>
  <si>
    <t>SePayController · OrderController · DeliveryController.RequestCancelOrder()</t>
  </si>
  <si>
    <t>CVG-186</t>
  </si>
  <si>
    <t>ProcessCancelRequest() — 5 test con [L1-ORD-184 → L1-ORD-188]
· ProcessCancelRequest_WhenModelStateInvalid_Returns400
· ProcessCancelRequest_Success_ReturnsOk
· ProcessCancelRequest_WhenMissing_Returns404
· ProcessCancelRequest_WhenNoPendingRequest_Returns400
· ProcessCancelRequest_WhenServiceThrows_Returns400</t>
  </si>
  <si>
    <t>SePayController · OrderController · DeliveryController.ProcessCancelRequest()</t>
  </si>
  <si>
    <t>CVG-187</t>
  </si>
  <si>
    <t>CreateReturnExchangeRequest() — 5 test con [L1-ORD-189 → L1-ORD-193]
· CreateReturnExchangeRequest_WhenModelStateInvalid_Returns400
· CreateReturnExchangeRequest_Success_ReturnsOk
· CreateReturnExchangeRequest_WhenOrderMissing_Returns404
· CreateReturnExchangeRequest_WhenPastReturnWindow_Returns400
· CreateReturnExchangeRequest_WhenServiceThrows_Returns400</t>
  </si>
  <si>
    <t>SePayController · OrderController · DeliveryController.CreateReturnExchangeRequest()</t>
  </si>
  <si>
    <t>CVG-188</t>
  </si>
  <si>
    <t>ProcessReturnExchangeRequest() — 5 test con [L1-ORD-194 → L1-ORD-198]
· ProcessReturnExchangeRequest_WhenModelStateInvalid_Returns400
· ProcessReturnExchangeRequest_Success_ReturnsOk
· ProcessReturnExchangeRequest_WhenMissing_Returns404
· ProcessReturnExchangeRequest_WhenAlreadyProcessed_Returns400
· ProcessReturnExchangeRequest_WhenServiceThrows_Returns400</t>
  </si>
  <si>
    <t>SePayController · OrderController · DeliveryController.ProcessReturnExchangeRequest()</t>
  </si>
  <si>
    <t>CVG-189</t>
  </si>
  <si>
    <t>UploadEvidence() — 4 test con [L1-ORD-199 → L1-ORD-202]
· UploadEvidence_WhenNoFile_Returns400WithoutCallingCloudinary
· UploadEvidence_WhenFileEmpty_Returns400
· UploadEvidence_Success_ReturnsUrl
· UploadEvidence_WhenUploadFails_Returns400</t>
  </si>
  <si>
    <t>SePayController · OrderController · DeliveryController.UploadEvidence()</t>
  </si>
  <si>
    <t xml:space="preserve">  ▶  Block: PurchaseOrderService  —  PurchaseOrderController (PO)  ·  coverage 98,6%  ·  OrderPurchaseOrderControllerTests.cs</t>
  </si>
  <si>
    <t>CVG-190</t>
  </si>
  <si>
    <t>GetWarehouses() — 2 test con [L1-PO-08 → L1-PO-09]
· GetWarehouses_ProjectsIdNameCodeOnly
· GetWarehouses_WhenEmpty_ReturnsEmptyList</t>
  </si>
  <si>
    <t>PurchaseOrderController (PO).GetWarehouses()</t>
  </si>
  <si>
    <t>Coverage 98,6% · nguồn: OrderPurchaseOrderControllerTests.cs</t>
  </si>
  <si>
    <t>CVG-191</t>
  </si>
  <si>
    <t>GetAll() — 2 test con [L1-PO-10 → L1-PO-11]
· GetAll_ForwardsStatusFilter
· GetAll_WhenServiceThrows_Returns400</t>
  </si>
  <si>
    <t>PurchaseOrderController (PO).GetAll()</t>
  </si>
  <si>
    <t>CVG-192</t>
  </si>
  <si>
    <t>GetById() — 3 test con [L1-PO-12 → L1-PO-14]
· GetById_Success_ReturnsOk
· GetById_WhenMissing_Returns404
· GetById_WhenServiceThrows_Returns400</t>
  </si>
  <si>
    <t>PurchaseOrderController (PO).GetById()</t>
  </si>
  <si>
    <t>CVG-193</t>
  </si>
  <si>
    <t>Create() — 2 test con [L1-PO-15 → L1-PO-16]
· Create_Success_PassesCeoIdFromToken
· Create_WhenSupplierMissing_Returns400</t>
  </si>
  <si>
    <t>PurchaseOrderController (PO).Create()</t>
  </si>
  <si>
    <t>CVG-194</t>
  </si>
  <si>
    <t>ImportFromExcel() — 2 test con [L1-PO-17 → L1-PO-18]
· ImportFromExcel_Success_ReturnsOk
· ImportFromExcel_WhenFileMalformed_Returns400</t>
  </si>
  <si>
    <t>PurchaseOrderController (PO).ImportFromExcel()</t>
  </si>
  <si>
    <t>CVG-195</t>
  </si>
  <si>
    <t>ImportFromImage() — 2 test con [L1-PO-19 → L1-PO-20]
· ImportFromImage_Success_ReturnsOk
· ImportFromImage_WhenOcrFails_Returns400</t>
  </si>
  <si>
    <t>PurchaseOrderController (PO).ImportFromImage()</t>
  </si>
  <si>
    <t>CVG-196</t>
  </si>
  <si>
    <t>UpdateDraft() — 5 test con [L1-PO-21 → L1-PO-25]
· UpdateDraft_Success_ReturnsOk
· UpdateDraft_WhenMissing_Returns404
· UpdateDraft_WhenAlreadyIssued_Returns409
· UpdateDraft_WhenConcurrent_Returns409
· UpdateDraft_WhenServiceThrows_Returns400</t>
  </si>
  <si>
    <t>PurchaseOrderController (PO).UpdateDraft()</t>
  </si>
  <si>
    <t>⚠ Nhánh DbUpdateConcurrencyException → 409 KHÔNG chạy được qua HTTP thật khi bảng thiếu RowVersion (GH-04) — mock là cách duy nhất chạm tới.  |  Coverage 98,6% · nguồn: OrderPurchaseOrderControllerTests.cs</t>
  </si>
  <si>
    <t>CVG-197</t>
  </si>
  <si>
    <t>Issue() — 5 test con [L1-PO-26 → L1-PO-30]
· Issue_Success_ReturnsOk
· Issue_WhenMissing_Returns404
· Issue_WhenNotDraft_Returns409
· Issue_WhenConcurrent_Returns409
· Issue_WhenServiceThrows_Returns400</t>
  </si>
  <si>
    <t>PurchaseOrderController (PO).Issue()</t>
  </si>
  <si>
    <t>CVG-198</t>
  </si>
  <si>
    <t>SendToWarehouse() — 5 test con [L1-PO-31 → L1-PO-35]
· SendToWarehouse_Success_ReturnsOk
· SendToWarehouse_WhenMissing_Returns404
· SendToWarehouse_WhenNotIssued_Returns409
· SendToWarehouse_WhenConcurrent_Returns409
· SendToWarehouse_WhenServiceThrows_Returns400</t>
  </si>
  <si>
    <t>PurchaseOrderController (PO).SendToWarehouse()</t>
  </si>
  <si>
    <t>CVG-199</t>
  </si>
  <si>
    <t>Cancel() — 5 test con [L1-PO-36 → L1-PO-40]
· Cancel_Success_ReturnsOk
· Cancel_WhenMissing_Returns404
· Cancel_WhenGoodsAlreadyReceived_Returns409
· Cancel_WhenConcurrent_Returns409
· Cancel_WhenServiceThrows_Returns400</t>
  </si>
  <si>
    <t>PurchaseOrderController (PO).Cancel()</t>
  </si>
  <si>
    <t>CVG-200</t>
  </si>
  <si>
    <t>ResolveDiscrepancy() — 5 test con [L1-PO-41 → L1-PO-45]
· ResolveDiscrepancy_Success_ReturnsOk
· ResolveDiscrepancy_WhenMissing_Returns404
· ResolveDiscrepancy_WhenNoDiscrepancy_Returns409
· ResolveDiscrepancy_WhenConcurrent_Returns409
· ResolveDiscrepancy_WhenServiceThrows_Returns400</t>
  </si>
  <si>
    <t>PurchaseOrderController (PO).ResolveDiscrepancy()</t>
  </si>
  <si>
    <t>CVG-201</t>
  </si>
  <si>
    <t>Close() — 5 test con [L1-PO-46 → L1-PO-50]
· Close_Success_ReturnsOk
· Close_WhenMissing_Returns404
· Close_WhenStillHasOpenLines_Returns409
· Close_WhenConcurrent_Returns409
· Close_WhenServiceThrows_Returns400</t>
  </si>
  <si>
    <t>PurchaseOrderController (PO).Close()</t>
  </si>
  <si>
    <t xml:space="preserve">  ▶  Block: GoodsReceiptService  —  PurchaseOrderController (phiếu nhận)  ·  coverage 98,6%  ·  OrderPurchaseOrderControllerTests.cs</t>
  </si>
  <si>
    <t>CVG-202</t>
  </si>
  <si>
    <t>GetAllReceipts() — 2 test con [L1-GR-08 → L1-GR-09]
· GetAllReceipts_ForwardsStatusFilter
· GetAllReceipts_WhenServiceThrows_Returns400</t>
  </si>
  <si>
    <t>PurchaseOrderController (phiếu nhận).GetAllReceipts()</t>
  </si>
  <si>
    <t>CVG-203</t>
  </si>
  <si>
    <t>GetReceipts() — 3 test con [L1-GR-10 → L1-GR-12]
· GetReceipts_Success_ReturnsOk
· GetReceipts_WhenPurchaseOrderMissing_Returns404
· GetReceipts_WhenServiceThrows_Returns400</t>
  </si>
  <si>
    <t>PurchaseOrderController (phiếu nhận).GetReceipts()</t>
  </si>
  <si>
    <t>CVG-204</t>
  </si>
  <si>
    <t>CreateReceipt() — 5 test con [L1-GR-13 → L1-GR-17]
· CreateReceipt_Success_PassesStaffIdFromToken
· CreateReceipt_WhenPurchaseOrderMissing_Returns404
· CreateReceipt_WhenPurchaseOrderNotSentToWarehouse_Returns409
· CreateReceipt_WhenConcurrent_Returns409
· CreateReceipt_WhenServiceThrows_Returns400</t>
  </si>
  <si>
    <t>PurchaseOrderController (phiếu nhận).CreateReceipt()</t>
  </si>
  <si>
    <t>CVG-205</t>
  </si>
  <si>
    <t>UploadReceiptProof() — 5 test con [L1-GR-18 → L1-GR-22]
· UploadReceiptProof_Success_ReturnsOk
· UploadReceiptProof_WhenReceiptMissing_Returns404
· UploadReceiptProof_WhenReceiptAlreadyPosted_Returns409
· UploadReceiptProof_WhenConcurrent_Returns409
· UploadReceiptProof_WhenServiceThrows_Returns400</t>
  </si>
  <si>
    <t>PurchaseOrderController (phiếu nhận).UploadReceiptProof()</t>
  </si>
  <si>
    <t>CVG-206</t>
  </si>
  <si>
    <t>PostReceipt() — 5 test con [L1-GR-23 → L1-GR-27]
· PostReceipt_Success_ReturnsOk
· PostReceipt_WhenMissing_Returns404
· PostReceipt_WhenAlreadyPosted_Returns409
· PostReceipt_WhenConcurrent_Returns409
· PostReceipt_WhenServiceThrows_Returns400</t>
  </si>
  <si>
    <t>PurchaseOrderController (phiếu nhận).PostReceipt()</t>
  </si>
  <si>
    <t xml:space="preserve">  ▶  Block: Infrastructure  —  ExceptionHandlingMiddleware · 4 SignalR Hub  ·  coverage 100%  ·  InfrastructureAndHubTests.cs</t>
  </si>
  <si>
    <t>CVG-207</t>
  </si>
  <si>
    <t>WhenNoException() — 1 test con [L1-INF-01]
· WhenNoException_PassesThroughUntouched</t>
  </si>
  <si>
    <t>ExceptionHandlingMiddleware · 4 SignalR Hub.WhenNoException()</t>
  </si>
  <si>
    <t>Phủ trọn bảng ánh xạ exception → status (409 PROFILE_INCOMPLETE / 404 / 403 / 409 / 409 concurrency / 400 / 400 cho Exception gốc / 500 che chi tiết) + nhánh "response đã bắt đầu ghi thì ném lại".  |  Coverage 100% · nguồn: InfrastructureAndHubTests.cs</t>
  </si>
  <si>
    <t>CVG-208</t>
  </si>
  <si>
    <t>ProfileIncompleteException() — 1 test con [L1-INF-02]
· ProfileIncompleteException_Maps409WithCode</t>
  </si>
  <si>
    <t>ExceptionHandlingMiddleware · 4 SignalR Hub.ProfileIncompleteException()</t>
  </si>
  <si>
    <t>CVG-209</t>
  </si>
  <si>
    <t>KeyNotFoundException() — 1 test con [L1-INF-03]
· KeyNotFoundException_Maps404</t>
  </si>
  <si>
    <t>ExceptionHandlingMiddleware · 4 SignalR Hub.KeyNotFoundException()</t>
  </si>
  <si>
    <t>CVG-210</t>
  </si>
  <si>
    <t>UnauthorizedAccessException() — 1 test con [L1-INF-04]
· UnauthorizedAccessException_Maps403</t>
  </si>
  <si>
    <t>ExceptionHandlingMiddleware · 4 SignalR Hub.UnauthorizedAccessException()</t>
  </si>
  <si>
    <t>CVG-211</t>
  </si>
  <si>
    <t>InvalidOperationException() — 1 test con [L1-INF-05]
· InvalidOperationException_Maps409</t>
  </si>
  <si>
    <t>ExceptionHandlingMiddleware · 4 SignalR Hub.InvalidOperationException()</t>
  </si>
  <si>
    <t>CVG-212</t>
  </si>
  <si>
    <t>DbUpdateConcurrencyException() — 1 test con [L1-INF-06]
· DbUpdateConcurrencyException_Maps409WithGenericMessage</t>
  </si>
  <si>
    <t>ExceptionHandlingMiddleware · 4 SignalR Hub.DbUpdateConcurrencyException()</t>
  </si>
  <si>
    <t>CVG-213</t>
  </si>
  <si>
    <t>ArgumentException() — 1 test con [L1-INF-07]
· ArgumentException_Maps400</t>
  </si>
  <si>
    <t>ExceptionHandlingMiddleware · 4 SignalR Hub.ArgumentException()</t>
  </si>
  <si>
    <t>CVG-214</t>
  </si>
  <si>
    <t>FormatException() — 1 test con [L1-INF-08]
· FormatException_Maps400</t>
  </si>
  <si>
    <t>ExceptionHandlingMiddleware · 4 SignalR Hub.FormatException()</t>
  </si>
  <si>
    <t>CVG-215</t>
  </si>
  <si>
    <t>PlainException() — 1 test con [L1-INF-09]
· PlainException_Maps400BecauseCodebaseUsesItForBusinessErrors</t>
  </si>
  <si>
    <t>ExceptionHandlingMiddleware · 4 SignalR Hub.PlainException()</t>
  </si>
  <si>
    <t>CVG-216</t>
  </si>
  <si>
    <t>UnexpectedSubclass() — 1 test con [L1-INF-10]
· UnexpectedSubclass_Maps500AndHidesDetail</t>
  </si>
  <si>
    <t>ExceptionHandlingMiddleware · 4 SignalR Hub.UnexpectedSubclass()</t>
  </si>
  <si>
    <t>CVG-217</t>
  </si>
  <si>
    <t>ResponseIsAlwaysValidJson() — 1 test con [L1-INF-11]
· ResponseIsAlwaysValidJson</t>
  </si>
  <si>
    <t>ExceptionHandlingMiddleware · 4 SignalR Hub.ResponseIsAlwaysValidJson()</t>
  </si>
  <si>
    <t>CVG-218</t>
  </si>
  <si>
    <t>WhenResponseAlreadyStarted() — 1 test con [L1-INF-12]
· WhenResponseAlreadyStarted_RethrowsInsteadOfCorruptingIt</t>
  </si>
  <si>
    <t>ExceptionHandlingMiddleware · 4 SignalR Hub.WhenResponseAlreadyStarted()</t>
  </si>
  <si>
    <t xml:space="preserve">  ▶  Block: ScheduledJobs  —  ScheduledJobRunnerBackgroundService  ·  coverage 94,4%  ·  InfrastructureAndHubTests.cs</t>
  </si>
  <si>
    <t>CVG-219</t>
  </si>
  <si>
    <t>WhenJobNeverRan() — 1 test con [L1-SJOB-17]
· WhenJobNeverRan_RunsItTaggedAsScheduledWithNoActor</t>
  </si>
  <si>
    <t>ScheduledJobRunnerBackgroundService.WhenJobNeverRan()</t>
  </si>
  <si>
    <t>Phủ đủ 4 nhánh "đến hạn chưa": chưa chạy lần nào · chưa đủ Interval · đủ Interval · job treo quá 3× Interval thì cho chạy lại. Cộng nhánh "một job lỗi không làm sập vòng lặp nền".  |  Coverage 94,4% · nguồn: InfrastructureAndHubTests.cs</t>
  </si>
  <si>
    <t>CVG-220</t>
  </si>
  <si>
    <t>WhenIntervalNotElapsed() — 1 test con [L1-SJOB-18]
· WhenIntervalNotElapsed_SkipsJob</t>
  </si>
  <si>
    <t>ScheduledJobRunnerBackgroundService.WhenIntervalNotElapsed()</t>
  </si>
  <si>
    <t>CVG-221</t>
  </si>
  <si>
    <t>WhenIntervalElapsed() — 1 test con [L1-SJOB-19]
· WhenIntervalElapsed_RunsJob</t>
  </si>
  <si>
    <t>ScheduledJobRunnerBackgroundService.WhenIntervalElapsed()</t>
  </si>
  <si>
    <t>CVG-222</t>
  </si>
  <si>
    <t>WhenPreviousRunStillRunningWithinGracePeriod() — 1 test con [L1-SJOB-20]
· WhenPreviousRunStillRunningWithinGracePeriod_SkipsToAvoidDoubleRun</t>
  </si>
  <si>
    <t>ScheduledJobRunnerBackgroundService.WhenPreviousRunStillRunningWithinGracePeriod()</t>
  </si>
  <si>
    <t>CVG-223</t>
  </si>
  <si>
    <t>WhenPreviousRunStuckBeyondGracePeriod() — 1 test con [L1-SJOB-21]
· WhenPreviousRunStuckBeyondGracePeriod_RunsAgain</t>
  </si>
  <si>
    <t>ScheduledJobRunnerBackgroundService.WhenPreviousRunStuckBeyondGracePeriod()</t>
  </si>
  <si>
    <t>CVG-224</t>
  </si>
  <si>
    <t>WhenJobRunServiceThrows() — 1 test con [L1-SJOB-22]
· WhenJobRunServiceThrows_LoopSurvivesInsteadOfCrashing</t>
  </si>
  <si>
    <t>ScheduledJobRunnerBackgroundService.WhenJobRunServiceThrows()</t>
  </si>
  <si>
    <t>CVG-225</t>
  </si>
  <si>
    <t>NotificationHub() — 4 test con [L1-INF-13 → L1-INF-16]
· NotificationHub_OnConnected_JoinsBothUserAndRoleGroups
· NotificationHub_OnConnected_WithoutClaims_JoinsNothing
· NotificationHub_OnDisconnected_LeavesBothGroups
· NotificationHub_OnDisconnected_WithoutClaims_LeavesNothing</t>
  </si>
  <si>
    <t>ExceptionHandlingMiddleware · 4 SignalR Hub.NotificationHub()</t>
  </si>
  <si>
    <t>Coverage 100% · nguồn: InfrastructureAndHubTests.cs</t>
  </si>
  <si>
    <t>CVG-226</t>
  </si>
  <si>
    <t>SalesHub() — 1 test con [L1-INF-17]
· SalesHub_JoinsAndLeavesSalesStaffGroup</t>
  </si>
  <si>
    <t>ExceptionHandlingMiddleware · 4 SignalR Hub.SalesHub()</t>
  </si>
  <si>
    <t>CVG-227</t>
  </si>
  <si>
    <t>WarehouseHub() — 1 test con [L1-INF-18]
· WarehouseHub_JoinsAndLeavesWarehouseStaffGroup</t>
  </si>
  <si>
    <t>ExceptionHandlingMiddleware · 4 SignalR Hub.WarehouseHub()</t>
  </si>
  <si>
    <t>CVG-228</t>
  </si>
  <si>
    <t>ChatHub() — 4 test con [L1-INF-19 → L1-INF-22]
· ChatHub_JoinQuotationChat_ChecksPermissionBeforeJoiningGroup
· ChatHub_JoinQuotationChat_WhenNotParticipant_DoesNotJoinGroup
· ChatHub_LeaveQuotationChat_RemovesFromGroup
· ChatHub_SendMessage_PersistsThenBroadcastsToGroup</t>
  </si>
  <si>
    <t>ExceptionHandlingMiddleware · 4 SignalR Hub.ChatHub()</t>
  </si>
  <si>
    <t>🔒 CHỐNG RÒ RỈ DỮ LIỆU — seed dữ liệu người dùng khác rồi khẳng định không lọt vào kết quả. Cùng lớp lỗ hổng với IDOR L1-ORD-71 đã vá; giữ nguyên khi refactor.  |  Coverage 100% · nguồn: InfrastructureAndHubTests.cs</t>
  </si>
  <si>
    <t xml:space="preserve">  ▶  Block: SystemConfigService  —  AdminSystemConfigController  ·  coverage 100%  ·  AdminDashboardStockTransferTests.cs</t>
  </si>
  <si>
    <t>CVG-229</t>
  </si>
  <si>
    <t>GetAll() — 1 test con [L1-CFG-07]
· GetAll_ReturnsOk</t>
  </si>
  <si>
    <t>AdminSystemConfigController.GetAll()</t>
  </si>
  <si>
    <t>Coverage 100% · nguồn: AdminDashboardStockTransferTests.cs</t>
  </si>
  <si>
    <t>CVG-230</t>
  </si>
  <si>
    <t>GetHistory() — 3 test con [L1-CFG-08 → L1-CFG-10]
· GetHistory_Success_ForwardsKey
· GetHistory_WhenKeyUnknown_Returns404
· GetHistory_WhenServiceThrows_Returns400</t>
  </si>
  <si>
    <t>AdminSystemConfigController.GetHistory()</t>
  </si>
  <si>
    <t>CVG-231</t>
  </si>
  <si>
    <t>Update() — 4 test con [L1-CFG-11 → L1-CFG-14]
· Update_Success_PassesActorIdentityForAuditTrail
· Update_WhenKeyUnknown_Returns404
· Update_WhenValueOutOfRange_Returns400
· Update_WithoutUserClaim_Returns400</t>
  </si>
  <si>
    <t>AdminSystemConfigController.Update()</t>
  </si>
  <si>
    <t xml:space="preserve">  ▶  Block: AuditLogService  —  AuditLogController  ·  coverage 100%  ·  AdminDashboardStockTransferTests.cs</t>
  </si>
  <si>
    <t>CVG-232</t>
  </si>
  <si>
    <t>Search() — 1 test con [L1-AUD-08]
· Search_ForwardsQuery</t>
  </si>
  <si>
    <t>AuditLogController.Search()</t>
  </si>
  <si>
    <t>CVG-233</t>
  </si>
  <si>
    <t>Export() — 1 test con [L1-AUD-09]
· Export_ReturnsCsvFileWithTimestampedName</t>
  </si>
  <si>
    <t>AuditLogController.Export()</t>
  </si>
  <si>
    <t xml:space="preserve">  ▶  Block: DashboardKpiServices  —  DashboardsController  ·  coverage 97,9%  ·  AdminDashboardStockTransferTests.cs</t>
  </si>
  <si>
    <t>CVG-234</t>
  </si>
  <si>
    <t>GetSalesStaffDashboard() — 3 test con [L1-DASH-09 → L1-DASH-11]
· GetSalesStaffDashboard_WhenNoRange_DefaultsToLast30Days
· GetSalesStaffDashboard_ScopesToCallerId
· GetSalesStaffDashboard_WhenRangeReversed_Returns400</t>
  </si>
  <si>
    <t>DashboardsController.GetSalesStaffDashboard()</t>
  </si>
  <si>
    <t>Coverage 97,9% · nguồn: AdminDashboardStockTransferTests.cs</t>
  </si>
  <si>
    <t>CVG-235</t>
  </si>
  <si>
    <t>GetSalesManagerDashboard() — 2 test con [L1-DASH-12 → L1-DASH-13]
· GetSalesManagerDashboard_Success_NoUserScoping
· GetSalesManagerDashboard_WhenRangeReversed_Returns400</t>
  </si>
  <si>
    <t>DashboardsController.GetSalesManagerDashboard()</t>
  </si>
  <si>
    <t>CVG-236</t>
  </si>
  <si>
    <t>GetCeoDashboard() — 2 test con [L1-DASH-14 → L1-DASH-15]
· GetCeoDashboard_Success_ReturnsOk
· GetCeoDashboard_WhenRangeReversed_Returns400</t>
  </si>
  <si>
    <t>DashboardsController.GetCeoDashboard()</t>
  </si>
  <si>
    <t>CVG-237</t>
  </si>
  <si>
    <t>ReceiveTransfer() — 6 test con [L1-ST-20 → L1-ST-25]
· ReceiveTransfer_Success_PassesReceiverIdFromToken
· ReceiveTransfer_WhenTransferMissing_Returns404
· ReceiveTransfer_WhenStaffOfAnotherWarehouse_Returns403
· ReceiveTransfer_WhenConcurrent_Returns409
· ReceiveTransfer_WhenServiceThrows_Returns400
· ReceiveTransfer_WithoutUserClaim_Returns400</t>
  </si>
  <si>
    <t>StockTransferController.ReceiveTransfer()</t>
  </si>
  <si>
    <t>CVG-238</t>
  </si>
  <si>
    <t>DispatchTransfer() — 1 test con [L1-ST-29]
· DispatchTransfer_WhenConcurrent_Returns409</t>
  </si>
  <si>
    <t>StockTransferController.DispatchTransfer()</t>
  </si>
  <si>
    <t>CVG-239</t>
  </si>
  <si>
    <t>CancelTransfer() — 1 test con [L1-ST-30]
· CancelTransfer_WhenConcurrent_Returns409</t>
  </si>
  <si>
    <t>StockTransferController.CancelTransfer()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</si>
</sst>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Calibri"/>
      <scheme val="minor"/>
    </font>
    <font>
      <b/>
      <sz val="12.0"/>
      <color rgb="FFFFFFFF"/>
      <name val="Arial"/>
    </font>
    <font>
      <b/>
      <sz val="16.0"/>
      <color rgb="FFFFFFFF"/>
      <name val="Arial"/>
    </font>
    <font/>
    <font>
      <color theme="1"/>
      <name val="Calibri"/>
      <scheme val="minor"/>
    </font>
    <font>
      <i/>
      <sz val="9.0"/>
      <color rgb="FF595959"/>
      <name val="Arial"/>
    </font>
    <font>
      <b/>
      <sz val="9.0"/>
      <color rgb="FF5C3292"/>
      <name val="Arial"/>
    </font>
    <font>
      <b/>
      <sz val="10.0"/>
      <color rgb="FFFFFFFF"/>
      <name val="Arial"/>
    </font>
    <font>
      <sz val="9.0"/>
      <color rgb="FF5C3292"/>
      <name val="Arial"/>
    </font>
    <font>
      <sz val="9.0"/>
      <color rgb="FF000000"/>
      <name val="Arial"/>
    </font>
    <font>
      <b/>
      <sz val="10.0"/>
      <color rgb="FF000000"/>
      <name val="Arial"/>
    </font>
    <font>
      <b/>
      <sz val="9.0"/>
      <color rgb="FFC00000"/>
      <name val="Arial"/>
    </font>
    <font>
      <sz val="9.0"/>
      <color rgb="FF595959"/>
      <name val="Arial"/>
    </font>
    <font>
      <b/>
      <sz val="9.0"/>
      <color rgb="FF806000"/>
      <name val="Arial"/>
    </font>
    <font>
      <sz val="9.0"/>
      <color rgb="FF2E7D32"/>
      <name val="Arial"/>
    </font>
    <font>
      <b/>
      <sz val="9.0"/>
      <color rgb="FFFFFFFF"/>
      <name val="Arial"/>
    </font>
    <font>
      <b/>
      <sz val="9.0"/>
      <color rgb="FF595959"/>
      <name val="Arial"/>
    </font>
    <font>
      <b/>
      <sz val="9.0"/>
      <color rgb="FF375623"/>
      <name val="Arial"/>
    </font>
    <font>
      <b/>
      <sz val="9.0"/>
      <color rgb="FF7F6000"/>
      <name val="Arial"/>
    </font>
    <font>
      <sz val="9.0"/>
      <color theme="1"/>
      <name val="Arial"/>
    </font>
    <font>
      <sz val="9.0"/>
      <color rgb="FFC00000"/>
      <name val="Arial"/>
    </font>
    <font>
      <sz val="8.0"/>
      <color rgb="FF595959"/>
      <name val="Arial"/>
    </font>
    <font>
      <b/>
      <sz val="9.0"/>
      <color rgb="FF2E7D32"/>
      <name val="Arial"/>
    </font>
    <font>
      <sz val="8.0"/>
      <color rgb="FFC0000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5C3292"/>
        <bgColor rgb="FF5C3292"/>
      </patternFill>
    </fill>
    <fill>
      <patternFill patternType="solid">
        <fgColor rgb="FFF2F2F2"/>
        <bgColor rgb="FFF2F2F2"/>
      </patternFill>
    </fill>
    <fill>
      <patternFill patternType="solid">
        <fgColor rgb="FFEBE2F5"/>
        <bgColor rgb="FFEBE2F5"/>
      </patternFill>
    </fill>
    <fill>
      <patternFill patternType="solid">
        <fgColor rgb="FF1F6B75"/>
        <bgColor rgb="FF1F6B75"/>
      </patternFill>
    </fill>
    <fill>
      <patternFill patternType="solid">
        <fgColor rgb="FFD6EEF0"/>
        <bgColor rgb="FFD6EEF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1F3864"/>
        <bgColor rgb="FF1F3864"/>
      </patternFill>
    </fill>
    <fill>
      <patternFill patternType="solid">
        <fgColor rgb="FFDEEAF1"/>
        <bgColor rgb="FFDEEAF1"/>
      </patternFill>
    </fill>
    <fill>
      <patternFill patternType="solid">
        <fgColor rgb="FFC00000"/>
        <bgColor rgb="FFC00000"/>
      </patternFill>
    </fill>
    <fill>
      <patternFill patternType="solid">
        <fgColor rgb="FF7F6000"/>
        <bgColor rgb="FF7F6000"/>
      </patternFill>
    </fill>
    <fill>
      <patternFill patternType="solid">
        <fgColor rgb="FF2E75B6"/>
        <bgColor rgb="FF2E75B6"/>
      </patternFill>
    </fill>
    <fill>
      <patternFill patternType="solid">
        <fgColor rgb="FFE2EFDA"/>
        <bgColor rgb="FFE2EFDA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D9D2E9"/>
      </left>
      <right style="thin">
        <color rgb="FFD9D2E9"/>
      </right>
      <top style="thin">
        <color rgb="FFD9D2E9"/>
      </top>
      <bottom style="thin">
        <color rgb="FFD9D2E9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D9D2E9"/>
      </left>
      <top style="thin">
        <color rgb="FFD9D2E9"/>
      </top>
      <bottom style="thin">
        <color rgb="FFD9D2E9"/>
      </bottom>
    </border>
    <border>
      <left style="thin">
        <color rgb="FFEBE2F5"/>
      </left>
      <right style="thin">
        <color rgb="FFEBE2F5"/>
      </right>
      <top style="thin">
        <color rgb="FFEBE2F5"/>
      </top>
      <bottom style="thin">
        <color rgb="FFEBE2F5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horizontal="left" vertical="center"/>
    </xf>
    <xf borderId="1" fillId="2" fontId="1" numFmtId="0" xfId="0" applyAlignment="1" applyBorder="1" applyFont="1">
      <alignment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left" shrinkToFit="0" wrapText="1"/>
    </xf>
    <xf borderId="1" fillId="3" fontId="5" numFmtId="0" xfId="0" applyAlignment="1" applyBorder="1" applyFill="1" applyFont="1">
      <alignment horizontal="left" shrinkToFit="0" vertical="center" wrapText="1"/>
    </xf>
    <xf borderId="4" fillId="4" fontId="6" numFmtId="0" xfId="0" applyBorder="1" applyFill="1" applyFont="1"/>
    <xf borderId="1" fillId="2" fontId="7" numFmtId="0" xfId="0" applyAlignment="1" applyBorder="1" applyFont="1">
      <alignment horizontal="left" vertical="center"/>
    </xf>
    <xf borderId="1" fillId="4" fontId="8" numFmtId="0" xfId="0" applyAlignment="1" applyBorder="1" applyFont="1">
      <alignment vertical="center"/>
    </xf>
    <xf borderId="1" fillId="4" fontId="9" numFmtId="0" xfId="0" applyAlignment="1" applyBorder="1" applyFont="1">
      <alignment horizontal="left" shrinkToFit="0" vertical="top" wrapText="1"/>
    </xf>
    <xf borderId="4" fillId="2" fontId="7" numFmtId="0" xfId="0" applyAlignment="1" applyBorder="1" applyFont="1">
      <alignment shrinkToFit="0" vertical="center" wrapText="1"/>
    </xf>
    <xf borderId="4" fillId="0" fontId="10" numFmtId="0" xfId="0" applyBorder="1" applyFont="1"/>
    <xf borderId="1" fillId="5" fontId="7" numFmtId="0" xfId="0" applyAlignment="1" applyBorder="1" applyFill="1" applyFont="1">
      <alignment horizontal="left" vertical="center"/>
    </xf>
    <xf borderId="1" fillId="6" fontId="9" numFmtId="0" xfId="0" applyAlignment="1" applyBorder="1" applyFill="1" applyFont="1">
      <alignment horizontal="left" shrinkToFit="0" vertical="top" wrapText="1"/>
    </xf>
    <xf borderId="1" fillId="2" fontId="7" numFmtId="0" xfId="0" applyAlignment="1" applyBorder="1" applyFont="1">
      <alignment vertical="center"/>
    </xf>
    <xf borderId="5" fillId="4" fontId="6" numFmtId="0" xfId="0" applyAlignment="1" applyBorder="1" applyFont="1">
      <alignment horizontal="left" shrinkToFit="0" vertical="top" wrapText="1"/>
    </xf>
    <xf borderId="4" fillId="4" fontId="6" numFmtId="0" xfId="0" applyAlignment="1" applyBorder="1" applyFont="1">
      <alignment shrinkToFit="0" vertical="top" wrapText="1"/>
    </xf>
    <xf borderId="4" fillId="7" fontId="9" numFmtId="0" xfId="0" applyAlignment="1" applyBorder="1" applyFill="1" applyFont="1">
      <alignment shrinkToFit="0" vertical="top" wrapText="1"/>
    </xf>
    <xf borderId="6" fillId="8" fontId="9" numFmtId="0" xfId="0" applyAlignment="1" applyBorder="1" applyFill="1" applyFont="1">
      <alignment horizontal="left" shrinkToFit="0" vertical="top" wrapText="1"/>
    </xf>
    <xf borderId="4" fillId="4" fontId="9" numFmtId="0" xfId="0" applyAlignment="1" applyBorder="1" applyFont="1">
      <alignment shrinkToFit="0" vertical="top" wrapText="1"/>
    </xf>
    <xf borderId="7" fillId="0" fontId="3" numFmtId="0" xfId="0" applyBorder="1" applyFont="1"/>
    <xf borderId="4" fillId="9" fontId="11" numFmtId="0" xfId="0" applyAlignment="1" applyBorder="1" applyFill="1" applyFont="1">
      <alignment shrinkToFit="0" vertical="top" wrapText="1"/>
    </xf>
    <xf borderId="6" fillId="3" fontId="9" numFmtId="0" xfId="0" applyAlignment="1" applyBorder="1" applyFont="1">
      <alignment horizontal="left" shrinkToFit="0" vertical="top" wrapText="1"/>
    </xf>
    <xf borderId="4" fillId="4" fontId="11" numFmtId="0" xfId="0" applyAlignment="1" applyBorder="1" applyFont="1">
      <alignment shrinkToFit="0" vertical="top" wrapText="1"/>
    </xf>
    <xf borderId="4" fillId="3" fontId="12" numFmtId="0" xfId="0" applyAlignment="1" applyBorder="1" applyFont="1">
      <alignment shrinkToFit="0" vertical="top" wrapText="1"/>
    </xf>
    <xf borderId="4" fillId="8" fontId="6" numFmtId="0" xfId="0" applyAlignment="1" applyBorder="1" applyFont="1">
      <alignment shrinkToFit="0" vertical="top" wrapText="1"/>
    </xf>
    <xf borderId="4" fillId="8" fontId="9" numFmtId="0" xfId="0" applyAlignment="1" applyBorder="1" applyFont="1">
      <alignment shrinkToFit="0" vertical="top" wrapText="1"/>
    </xf>
    <xf borderId="8" fillId="2" fontId="7" numFmtId="0" xfId="0" applyAlignment="1" applyBorder="1" applyFont="1">
      <alignment shrinkToFit="0" vertical="center" wrapText="1"/>
    </xf>
    <xf borderId="4" fillId="8" fontId="13" numFmtId="0" xfId="0" applyAlignment="1" applyBorder="1" applyFont="1">
      <alignment shrinkToFit="0" vertical="top" wrapText="1"/>
    </xf>
    <xf borderId="9" fillId="2" fontId="7" numFmtId="0" xfId="0" applyAlignment="1" applyBorder="1" applyFont="1">
      <alignment horizontal="left" shrinkToFit="0" vertical="center" wrapText="1"/>
    </xf>
    <xf borderId="4" fillId="4" fontId="13" numFmtId="0" xfId="0" applyAlignment="1" applyBorder="1" applyFont="1">
      <alignment shrinkToFit="0" vertical="top" wrapText="1"/>
    </xf>
    <xf borderId="4" fillId="4" fontId="14" numFmtId="0" xfId="0" applyAlignment="1" applyBorder="1" applyFont="1">
      <alignment shrinkToFit="0" vertical="top" wrapText="1"/>
    </xf>
    <xf borderId="8" fillId="4" fontId="14" numFmtId="0" xfId="0" applyAlignment="1" applyBorder="1" applyFont="1">
      <alignment shrinkToFit="0" vertical="top" wrapText="1"/>
    </xf>
    <xf borderId="9" fillId="0" fontId="14" numFmtId="0" xfId="0" applyAlignment="1" applyBorder="1" applyFont="1">
      <alignment horizontal="left" shrinkToFit="0" vertical="top" wrapText="1"/>
    </xf>
    <xf borderId="1" fillId="10" fontId="7" numFmtId="0" xfId="0" applyAlignment="1" applyBorder="1" applyFill="1" applyFont="1">
      <alignment horizontal="left" vertical="center"/>
    </xf>
    <xf borderId="1" fillId="11" fontId="9" numFmtId="0" xfId="0" applyAlignment="1" applyBorder="1" applyFill="1" applyFont="1">
      <alignment horizontal="left" shrinkToFit="0" vertical="top" wrapText="1"/>
    </xf>
    <xf borderId="1" fillId="8" fontId="9" numFmtId="0" xfId="0" applyAlignment="1" applyBorder="1" applyFont="1">
      <alignment horizontal="left" shrinkToFit="0" vertical="top" wrapText="1"/>
    </xf>
    <xf borderId="4" fillId="8" fontId="14" numFmtId="0" xfId="0" applyAlignment="1" applyBorder="1" applyFont="1">
      <alignment shrinkToFit="0" vertical="top" wrapText="1"/>
    </xf>
    <xf borderId="8" fillId="8" fontId="14" numFmtId="0" xfId="0" applyAlignment="1" applyBorder="1" applyFont="1">
      <alignment shrinkToFit="0" vertical="top" wrapText="1"/>
    </xf>
    <xf borderId="4" fillId="8" fontId="11" numFmtId="0" xfId="0" applyAlignment="1" applyBorder="1" applyFont="1">
      <alignment shrinkToFit="0" vertical="top" wrapText="1"/>
    </xf>
    <xf borderId="5" fillId="12" fontId="15" numFmtId="0" xfId="0" applyAlignment="1" applyBorder="1" applyFill="1" applyFont="1">
      <alignment horizontal="center" vertical="center"/>
    </xf>
    <xf borderId="6" fillId="0" fontId="9" numFmtId="0" xfId="0" applyAlignment="1" applyBorder="1" applyFont="1">
      <alignment horizontal="left" vertical="center"/>
    </xf>
    <xf borderId="5" fillId="13" fontId="15" numFmtId="0" xfId="0" applyAlignment="1" applyBorder="1" applyFill="1" applyFont="1">
      <alignment horizontal="center" vertical="center"/>
    </xf>
    <xf borderId="5" fillId="14" fontId="15" numFmtId="0" xfId="0" applyAlignment="1" applyBorder="1" applyFill="1" applyFont="1">
      <alignment horizontal="center" vertical="center"/>
    </xf>
    <xf borderId="5" fillId="3" fontId="16" numFmtId="0" xfId="0" applyAlignment="1" applyBorder="1" applyFont="1">
      <alignment horizontal="center" vertical="center"/>
    </xf>
    <xf borderId="5" fillId="15" fontId="17" numFmtId="0" xfId="0" applyAlignment="1" applyBorder="1" applyFill="1" applyFont="1">
      <alignment horizontal="center" vertical="center"/>
    </xf>
    <xf borderId="5" fillId="9" fontId="11" numFmtId="0" xfId="0" applyAlignment="1" applyBorder="1" applyFont="1">
      <alignment horizontal="center" vertical="center"/>
    </xf>
    <xf borderId="5" fillId="7" fontId="18" numFmtId="0" xfId="0" applyAlignment="1" applyBorder="1" applyFont="1">
      <alignment horizontal="center" vertical="center"/>
    </xf>
    <xf borderId="5" fillId="4" fontId="6" numFmtId="0" xfId="0" applyAlignment="1" applyBorder="1" applyFont="1">
      <alignment horizontal="center" vertical="center"/>
    </xf>
    <xf borderId="4" fillId="3" fontId="12" numFmtId="0" xfId="0" applyAlignment="1" applyBorder="1" applyFont="1">
      <alignment readingOrder="0" shrinkToFit="0" vertical="top" wrapText="1"/>
    </xf>
    <xf borderId="1" fillId="2" fontId="7" numFmtId="0" xfId="0" applyBorder="1" applyFont="1"/>
    <xf borderId="4" fillId="4" fontId="19" numFmtId="0" xfId="0" applyAlignment="1" applyBorder="1" applyFont="1">
      <alignment shrinkToFit="0" vertical="top" wrapText="1"/>
    </xf>
    <xf borderId="4" fillId="4" fontId="20" numFmtId="0" xfId="0" applyAlignment="1" applyBorder="1" applyFont="1">
      <alignment shrinkToFit="0" vertical="top" wrapText="1"/>
    </xf>
    <xf borderId="4" fillId="8" fontId="20" numFmtId="0" xfId="0" applyAlignment="1" applyBorder="1" applyFont="1">
      <alignment shrinkToFit="0" vertical="top" wrapText="1"/>
    </xf>
    <xf borderId="4" fillId="8" fontId="19" numFmtId="0" xfId="0" applyAlignment="1" applyBorder="1" applyFont="1">
      <alignment shrinkToFit="0" vertical="top" wrapText="1"/>
    </xf>
    <xf borderId="4" fillId="8" fontId="9" numFmtId="0" xfId="0" applyAlignment="1" applyBorder="1" applyFont="1">
      <alignment readingOrder="0" shrinkToFit="0" vertical="top" wrapText="1"/>
    </xf>
    <xf borderId="8" fillId="8" fontId="14" numFmtId="0" xfId="0" applyAlignment="1" applyBorder="1" applyFont="1">
      <alignment readingOrder="0" shrinkToFit="0" vertical="top" wrapText="1"/>
    </xf>
    <xf borderId="4" fillId="4" fontId="9" numFmtId="0" xfId="0" applyAlignment="1" applyBorder="1" applyFont="1">
      <alignment readingOrder="0" shrinkToFit="0" vertical="top" wrapText="1"/>
    </xf>
    <xf borderId="8" fillId="4" fontId="14" numFmtId="0" xfId="0" applyAlignment="1" applyBorder="1" applyFont="1">
      <alignment readingOrder="0" shrinkToFit="0" vertical="top" wrapText="1"/>
    </xf>
    <xf borderId="1" fillId="4" fontId="8" numFmtId="0" xfId="0" applyAlignment="1" applyBorder="1" applyFont="1">
      <alignment shrinkToFit="0" vertical="center" wrapText="1"/>
    </xf>
    <xf borderId="4" fillId="8" fontId="21" numFmtId="0" xfId="0" applyAlignment="1" applyBorder="1" applyFont="1">
      <alignment shrinkToFit="0" vertical="top" wrapText="1"/>
    </xf>
    <xf borderId="4" fillId="3" fontId="22" numFmtId="0" xfId="0" applyAlignment="1" applyBorder="1" applyFont="1">
      <alignment shrinkToFit="0" vertical="top" wrapText="1"/>
    </xf>
    <xf borderId="4" fillId="4" fontId="21" numFmtId="0" xfId="0" applyAlignment="1" applyBorder="1" applyFont="1">
      <alignment shrinkToFit="0" vertical="top" wrapText="1"/>
    </xf>
    <xf borderId="4" fillId="4" fontId="23" numFmtId="0" xfId="0" applyAlignment="1" applyBorder="1" applyFont="1">
      <alignment shrinkToFit="0" vertical="top" wrapText="1"/>
    </xf>
    <xf borderId="4" fillId="8" fontId="2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44" Type="http://customschemas.google.com/relationships/workbookmetadata" Target="metadata"/><Relationship Id="rId21" Type="http://schemas.openxmlformats.org/officeDocument/2006/relationships/worksheet" Target="worksheets/sheet18.xml"/><Relationship Id="rId43" Type="http://schemas.openxmlformats.org/officeDocument/2006/relationships/worksheet" Target="worksheets/sheet40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C3292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8.0"/>
    <col customWidth="1" min="3" max="3" width="60.0"/>
    <col customWidth="1" min="4" max="4" width="50.86"/>
    <col customWidth="1" min="5" max="5" width="2.0"/>
    <col customWidth="1" min="6" max="6" width="8.71"/>
  </cols>
  <sheetData>
    <row r="1" ht="39.75" customHeight="1">
      <c r="B1" s="2" t="s">
        <v>2</v>
      </c>
      <c r="C1" s="4"/>
      <c r="D1" s="5"/>
    </row>
    <row r="2" ht="30.0" customHeight="1">
      <c r="B2" s="7" t="s">
        <v>4</v>
      </c>
      <c r="C2" s="4"/>
      <c r="D2" s="5"/>
    </row>
    <row r="4" ht="19.5" customHeight="1">
      <c r="B4" s="9" t="s">
        <v>6</v>
      </c>
      <c r="C4" s="4"/>
      <c r="D4" s="5"/>
    </row>
    <row r="5" ht="42.0" customHeight="1">
      <c r="B5" s="11" t="s">
        <v>8</v>
      </c>
      <c r="C5" s="4"/>
      <c r="D5" s="5"/>
    </row>
    <row r="7" ht="19.5" customHeight="1">
      <c r="B7" s="9" t="s">
        <v>9</v>
      </c>
      <c r="C7" s="4"/>
      <c r="D7" s="5"/>
    </row>
    <row r="8" ht="55.5" customHeight="1">
      <c r="B8" s="11" t="s">
        <v>11</v>
      </c>
      <c r="C8" s="4"/>
      <c r="D8" s="5"/>
    </row>
    <row r="10" ht="19.5" customHeight="1">
      <c r="B10" s="9" t="s">
        <v>13</v>
      </c>
      <c r="C10" s="4"/>
      <c r="D10" s="5"/>
    </row>
    <row r="11" ht="69.75" customHeight="1">
      <c r="B11" s="11" t="s">
        <v>18</v>
      </c>
      <c r="C11" s="4"/>
      <c r="D11" s="5"/>
    </row>
    <row r="13" ht="19.5" customHeight="1">
      <c r="B13" s="9" t="s">
        <v>22</v>
      </c>
      <c r="C13" s="4"/>
      <c r="D13" s="5"/>
    </row>
    <row r="14" ht="181.5" customHeight="1">
      <c r="B14" s="11" t="s">
        <v>28</v>
      </c>
      <c r="C14" s="4"/>
      <c r="D14" s="5"/>
    </row>
    <row r="16" ht="19.5" customHeight="1">
      <c r="B16" s="14" t="s">
        <v>31</v>
      </c>
      <c r="C16" s="4"/>
      <c r="D16" s="5"/>
    </row>
    <row r="17" ht="27.75" customHeight="1">
      <c r="B17" s="15" t="s">
        <v>4</v>
      </c>
      <c r="C17" s="4"/>
      <c r="D17" s="5"/>
    </row>
    <row r="19" ht="19.5" customHeight="1">
      <c r="B19" s="9" t="s">
        <v>33</v>
      </c>
      <c r="C19" s="4"/>
      <c r="D19" s="5"/>
    </row>
    <row r="20" ht="39.0" customHeight="1">
      <c r="B20" s="17" t="s">
        <v>10</v>
      </c>
      <c r="C20" s="20" t="s">
        <v>37</v>
      </c>
      <c r="D20" s="22"/>
    </row>
    <row r="21" ht="25.5" customHeight="1">
      <c r="B21" s="17" t="s">
        <v>12</v>
      </c>
      <c r="C21" s="24" t="s">
        <v>47</v>
      </c>
      <c r="D21" s="22"/>
    </row>
    <row r="22" ht="51.75" customHeight="1">
      <c r="B22" s="17" t="s">
        <v>14</v>
      </c>
      <c r="C22" s="20" t="s">
        <v>57</v>
      </c>
      <c r="D22" s="22"/>
    </row>
    <row r="23" ht="39.0" customHeight="1">
      <c r="B23" s="17" t="s">
        <v>16</v>
      </c>
      <c r="C23" s="24" t="s">
        <v>58</v>
      </c>
      <c r="D23" s="22"/>
    </row>
    <row r="24" ht="39.0" customHeight="1">
      <c r="B24" s="17" t="s">
        <v>17</v>
      </c>
      <c r="C24" s="20" t="s">
        <v>64</v>
      </c>
      <c r="D24" s="22"/>
    </row>
    <row r="25" ht="51.75" customHeight="1">
      <c r="B25" s="17" t="s">
        <v>19</v>
      </c>
      <c r="C25" s="24" t="s">
        <v>71</v>
      </c>
      <c r="D25" s="22"/>
    </row>
    <row r="26" ht="51.75" customHeight="1">
      <c r="B26" s="17" t="s">
        <v>20</v>
      </c>
      <c r="C26" s="20" t="s">
        <v>77</v>
      </c>
      <c r="D26" s="22"/>
    </row>
    <row r="27" ht="78.0" customHeight="1">
      <c r="B27" s="17" t="s">
        <v>21</v>
      </c>
      <c r="C27" s="24" t="s">
        <v>82</v>
      </c>
      <c r="D27" s="22"/>
    </row>
    <row r="28" ht="25.5" customHeight="1">
      <c r="B28" s="17" t="s">
        <v>23</v>
      </c>
      <c r="C28" s="20" t="s">
        <v>85</v>
      </c>
      <c r="D28" s="22"/>
    </row>
    <row r="29" ht="25.5" customHeight="1">
      <c r="B29" s="17" t="s">
        <v>24</v>
      </c>
      <c r="C29" s="24" t="s">
        <v>90</v>
      </c>
      <c r="D29" s="22"/>
    </row>
    <row r="30" ht="25.5" customHeight="1">
      <c r="B30" s="17" t="s">
        <v>26</v>
      </c>
      <c r="C30" s="20" t="s">
        <v>96</v>
      </c>
      <c r="D30" s="22"/>
    </row>
    <row r="31" ht="18.0" customHeight="1">
      <c r="B31" s="17" t="s">
        <v>27</v>
      </c>
      <c r="C31" s="24" t="s">
        <v>97</v>
      </c>
      <c r="D31" s="22"/>
    </row>
    <row r="32" ht="15.75" customHeight="1"/>
    <row r="33" ht="19.5" customHeight="1">
      <c r="B33" s="36" t="s">
        <v>100</v>
      </c>
      <c r="C33" s="4"/>
      <c r="D33" s="5"/>
    </row>
    <row r="34" ht="15.75" customHeight="1">
      <c r="B34" s="37" t="s">
        <v>106</v>
      </c>
      <c r="C34" s="4"/>
      <c r="D34" s="5"/>
    </row>
    <row r="35" ht="15.75" customHeight="1">
      <c r="B35" s="38" t="s">
        <v>114</v>
      </c>
      <c r="C35" s="4"/>
      <c r="D35" s="5"/>
    </row>
    <row r="36" ht="15.75" customHeight="1">
      <c r="B36" s="37" t="s">
        <v>115</v>
      </c>
      <c r="C36" s="4"/>
      <c r="D36" s="5"/>
    </row>
    <row r="37" ht="15.75" customHeight="1">
      <c r="B37" s="38" t="s">
        <v>118</v>
      </c>
      <c r="C37" s="4"/>
      <c r="D37" s="5"/>
    </row>
    <row r="38" ht="15.75" customHeight="1">
      <c r="B38" s="37" t="s">
        <v>121</v>
      </c>
      <c r="C38" s="4"/>
      <c r="D38" s="5"/>
    </row>
    <row r="39" ht="15.75" customHeight="1">
      <c r="B39" s="38" t="s">
        <v>124</v>
      </c>
      <c r="C39" s="4"/>
      <c r="D39" s="5"/>
    </row>
    <row r="40" ht="15.75" customHeight="1">
      <c r="B40" s="37" t="s">
        <v>130</v>
      </c>
      <c r="C40" s="4"/>
      <c r="D40" s="5"/>
    </row>
    <row r="41" ht="15.75" customHeight="1">
      <c r="B41" s="38" t="s">
        <v>131</v>
      </c>
      <c r="C41" s="4"/>
      <c r="D41" s="5"/>
    </row>
    <row r="42" ht="15.75" customHeight="1">
      <c r="B42" s="37" t="s">
        <v>134</v>
      </c>
      <c r="C42" s="4"/>
      <c r="D42" s="5"/>
    </row>
    <row r="43" ht="15.75" customHeight="1">
      <c r="B43" s="38" t="s">
        <v>137</v>
      </c>
      <c r="C43" s="4"/>
      <c r="D43" s="5"/>
    </row>
    <row r="44" ht="15.75" customHeight="1"/>
    <row r="45" ht="18.0" customHeight="1">
      <c r="B45" s="36" t="s">
        <v>141</v>
      </c>
      <c r="C45" s="4"/>
      <c r="D45" s="5"/>
    </row>
    <row r="46" ht="18.0" customHeight="1">
      <c r="B46" s="42" t="s">
        <v>146</v>
      </c>
      <c r="C46" s="43" t="s">
        <v>147</v>
      </c>
      <c r="D46" s="22"/>
    </row>
    <row r="47" ht="18.0" customHeight="1">
      <c r="B47" s="44" t="s">
        <v>151</v>
      </c>
      <c r="C47" s="43" t="s">
        <v>152</v>
      </c>
      <c r="D47" s="22"/>
    </row>
    <row r="48" ht="18.0" customHeight="1">
      <c r="B48" s="45" t="s">
        <v>155</v>
      </c>
      <c r="C48" s="43" t="s">
        <v>158</v>
      </c>
      <c r="D48" s="22"/>
    </row>
    <row r="49" ht="15.75" customHeight="1"/>
    <row r="50" ht="18.0" customHeight="1">
      <c r="B50" s="46" t="s">
        <v>54</v>
      </c>
    </row>
    <row r="51" ht="18.0" customHeight="1">
      <c r="B51" s="47" t="s">
        <v>41</v>
      </c>
    </row>
    <row r="52" ht="18.0" customHeight="1">
      <c r="B52" s="48" t="s">
        <v>46</v>
      </c>
    </row>
    <row r="53" ht="18.0" customHeight="1">
      <c r="B53" s="49" t="s">
        <v>167</v>
      </c>
    </row>
    <row r="54" ht="18.0" customHeight="1">
      <c r="B54" s="50" t="s">
        <v>172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B1:D1"/>
    <mergeCell ref="B2:D2"/>
    <mergeCell ref="B4:D4"/>
    <mergeCell ref="B5:D5"/>
    <mergeCell ref="B7:D7"/>
    <mergeCell ref="B8:D8"/>
    <mergeCell ref="B10:D10"/>
    <mergeCell ref="B11:D11"/>
    <mergeCell ref="B13:D13"/>
    <mergeCell ref="B14:D14"/>
    <mergeCell ref="B16:D16"/>
    <mergeCell ref="B17:D17"/>
    <mergeCell ref="B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B33:D33"/>
    <mergeCell ref="B34:D34"/>
    <mergeCell ref="B35:D35"/>
    <mergeCell ref="B43:D43"/>
    <mergeCell ref="B45:D45"/>
    <mergeCell ref="C46:D46"/>
    <mergeCell ref="C47:D47"/>
    <mergeCell ref="C48:D48"/>
    <mergeCell ref="B36:D36"/>
    <mergeCell ref="B37:D37"/>
    <mergeCell ref="B38:D38"/>
    <mergeCell ref="B39:D39"/>
    <mergeCell ref="B40:D40"/>
    <mergeCell ref="B41:D41"/>
    <mergeCell ref="B42:D4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2.0"/>
    <col customWidth="1" min="2" max="2" width="26.0"/>
    <col customWidth="1" min="3" max="3" width="34.0"/>
    <col customWidth="1" min="4" max="4" width="28.0"/>
    <col customWidth="1" min="5" max="5" width="9.0"/>
    <col customWidth="1" min="6" max="6" width="10.0"/>
    <col customWidth="1" min="7" max="8" width="14.0"/>
    <col customWidth="1" min="9" max="9" width="55.0"/>
  </cols>
  <sheetData>
    <row r="1" ht="24.0" customHeight="1">
      <c r="A1" s="3" t="s">
        <v>3</v>
      </c>
      <c r="B1" s="4"/>
      <c r="C1" s="4"/>
      <c r="D1" s="4"/>
      <c r="E1" s="4"/>
      <c r="F1" s="4"/>
      <c r="G1" s="4"/>
      <c r="H1" s="5"/>
      <c r="I1" s="6"/>
    </row>
    <row r="2">
      <c r="I2" s="6"/>
    </row>
    <row r="3">
      <c r="A3" s="8" t="s">
        <v>5</v>
      </c>
      <c r="B3" s="13">
        <f>COUNTA(A6:A794)</f>
        <v>391</v>
      </c>
      <c r="C3" s="8" t="s">
        <v>15</v>
      </c>
      <c r="D3" s="13">
        <f>COUNTIF(E6:E794,"P1")</f>
        <v>279</v>
      </c>
      <c r="E3" s="8" t="s">
        <v>25</v>
      </c>
      <c r="F3" s="13">
        <f>COUNTIF(E6:E794,"P2")</f>
        <v>85</v>
      </c>
      <c r="G3" s="8" t="s">
        <v>32</v>
      </c>
      <c r="H3" s="13">
        <f>COUNTIF(E6:E794,"P3")</f>
        <v>26</v>
      </c>
      <c r="I3" s="6"/>
    </row>
    <row r="4">
      <c r="A4" s="8" t="s">
        <v>35</v>
      </c>
      <c r="B4" s="13">
        <f>COUNTIF(F6:F794,"Yes")</f>
        <v>169</v>
      </c>
      <c r="C4" s="8" t="s">
        <v>41</v>
      </c>
      <c r="D4" s="13">
        <f>COUNTIF(G6:G794,"Pass")</f>
        <v>384</v>
      </c>
      <c r="E4" s="8" t="s">
        <v>46</v>
      </c>
      <c r="F4" s="13">
        <f>COUNTIF(G6:G794,"Fail")</f>
        <v>3</v>
      </c>
      <c r="G4" s="8" t="s">
        <v>54</v>
      </c>
      <c r="H4" s="13">
        <f>COUNTIF(G6:G794,"Not Run")</f>
        <v>0</v>
      </c>
      <c r="I4" s="6"/>
    </row>
    <row r="5">
      <c r="I5" s="6"/>
    </row>
    <row r="6" ht="25.5" customHeight="1">
      <c r="A6" s="12" t="s">
        <v>10</v>
      </c>
      <c r="B6" s="12" t="s">
        <v>60</v>
      </c>
      <c r="C6" s="12" t="s">
        <v>62</v>
      </c>
      <c r="D6" s="12" t="s">
        <v>16</v>
      </c>
      <c r="E6" s="12" t="s">
        <v>17</v>
      </c>
      <c r="F6" s="12" t="s">
        <v>23</v>
      </c>
      <c r="G6" s="12" t="s">
        <v>67</v>
      </c>
      <c r="H6" s="29" t="s">
        <v>70</v>
      </c>
      <c r="I6" s="31" t="s">
        <v>74</v>
      </c>
    </row>
    <row r="7">
      <c r="A7" s="18" t="s">
        <v>36</v>
      </c>
      <c r="B7" s="21" t="s">
        <v>80</v>
      </c>
      <c r="C7" s="21" t="s">
        <v>81</v>
      </c>
      <c r="D7" s="21" t="s">
        <v>43</v>
      </c>
      <c r="E7" s="23" t="s">
        <v>15</v>
      </c>
      <c r="F7" s="25" t="s">
        <v>56</v>
      </c>
      <c r="G7" s="33" t="str">
        <f>AuthService!J6</f>
        <v>Pass</v>
      </c>
      <c r="H7" s="34" t="str">
        <f>AuthService!K6</f>
        <v/>
      </c>
      <c r="I7" s="35" t="str">
        <f>AuthService!M6</f>
        <v/>
      </c>
    </row>
    <row r="8" ht="24.0" customHeight="1">
      <c r="A8" s="27" t="s">
        <v>61</v>
      </c>
      <c r="B8" s="28" t="s">
        <v>80</v>
      </c>
      <c r="C8" s="28" t="s">
        <v>81</v>
      </c>
      <c r="D8" s="28" t="s">
        <v>68</v>
      </c>
      <c r="E8" s="23" t="s">
        <v>15</v>
      </c>
      <c r="F8" s="28" t="s">
        <v>55</v>
      </c>
      <c r="G8" s="39" t="str">
        <f>AuthService!J7</f>
        <v>Pass</v>
      </c>
      <c r="H8" s="40" t="str">
        <f>AuthService!K7</f>
        <v/>
      </c>
      <c r="I8" s="35" t="str">
        <f>AuthService!M7</f>
        <v/>
      </c>
    </row>
    <row r="9">
      <c r="A9" s="18" t="s">
        <v>83</v>
      </c>
      <c r="B9" s="21" t="s">
        <v>80</v>
      </c>
      <c r="C9" s="21" t="s">
        <v>81</v>
      </c>
      <c r="D9" s="21" t="s">
        <v>43</v>
      </c>
      <c r="E9" s="32" t="s">
        <v>25</v>
      </c>
      <c r="F9" s="25" t="s">
        <v>56</v>
      </c>
      <c r="G9" s="33" t="str">
        <f>AuthService!J8</f>
        <v>Pass</v>
      </c>
      <c r="H9" s="34" t="str">
        <f>AuthService!K8</f>
        <v/>
      </c>
      <c r="I9" s="35" t="str">
        <f>AuthService!M8</f>
        <v/>
      </c>
    </row>
    <row r="10">
      <c r="A10" s="27" t="s">
        <v>104</v>
      </c>
      <c r="B10" s="28" t="s">
        <v>80</v>
      </c>
      <c r="C10" s="28" t="s">
        <v>145</v>
      </c>
      <c r="D10" s="28" t="s">
        <v>109</v>
      </c>
      <c r="E10" s="23" t="s">
        <v>15</v>
      </c>
      <c r="F10" s="41" t="s">
        <v>56</v>
      </c>
      <c r="G10" s="39" t="str">
        <f>AuthService!J10</f>
        <v>Pass</v>
      </c>
      <c r="H10" s="40" t="str">
        <f>AuthService!K10</f>
        <v/>
      </c>
      <c r="I10" s="35" t="str">
        <f>AuthService!M10</f>
        <v/>
      </c>
    </row>
    <row r="11">
      <c r="A11" s="18" t="s">
        <v>116</v>
      </c>
      <c r="B11" s="21" t="s">
        <v>80</v>
      </c>
      <c r="C11" s="21" t="s">
        <v>145</v>
      </c>
      <c r="D11" s="21" t="s">
        <v>109</v>
      </c>
      <c r="E11" s="32" t="s">
        <v>25</v>
      </c>
      <c r="F11" s="25" t="s">
        <v>56</v>
      </c>
      <c r="G11" s="33" t="str">
        <f>AuthService!J11</f>
        <v>Pass</v>
      </c>
      <c r="H11" s="34" t="str">
        <f>AuthService!K11</f>
        <v/>
      </c>
      <c r="I11" s="35" t="str">
        <f>AuthService!M11</f>
        <v/>
      </c>
    </row>
    <row r="12">
      <c r="A12" s="27" t="s">
        <v>133</v>
      </c>
      <c r="B12" s="28" t="s">
        <v>80</v>
      </c>
      <c r="C12" s="28" t="s">
        <v>145</v>
      </c>
      <c r="D12" s="28" t="s">
        <v>138</v>
      </c>
      <c r="E12" s="23" t="s">
        <v>15</v>
      </c>
      <c r="F12" s="28" t="s">
        <v>55</v>
      </c>
      <c r="G12" s="39" t="str">
        <f>AuthService!J12</f>
        <v>Pass</v>
      </c>
      <c r="H12" s="40" t="str">
        <f>AuthService!K12</f>
        <v/>
      </c>
      <c r="I12" s="35" t="str">
        <f>AuthService!M12</f>
        <v/>
      </c>
    </row>
    <row r="13">
      <c r="A13" s="18" t="s">
        <v>156</v>
      </c>
      <c r="B13" s="21" t="s">
        <v>80</v>
      </c>
      <c r="C13" s="21" t="s">
        <v>184</v>
      </c>
      <c r="D13" s="21" t="s">
        <v>160</v>
      </c>
      <c r="E13" s="23" t="s">
        <v>15</v>
      </c>
      <c r="F13" s="21" t="s">
        <v>55</v>
      </c>
      <c r="G13" s="33" t="str">
        <f>AuthService!J14</f>
        <v>Pass</v>
      </c>
      <c r="H13" s="34" t="str">
        <f>AuthService!K14</f>
        <v/>
      </c>
      <c r="I13" s="35" t="str">
        <f>AuthService!M14</f>
        <v/>
      </c>
    </row>
    <row r="14">
      <c r="A14" s="27" t="s">
        <v>171</v>
      </c>
      <c r="B14" s="28" t="s">
        <v>80</v>
      </c>
      <c r="C14" s="28" t="s">
        <v>184</v>
      </c>
      <c r="D14" s="28" t="s">
        <v>174</v>
      </c>
      <c r="E14" s="23" t="s">
        <v>15</v>
      </c>
      <c r="F14" s="41" t="s">
        <v>56</v>
      </c>
      <c r="G14" s="39" t="str">
        <f>AuthService!J15</f>
        <v>Pass</v>
      </c>
      <c r="H14" s="40" t="str">
        <f>AuthService!K15</f>
        <v/>
      </c>
      <c r="I14" s="35" t="str">
        <f>AuthService!M15</f>
        <v/>
      </c>
    </row>
    <row r="15">
      <c r="A15" s="18" t="s">
        <v>179</v>
      </c>
      <c r="B15" s="21" t="s">
        <v>80</v>
      </c>
      <c r="C15" s="21" t="s">
        <v>184</v>
      </c>
      <c r="D15" s="21" t="s">
        <v>174</v>
      </c>
      <c r="E15" s="32" t="s">
        <v>25</v>
      </c>
      <c r="F15" s="25" t="s">
        <v>56</v>
      </c>
      <c r="G15" s="33" t="str">
        <f>AuthService!J16</f>
        <v>Pass</v>
      </c>
      <c r="H15" s="34" t="str">
        <f>AuthService!K16</f>
        <v/>
      </c>
      <c r="I15" s="35" t="str">
        <f>AuthService!M16</f>
        <v/>
      </c>
    </row>
    <row r="16" ht="24.0" customHeight="1">
      <c r="A16" s="27" t="s">
        <v>193</v>
      </c>
      <c r="B16" s="28" t="s">
        <v>80</v>
      </c>
      <c r="C16" s="28" t="s">
        <v>220</v>
      </c>
      <c r="D16" s="28" t="s">
        <v>196</v>
      </c>
      <c r="E16" s="30" t="s">
        <v>25</v>
      </c>
      <c r="F16" s="28" t="s">
        <v>55</v>
      </c>
      <c r="G16" s="39" t="str">
        <f>AuthService!J18</f>
        <v>Pass</v>
      </c>
      <c r="H16" s="40" t="str">
        <f>AuthService!K18</f>
        <v/>
      </c>
      <c r="I16" s="35" t="str">
        <f>AuthService!M18</f>
        <v>✅ ĐÃ FIX
AuthService.cs:278 dùng IGoogleTokenValidator (DI) thay vì static call nên mock được; logic auto-create + AutoAssignCustomerAsync đúng (278-320).</v>
      </c>
    </row>
    <row r="17" ht="15.75" customHeight="1">
      <c r="A17" s="18" t="s">
        <v>206</v>
      </c>
      <c r="B17" s="21" t="s">
        <v>80</v>
      </c>
      <c r="C17" s="21" t="s">
        <v>220</v>
      </c>
      <c r="D17" s="21" t="s">
        <v>210</v>
      </c>
      <c r="E17" s="32" t="s">
        <v>25</v>
      </c>
      <c r="F17" s="21" t="s">
        <v>55</v>
      </c>
      <c r="G17" s="33" t="str">
        <f>AuthService!J19</f>
        <v>Pass</v>
      </c>
      <c r="H17" s="34" t="str">
        <f>AuthService!K19</f>
        <v/>
      </c>
      <c r="I17" s="35" t="str">
        <f>AuthService!M19</f>
        <v>✅ ĐÃ FIX
Cùng cơ chế DI ở trên; nhánh user đã tồn tại (286-299) không gọi AddAsync.</v>
      </c>
    </row>
    <row r="18" ht="15.75" customHeight="1">
      <c r="A18" s="27" t="s">
        <v>223</v>
      </c>
      <c r="B18" s="28" t="s">
        <v>80</v>
      </c>
      <c r="C18" s="28" t="s">
        <v>233</v>
      </c>
      <c r="D18" s="28" t="s">
        <v>174</v>
      </c>
      <c r="E18" s="23" t="s">
        <v>15</v>
      </c>
      <c r="F18" s="28" t="s">
        <v>55</v>
      </c>
      <c r="G18" s="39" t="str">
        <f>AuthService!J21</f>
        <v>Pass</v>
      </c>
      <c r="H18" s="40" t="str">
        <f>AuthService!K21</f>
        <v/>
      </c>
      <c r="I18" s="35" t="str">
        <f>AuthService!M21</f>
        <v/>
      </c>
    </row>
    <row r="19" ht="15.75" customHeight="1">
      <c r="A19" s="18" t="s">
        <v>228</v>
      </c>
      <c r="B19" s="21" t="s">
        <v>80</v>
      </c>
      <c r="C19" s="21" t="s">
        <v>233</v>
      </c>
      <c r="D19" s="21" t="s">
        <v>174</v>
      </c>
      <c r="E19" s="23" t="s">
        <v>15</v>
      </c>
      <c r="F19" s="25" t="s">
        <v>56</v>
      </c>
      <c r="G19" s="33" t="str">
        <f>AuthService!J22</f>
        <v>Pass</v>
      </c>
      <c r="H19" s="34" t="str">
        <f>AuthService!K22</f>
        <v/>
      </c>
      <c r="I19" s="35" t="str">
        <f>AuthService!M22</f>
        <v/>
      </c>
    </row>
    <row r="20" ht="15.75" customHeight="1">
      <c r="A20" s="27" t="s">
        <v>235</v>
      </c>
      <c r="B20" s="28" t="s">
        <v>80</v>
      </c>
      <c r="C20" s="28" t="s">
        <v>245</v>
      </c>
      <c r="D20" s="28" t="s">
        <v>174</v>
      </c>
      <c r="E20" s="23" t="s">
        <v>15</v>
      </c>
      <c r="F20" s="41" t="s">
        <v>56</v>
      </c>
      <c r="G20" s="39" t="str">
        <f>AuthService!J24</f>
        <v>Pass</v>
      </c>
      <c r="H20" s="40" t="str">
        <f>AuthService!K24</f>
        <v/>
      </c>
      <c r="I20" s="35" t="str">
        <f>AuthService!M24</f>
        <v/>
      </c>
    </row>
    <row r="21" ht="15.75" customHeight="1">
      <c r="A21" s="18" t="s">
        <v>240</v>
      </c>
      <c r="B21" s="21" t="s">
        <v>80</v>
      </c>
      <c r="C21" s="21" t="s">
        <v>245</v>
      </c>
      <c r="D21" s="21" t="s">
        <v>174</v>
      </c>
      <c r="E21" s="23" t="s">
        <v>15</v>
      </c>
      <c r="F21" s="21" t="s">
        <v>55</v>
      </c>
      <c r="G21" s="33" t="str">
        <f>AuthService!J25</f>
        <v>Pass</v>
      </c>
      <c r="H21" s="34" t="str">
        <f>AuthService!K25</f>
        <v/>
      </c>
      <c r="I21" s="35" t="str">
        <f>AuthService!M25</f>
        <v/>
      </c>
    </row>
    <row r="22" ht="15.75" customHeight="1">
      <c r="A22" s="27" t="s">
        <v>247</v>
      </c>
      <c r="B22" s="28" t="s">
        <v>80</v>
      </c>
      <c r="C22" s="28" t="s">
        <v>245</v>
      </c>
      <c r="D22" s="28" t="s">
        <v>174</v>
      </c>
      <c r="E22" s="30" t="s">
        <v>25</v>
      </c>
      <c r="F22" s="28" t="s">
        <v>55</v>
      </c>
      <c r="G22" s="39" t="str">
        <f>AuthService!J26</f>
        <v>Pass</v>
      </c>
      <c r="H22" s="40" t="str">
        <f>AuthService!K26</f>
        <v/>
      </c>
      <c r="I22" s="35" t="str">
        <f>AuthService!M26</f>
        <v/>
      </c>
    </row>
    <row r="23" ht="15.75" customHeight="1">
      <c r="A23" s="18" t="s">
        <v>260</v>
      </c>
      <c r="B23" s="21" t="s">
        <v>80</v>
      </c>
      <c r="C23" s="21" t="s">
        <v>277</v>
      </c>
      <c r="D23" s="21" t="s">
        <v>264</v>
      </c>
      <c r="E23" s="23" t="s">
        <v>15</v>
      </c>
      <c r="F23" s="21" t="s">
        <v>55</v>
      </c>
      <c r="G23" s="33" t="str">
        <f>AuthService!J28</f>
        <v>Pass</v>
      </c>
      <c r="H23" s="34" t="str">
        <f>AuthService!K28</f>
        <v/>
      </c>
      <c r="I23" s="35" t="str">
        <f>AuthService!M28</f>
        <v>✅ ĐÃ FIX
AuthService.cs:504-505 lưu HASH (BCrypt) thay vì OTP thô; SendSmsAsync gọi đúng 1 lần (517).</v>
      </c>
    </row>
    <row r="24" ht="15.75" customHeight="1">
      <c r="A24" s="27" t="s">
        <v>279</v>
      </c>
      <c r="B24" s="28" t="s">
        <v>80</v>
      </c>
      <c r="C24" s="28" t="s">
        <v>277</v>
      </c>
      <c r="D24" s="28" t="s">
        <v>284</v>
      </c>
      <c r="E24" s="23" t="s">
        <v>15</v>
      </c>
      <c r="F24" s="41" t="s">
        <v>56</v>
      </c>
      <c r="G24" s="39" t="str">
        <f>AuthService!J29</f>
        <v>Pass</v>
      </c>
      <c r="H24" s="40" t="str">
        <f>AuthService!K29</f>
        <v/>
      </c>
      <c r="I24" s="35" t="str">
        <f>AuthService!M29</f>
        <v>✅ ĐÃ FIX
AuthService.cs:486-493 chặn resend trước 60s, SMS không được gọi.</v>
      </c>
    </row>
    <row r="25" ht="15.75" customHeight="1">
      <c r="A25" s="18" t="s">
        <v>294</v>
      </c>
      <c r="B25" s="21" t="s">
        <v>80</v>
      </c>
      <c r="C25" s="21" t="s">
        <v>277</v>
      </c>
      <c r="D25" s="21" t="s">
        <v>299</v>
      </c>
      <c r="E25" s="23" t="s">
        <v>15</v>
      </c>
      <c r="F25" s="21" t="s">
        <v>55</v>
      </c>
      <c r="G25" s="33" t="str">
        <f>AuthService!J30</f>
        <v>Pass</v>
      </c>
      <c r="H25" s="34" t="str">
        <f>AuthService!K30</f>
        <v/>
      </c>
      <c r="I25" s="35" t="str">
        <f>AuthService!M30</f>
        <v>✅ Pass (không đổi)</v>
      </c>
    </row>
    <row r="26" ht="15.75" customHeight="1">
      <c r="A26" s="27" t="s">
        <v>304</v>
      </c>
      <c r="B26" s="28" t="s">
        <v>80</v>
      </c>
      <c r="C26" s="28" t="s">
        <v>277</v>
      </c>
      <c r="D26" s="28" t="s">
        <v>307</v>
      </c>
      <c r="E26" s="23" t="s">
        <v>15</v>
      </c>
      <c r="F26" s="41" t="s">
        <v>56</v>
      </c>
      <c r="G26" s="39" t="str">
        <f>AuthService!J31</f>
        <v>Pass</v>
      </c>
      <c r="H26" s="40" t="str">
        <f>AuthService!K31</f>
        <v/>
      </c>
      <c r="I26" s="35" t="str">
        <f>AuthService!M31</f>
        <v>⚠ FIX MỘT PHẦN
Giới hạn 5 lần/30 phút đã có (495-502) nhưng KHÔNG có giới hạn 10 lần/ngày cho OTP điện thoại (User.cs thiếu field ngày cho Phone OTP).</v>
      </c>
    </row>
    <row r="27" ht="15.75" customHeight="1">
      <c r="A27" s="18" t="s">
        <v>311</v>
      </c>
      <c r="B27" s="21" t="s">
        <v>80</v>
      </c>
      <c r="C27" s="21" t="s">
        <v>277</v>
      </c>
      <c r="D27" s="21" t="s">
        <v>314</v>
      </c>
      <c r="E27" s="23" t="s">
        <v>15</v>
      </c>
      <c r="F27" s="21" t="s">
        <v>55</v>
      </c>
      <c r="G27" s="33" t="str">
        <f>AuthService!J32</f>
        <v>Pass</v>
      </c>
      <c r="H27" s="34" t="str">
        <f>AuthService!K32</f>
        <v/>
      </c>
      <c r="I27" s="35" t="str">
        <f>AuthService!M32</f>
        <v>✅ Pass (không đổi)</v>
      </c>
    </row>
    <row r="28" ht="15.75" customHeight="1">
      <c r="A28" s="27" t="s">
        <v>318</v>
      </c>
      <c r="B28" s="28" t="s">
        <v>80</v>
      </c>
      <c r="C28" s="28" t="s">
        <v>277</v>
      </c>
      <c r="D28" s="28" t="s">
        <v>284</v>
      </c>
      <c r="E28" s="23" t="s">
        <v>15</v>
      </c>
      <c r="F28" s="41" t="s">
        <v>56</v>
      </c>
      <c r="G28" s="39" t="str">
        <f>AuthService!J33</f>
        <v>Pass</v>
      </c>
      <c r="H28" s="40" t="str">
        <f>AuthService!K33</f>
        <v/>
      </c>
      <c r="I28" s="35" t="str">
        <f>AuthService!M33</f>
        <v>✅ Pass (không đổi)</v>
      </c>
    </row>
    <row r="29" ht="15.75" customHeight="1">
      <c r="A29" s="18" t="s">
        <v>322</v>
      </c>
      <c r="B29" s="21" t="s">
        <v>80</v>
      </c>
      <c r="C29" s="21" t="s">
        <v>277</v>
      </c>
      <c r="D29" s="21" t="s">
        <v>284</v>
      </c>
      <c r="E29" s="23" t="s">
        <v>15</v>
      </c>
      <c r="F29" s="25" t="s">
        <v>56</v>
      </c>
      <c r="G29" s="33" t="str">
        <f>AuthService!J34</f>
        <v>Pass</v>
      </c>
      <c r="H29" s="34" t="str">
        <f>AuthService!K34</f>
        <v/>
      </c>
      <c r="I29" s="35" t="str">
        <f>AuthService!M34</f>
        <v>✅ ĐÃ FIX
AuthService.cs:530-539 khoá sau 5 lần sai, trả OTP_ATTEMPT_LIMIT_REACHED ở lần 6.</v>
      </c>
    </row>
    <row r="30" ht="15.75" customHeight="1">
      <c r="A30" s="27" t="s">
        <v>328</v>
      </c>
      <c r="B30" s="28" t="s">
        <v>80</v>
      </c>
      <c r="C30" s="28" t="s">
        <v>277</v>
      </c>
      <c r="D30" s="28" t="s">
        <v>330</v>
      </c>
      <c r="E30" s="23" t="s">
        <v>15</v>
      </c>
      <c r="F30" s="28" t="s">
        <v>55</v>
      </c>
      <c r="G30" s="39" t="str">
        <f>AuthService!J35</f>
        <v>Pass</v>
      </c>
      <c r="H30" s="40" t="str">
        <f>AuthService!K35</f>
        <v/>
      </c>
      <c r="I30" s="35" t="str">
        <f>AuthService!M35</f>
        <v>✅ Pass (không đổi)</v>
      </c>
    </row>
    <row r="31" ht="15.75" customHeight="1">
      <c r="A31" s="18" t="s">
        <v>334</v>
      </c>
      <c r="B31" s="21" t="s">
        <v>80</v>
      </c>
      <c r="C31" s="21" t="s">
        <v>277</v>
      </c>
      <c r="D31" s="21" t="s">
        <v>336</v>
      </c>
      <c r="E31" s="32" t="s">
        <v>25</v>
      </c>
      <c r="F31" s="21" t="s">
        <v>55</v>
      </c>
      <c r="G31" s="33" t="str">
        <f>AuthService!J36</f>
        <v>Pass</v>
      </c>
      <c r="H31" s="34" t="str">
        <f>AuthService!K36</f>
        <v/>
      </c>
      <c r="I31" s="35" t="str">
        <f>AuthService!M36</f>
        <v>✅ Pass (không đổi)</v>
      </c>
    </row>
    <row r="32" ht="15.75" customHeight="1">
      <c r="A32" s="27" t="s">
        <v>340</v>
      </c>
      <c r="B32" s="28" t="s">
        <v>80</v>
      </c>
      <c r="C32" s="28" t="s">
        <v>341</v>
      </c>
      <c r="D32" s="28" t="s">
        <v>342</v>
      </c>
      <c r="E32" s="23" t="s">
        <v>15</v>
      </c>
      <c r="F32" s="41" t="s">
        <v>56</v>
      </c>
      <c r="G32" s="39" t="str">
        <f>AuthService!J41</f>
        <v>Pass</v>
      </c>
      <c r="H32" s="40" t="str">
        <f>AuthService!K41</f>
        <v/>
      </c>
      <c r="I32" s="35" t="str">
        <f>AuthService!M41</f>
        <v>✅ ĐÃ FIX
ResendEmailOtpAsync (169-170) trả thông điệp CHUNG cho email không tồn tại, không gọi emailService.</v>
      </c>
    </row>
    <row r="33" ht="15.75" customHeight="1">
      <c r="A33" s="18" t="s">
        <v>343</v>
      </c>
      <c r="B33" s="21" t="s">
        <v>80</v>
      </c>
      <c r="C33" s="21" t="s">
        <v>341</v>
      </c>
      <c r="D33" s="21" t="s">
        <v>345</v>
      </c>
      <c r="E33" s="23" t="s">
        <v>15</v>
      </c>
      <c r="F33" s="25" t="s">
        <v>56</v>
      </c>
      <c r="G33" s="33" t="str">
        <f>AuthService!J42</f>
        <v>Pass</v>
      </c>
      <c r="H33" s="34" t="str">
        <f>AuthService!K42</f>
        <v/>
      </c>
      <c r="I33" s="35" t="str">
        <f>AuthService!M42</f>
        <v>✅ Pass (không đổi)</v>
      </c>
    </row>
    <row r="34" ht="15.75" customHeight="1">
      <c r="A34" s="27" t="s">
        <v>353</v>
      </c>
      <c r="B34" s="28" t="s">
        <v>80</v>
      </c>
      <c r="C34" s="28" t="s">
        <v>341</v>
      </c>
      <c r="D34" s="28" t="s">
        <v>138</v>
      </c>
      <c r="E34" s="23" t="s">
        <v>15</v>
      </c>
      <c r="F34" s="28" t="s">
        <v>55</v>
      </c>
      <c r="G34" s="39" t="str">
        <f>AuthService!J43</f>
        <v>Pass</v>
      </c>
      <c r="H34" s="40" t="str">
        <f>AuthService!K43</f>
        <v/>
      </c>
      <c r="I34" s="35" t="str">
        <f>AuthService!M43</f>
        <v>⚠ FIX MỘT PHẦN
OTP mới + hash + gửi đúng 1 lần OK, nhưng hạn dùng const cứng EmailOtpValidityMinutes=5 (dòng 155), KHÔNG đọc từ SystemConfig OTP_EXPIRE_MINUTES.</v>
      </c>
    </row>
    <row r="35" ht="15.75" customHeight="1">
      <c r="A35" s="18" t="s">
        <v>357</v>
      </c>
      <c r="B35" s="21" t="s">
        <v>80</v>
      </c>
      <c r="C35" s="21" t="s">
        <v>341</v>
      </c>
      <c r="D35" s="21" t="s">
        <v>359</v>
      </c>
      <c r="E35" s="23" t="s">
        <v>15</v>
      </c>
      <c r="F35" s="25" t="s">
        <v>56</v>
      </c>
      <c r="G35" s="33" t="str">
        <f>AuthService!J44</f>
        <v>Pass</v>
      </c>
      <c r="H35" s="34" t="str">
        <f>AuthService!K44</f>
        <v/>
      </c>
      <c r="I35" s="35" t="str">
        <f>AuthService!M44</f>
        <v>⚠ FIX MỘT PHẦN
Hành vi throttle 59/60/61s đúng nhưng ngưỡng là const cứng EmailOtpResendCooldownSeconds=60 (156), không đọc SystemConfig OTP_RESEND_SECONDS.</v>
      </c>
    </row>
    <row r="36" ht="15.75" customHeight="1">
      <c r="A36" s="27" t="s">
        <v>363</v>
      </c>
      <c r="B36" s="28" t="s">
        <v>80</v>
      </c>
      <c r="C36" s="28" t="s">
        <v>341</v>
      </c>
      <c r="D36" s="28" t="s">
        <v>359</v>
      </c>
      <c r="E36" s="23" t="s">
        <v>15</v>
      </c>
      <c r="F36" s="41" t="s">
        <v>56</v>
      </c>
      <c r="G36" s="39" t="str">
        <f>AuthService!J45</f>
        <v>Pass</v>
      </c>
      <c r="H36" s="40" t="str">
        <f>AuthService!K45</f>
        <v/>
      </c>
      <c r="I36" s="35" t="str">
        <f>AuthService!M45</f>
        <v>⚠ FIX MỘT PHẦN
Chặn đúng ở lần 6/30 phút nhưng giới hạn là const cứng EmailOtpMaxSendsPerWindow=5 (157), không đọc SystemConfig OTP_MAX_ATTEMPTS.</v>
      </c>
    </row>
    <row r="37" ht="15.75" customHeight="1">
      <c r="A37" s="18" t="s">
        <v>374</v>
      </c>
      <c r="B37" s="21" t="s">
        <v>80</v>
      </c>
      <c r="C37" s="21" t="s">
        <v>341</v>
      </c>
      <c r="D37" s="21" t="s">
        <v>359</v>
      </c>
      <c r="E37" s="23" t="s">
        <v>15</v>
      </c>
      <c r="F37" s="25" t="s">
        <v>56</v>
      </c>
      <c r="G37" s="33" t="str">
        <f>AuthService!J46</f>
        <v>Pass</v>
      </c>
      <c r="H37" s="34" t="str">
        <f>AuthService!K46</f>
        <v/>
      </c>
      <c r="I37" s="35" t="str">
        <f>AuthService!M46</f>
        <v>⚠ FIX MỘT PHẦN
Chặn đúng ở lần 11/ngày nhưng giới hạn là const cứng EmailOtpMaxSendsPerDay=10 (159), không đọc SystemConfig.</v>
      </c>
    </row>
    <row r="38" ht="15.75" customHeight="1">
      <c r="A38" s="27" t="s">
        <v>382</v>
      </c>
      <c r="B38" s="28" t="s">
        <v>80</v>
      </c>
      <c r="C38" s="28" t="s">
        <v>341</v>
      </c>
      <c r="D38" s="28" t="s">
        <v>385</v>
      </c>
      <c r="E38" s="23" t="s">
        <v>15</v>
      </c>
      <c r="F38" s="41" t="s">
        <v>56</v>
      </c>
      <c r="G38" s="39" t="str">
        <f>AuthService!J47</f>
        <v>Pass</v>
      </c>
      <c r="H38" s="40" t="str">
        <f>AuthService!K47</f>
        <v/>
      </c>
      <c r="I38" s="35" t="str">
        <f>AuthService!M47</f>
        <v>✅ Pass (không đổi)</v>
      </c>
    </row>
    <row r="39" ht="15.75" customHeight="1">
      <c r="A39" s="18" t="s">
        <v>390</v>
      </c>
      <c r="B39" s="21" t="s">
        <v>80</v>
      </c>
      <c r="C39" s="21" t="s">
        <v>341</v>
      </c>
      <c r="D39" s="21" t="s">
        <v>174</v>
      </c>
      <c r="E39" s="23" t="s">
        <v>15</v>
      </c>
      <c r="F39" s="21" t="s">
        <v>55</v>
      </c>
      <c r="G39" s="33" t="str">
        <f>AuthService!J48</f>
        <v>Pass</v>
      </c>
      <c r="H39" s="34" t="str">
        <f>AuthService!K48</f>
        <v/>
      </c>
      <c r="I39" s="35" t="str">
        <f>AuthService!M48</f>
        <v>✅ Pass (không đổi)</v>
      </c>
    </row>
    <row r="40" ht="15.75" customHeight="1">
      <c r="A40" s="27" t="s">
        <v>39</v>
      </c>
      <c r="B40" s="28" t="s">
        <v>400</v>
      </c>
      <c r="C40" s="28" t="s">
        <v>401</v>
      </c>
      <c r="D40" s="28" t="s">
        <v>45</v>
      </c>
      <c r="E40" s="23" t="s">
        <v>15</v>
      </c>
      <c r="F40" s="28" t="s">
        <v>55</v>
      </c>
      <c r="G40" s="39" t="str">
        <f>CartService!J6</f>
        <v>Pass</v>
      </c>
      <c r="H40" s="40" t="str">
        <f>CartService!K6</f>
        <v/>
      </c>
      <c r="I40" s="35" t="str">
        <f>CartService!M6</f>
        <v>✅ Pass (không đổi)</v>
      </c>
    </row>
    <row r="41" ht="15.75" customHeight="1">
      <c r="A41" s="18" t="s">
        <v>63</v>
      </c>
      <c r="B41" s="21" t="s">
        <v>400</v>
      </c>
      <c r="C41" s="21" t="s">
        <v>401</v>
      </c>
      <c r="D41" s="21" t="s">
        <v>69</v>
      </c>
      <c r="E41" s="32" t="s">
        <v>25</v>
      </c>
      <c r="F41" s="21" t="s">
        <v>55</v>
      </c>
      <c r="G41" s="33" t="str">
        <f>CartService!J7</f>
        <v>Pass</v>
      </c>
      <c r="H41" s="34" t="str">
        <f>CartService!K7</f>
        <v/>
      </c>
      <c r="I41" s="35" t="str">
        <f>CartService!M7</f>
        <v>✅ Pass (không đổi)</v>
      </c>
    </row>
    <row r="42" ht="15.75" customHeight="1">
      <c r="A42" s="27" t="s">
        <v>86</v>
      </c>
      <c r="B42" s="28" t="s">
        <v>400</v>
      </c>
      <c r="C42" s="28" t="s">
        <v>401</v>
      </c>
      <c r="D42" s="28" t="s">
        <v>89</v>
      </c>
      <c r="E42" s="23" t="s">
        <v>15</v>
      </c>
      <c r="F42" s="28" t="s">
        <v>55</v>
      </c>
      <c r="G42" s="39" t="str">
        <f>CartService!J8</f>
        <v>Pass</v>
      </c>
      <c r="H42" s="40" t="str">
        <f>CartService!K8</f>
        <v/>
      </c>
      <c r="I42" s="35" t="str">
        <f>CartService!M8</f>
        <v>✅ Pass (không đổi)</v>
      </c>
    </row>
    <row r="43" ht="15.75" customHeight="1">
      <c r="A43" s="18" t="s">
        <v>99</v>
      </c>
      <c r="B43" s="21" t="s">
        <v>400</v>
      </c>
      <c r="C43" s="21" t="s">
        <v>401</v>
      </c>
      <c r="D43" s="21" t="s">
        <v>103</v>
      </c>
      <c r="E43" s="23" t="s">
        <v>15</v>
      </c>
      <c r="F43" s="21" t="s">
        <v>55</v>
      </c>
      <c r="G43" s="33" t="str">
        <f>CartService!J9</f>
        <v>Pass</v>
      </c>
      <c r="H43" s="34" t="str">
        <f>CartService!K9</f>
        <v/>
      </c>
      <c r="I43" s="35" t="str">
        <f>CartService!M9</f>
        <v>✅ Pass (không đổi)</v>
      </c>
    </row>
    <row r="44" ht="15.75" customHeight="1">
      <c r="A44" s="27" t="s">
        <v>117</v>
      </c>
      <c r="B44" s="28" t="s">
        <v>400</v>
      </c>
      <c r="C44" s="28" t="s">
        <v>436</v>
      </c>
      <c r="D44" s="28" t="s">
        <v>122</v>
      </c>
      <c r="E44" s="23" t="s">
        <v>15</v>
      </c>
      <c r="F44" s="28" t="s">
        <v>55</v>
      </c>
      <c r="G44" s="39" t="str">
        <f>CartService!J11</f>
        <v>Pass</v>
      </c>
      <c r="H44" s="40" t="str">
        <f>CartService!K11</f>
        <v/>
      </c>
      <c r="I44" s="35" t="str">
        <f>CartService!M11</f>
        <v>✅ Pass (không đổi)</v>
      </c>
    </row>
    <row r="45" ht="15.75" customHeight="1">
      <c r="A45" s="18" t="s">
        <v>132</v>
      </c>
      <c r="B45" s="21" t="s">
        <v>400</v>
      </c>
      <c r="C45" s="21" t="s">
        <v>436</v>
      </c>
      <c r="D45" s="21" t="s">
        <v>69</v>
      </c>
      <c r="E45" s="23" t="s">
        <v>15</v>
      </c>
      <c r="F45" s="21" t="s">
        <v>55</v>
      </c>
      <c r="G45" s="33" t="str">
        <f>CartService!J12</f>
        <v>Pass</v>
      </c>
      <c r="H45" s="34" t="str">
        <f>CartService!K12</f>
        <v/>
      </c>
      <c r="I45" s="35" t="str">
        <f>CartService!M12</f>
        <v>✅ Pass (không đổi)</v>
      </c>
    </row>
    <row r="46" ht="15.75" customHeight="1">
      <c r="A46" s="27" t="s">
        <v>148</v>
      </c>
      <c r="B46" s="28" t="s">
        <v>400</v>
      </c>
      <c r="C46" s="28" t="s">
        <v>436</v>
      </c>
      <c r="D46" s="28" t="s">
        <v>69</v>
      </c>
      <c r="E46" s="23" t="s">
        <v>15</v>
      </c>
      <c r="F46" s="41" t="s">
        <v>56</v>
      </c>
      <c r="G46" s="39" t="str">
        <f>CartService!J13</f>
        <v>Pass</v>
      </c>
      <c r="H46" s="40" t="str">
        <f>CartService!K13</f>
        <v/>
      </c>
      <c r="I46" s="35" t="str">
        <f>CartService!M13</f>
        <v>✅ Pass (không đổi)</v>
      </c>
    </row>
    <row r="47" ht="15.75" customHeight="1">
      <c r="A47" s="18" t="s">
        <v>163</v>
      </c>
      <c r="B47" s="21" t="s">
        <v>400</v>
      </c>
      <c r="C47" s="21" t="s">
        <v>436</v>
      </c>
      <c r="D47" s="21" t="s">
        <v>166</v>
      </c>
      <c r="E47" s="23" t="s">
        <v>15</v>
      </c>
      <c r="F47" s="25" t="s">
        <v>56</v>
      </c>
      <c r="G47" s="33" t="str">
        <f>CartService!J14</f>
        <v>Pass</v>
      </c>
      <c r="H47" s="34" t="str">
        <f>CartService!K14</f>
        <v/>
      </c>
      <c r="I47" s="35" t="str">
        <f>CartService!M14</f>
        <v>✅ Pass (không đổi)</v>
      </c>
    </row>
    <row r="48" ht="15.75" customHeight="1">
      <c r="A48" s="27" t="s">
        <v>180</v>
      </c>
      <c r="B48" s="28" t="s">
        <v>400</v>
      </c>
      <c r="C48" s="28" t="s">
        <v>465</v>
      </c>
      <c r="D48" s="28" t="s">
        <v>183</v>
      </c>
      <c r="E48" s="23" t="s">
        <v>15</v>
      </c>
      <c r="F48" s="41" t="s">
        <v>56</v>
      </c>
      <c r="G48" s="39" t="str">
        <f>CartService!J16</f>
        <v>Pass</v>
      </c>
      <c r="H48" s="40" t="str">
        <f>CartService!K16</f>
        <v/>
      </c>
      <c r="I48" s="35" t="str">
        <f>CartService!M16</f>
        <v>✅ Pass (không đổi)</v>
      </c>
    </row>
    <row r="49" ht="15.75" customHeight="1">
      <c r="A49" s="18" t="s">
        <v>192</v>
      </c>
      <c r="B49" s="21" t="s">
        <v>400</v>
      </c>
      <c r="C49" s="21" t="s">
        <v>465</v>
      </c>
      <c r="D49" s="21" t="s">
        <v>69</v>
      </c>
      <c r="E49" s="32" t="s">
        <v>25</v>
      </c>
      <c r="F49" s="21" t="s">
        <v>55</v>
      </c>
      <c r="G49" s="33" t="str">
        <f>CartService!J17</f>
        <v>Pass</v>
      </c>
      <c r="H49" s="34" t="str">
        <f>CartService!K17</f>
        <v/>
      </c>
      <c r="I49" s="35" t="str">
        <f>CartService!M17</f>
        <v>✅ Pass (không đổi)</v>
      </c>
    </row>
    <row r="50" ht="15.75" customHeight="1">
      <c r="A50" s="27" t="s">
        <v>254</v>
      </c>
      <c r="B50" s="28" t="s">
        <v>489</v>
      </c>
      <c r="C50" s="28" t="s">
        <v>491</v>
      </c>
      <c r="D50" s="28" t="s">
        <v>256</v>
      </c>
      <c r="E50" s="30" t="s">
        <v>25</v>
      </c>
      <c r="F50" s="28" t="s">
        <v>55</v>
      </c>
      <c r="G50" s="39" t="str">
        <f>ProductService!J6</f>
        <v>Pass</v>
      </c>
      <c r="H50" s="40" t="str">
        <f>ProductService!K6</f>
        <v/>
      </c>
      <c r="I50" s="35" t="str">
        <f>ProductService!M6</f>
        <v/>
      </c>
    </row>
    <row r="51" ht="15.75" customHeight="1">
      <c r="A51" s="18" t="s">
        <v>261</v>
      </c>
      <c r="B51" s="21" t="s">
        <v>489</v>
      </c>
      <c r="C51" s="21" t="s">
        <v>491</v>
      </c>
      <c r="D51" s="21" t="s">
        <v>256</v>
      </c>
      <c r="E51" s="32" t="s">
        <v>25</v>
      </c>
      <c r="F51" s="21" t="s">
        <v>55</v>
      </c>
      <c r="G51" s="33" t="str">
        <f>ProductService!J7</f>
        <v>Pass</v>
      </c>
      <c r="H51" s="34" t="str">
        <f>ProductService!K7</f>
        <v/>
      </c>
      <c r="I51" s="35" t="str">
        <f>ProductService!M7</f>
        <v/>
      </c>
    </row>
    <row r="52" ht="15.75" customHeight="1">
      <c r="A52" s="27" t="s">
        <v>270</v>
      </c>
      <c r="B52" s="28" t="s">
        <v>489</v>
      </c>
      <c r="C52" s="28" t="s">
        <v>491</v>
      </c>
      <c r="D52" s="28" t="s">
        <v>273</v>
      </c>
      <c r="E52" s="23" t="s">
        <v>15</v>
      </c>
      <c r="F52" s="28" t="s">
        <v>55</v>
      </c>
      <c r="G52" s="39" t="str">
        <f>ProductService!J8</f>
        <v>Pass</v>
      </c>
      <c r="H52" s="40" t="str">
        <f>ProductService!K8</f>
        <v/>
      </c>
      <c r="I52" s="35" t="str">
        <f>ProductService!M8</f>
        <v/>
      </c>
    </row>
    <row r="53" ht="15.75" customHeight="1">
      <c r="A53" s="18" t="s">
        <v>281</v>
      </c>
      <c r="B53" s="21" t="s">
        <v>489</v>
      </c>
      <c r="C53" s="21" t="s">
        <v>491</v>
      </c>
      <c r="D53" s="21" t="s">
        <v>256</v>
      </c>
      <c r="E53" s="32" t="s">
        <v>32</v>
      </c>
      <c r="F53" s="21" t="s">
        <v>55</v>
      </c>
      <c r="G53" s="33" t="str">
        <f>ProductService!J9</f>
        <v>Pass</v>
      </c>
      <c r="H53" s="34" t="str">
        <f>ProductService!K9</f>
        <v/>
      </c>
      <c r="I53" s="35" t="str">
        <f>ProductService!M9</f>
        <v/>
      </c>
    </row>
    <row r="54" ht="15.75" customHeight="1">
      <c r="A54" s="27" t="s">
        <v>293</v>
      </c>
      <c r="B54" s="28" t="s">
        <v>489</v>
      </c>
      <c r="C54" s="28" t="s">
        <v>534</v>
      </c>
      <c r="D54" s="28" t="s">
        <v>256</v>
      </c>
      <c r="E54" s="30" t="s">
        <v>25</v>
      </c>
      <c r="F54" s="28" t="s">
        <v>55</v>
      </c>
      <c r="G54" s="39" t="str">
        <f>ProductService!J11</f>
        <v>Pass</v>
      </c>
      <c r="H54" s="40" t="str">
        <f>ProductService!K11</f>
        <v/>
      </c>
      <c r="I54" s="35" t="str">
        <f>ProductService!M11</f>
        <v/>
      </c>
    </row>
    <row r="55" ht="15.75" customHeight="1">
      <c r="A55" s="18" t="s">
        <v>368</v>
      </c>
      <c r="B55" s="21" t="s">
        <v>545</v>
      </c>
      <c r="C55" s="21" t="s">
        <v>548</v>
      </c>
      <c r="D55" s="21" t="s">
        <v>370</v>
      </c>
      <c r="E55" s="23" t="s">
        <v>15</v>
      </c>
      <c r="F55" s="21" t="s">
        <v>55</v>
      </c>
      <c r="G55" s="33" t="str">
        <f>OrderService!J6</f>
        <v>Pass</v>
      </c>
      <c r="H55" s="34" t="str">
        <f>OrderService!K6</f>
        <v/>
      </c>
      <c r="I55" s="35" t="str">
        <f>OrderService!M6</f>
        <v>✅ Pass (không đổi)</v>
      </c>
    </row>
    <row r="56" ht="15.75" customHeight="1">
      <c r="A56" s="27" t="s">
        <v>379</v>
      </c>
      <c r="B56" s="28" t="s">
        <v>545</v>
      </c>
      <c r="C56" s="28" t="s">
        <v>548</v>
      </c>
      <c r="D56" s="28" t="s">
        <v>370</v>
      </c>
      <c r="E56" s="23" t="s">
        <v>15</v>
      </c>
      <c r="F56" s="28" t="s">
        <v>55</v>
      </c>
      <c r="G56" s="39" t="str">
        <f>OrderService!J7</f>
        <v>Pass</v>
      </c>
      <c r="H56" s="40" t="str">
        <f>OrderService!K7</f>
        <v/>
      </c>
      <c r="I56" s="35" t="str">
        <f>OrderService!M7</f>
        <v>✅ Pass (không đổi)</v>
      </c>
    </row>
    <row r="57" ht="15.75" customHeight="1">
      <c r="A57" s="18" t="s">
        <v>392</v>
      </c>
      <c r="B57" s="21" t="s">
        <v>545</v>
      </c>
      <c r="C57" s="21" t="s">
        <v>548</v>
      </c>
      <c r="D57" s="21" t="s">
        <v>370</v>
      </c>
      <c r="E57" s="23" t="s">
        <v>15</v>
      </c>
      <c r="F57" s="21" t="s">
        <v>55</v>
      </c>
      <c r="G57" s="33" t="str">
        <f>OrderService!J8</f>
        <v>Pass</v>
      </c>
      <c r="H57" s="34" t="str">
        <f>OrderService!K8</f>
        <v/>
      </c>
      <c r="I57" s="35" t="str">
        <f>OrderService!M8</f>
        <v>✅ Pass (không đổi)</v>
      </c>
    </row>
    <row r="58" ht="15.75" customHeight="1">
      <c r="A58" s="27" t="s">
        <v>405</v>
      </c>
      <c r="B58" s="28" t="s">
        <v>545</v>
      </c>
      <c r="C58" s="28" t="s">
        <v>548</v>
      </c>
      <c r="D58" s="28" t="s">
        <v>408</v>
      </c>
      <c r="E58" s="23" t="s">
        <v>15</v>
      </c>
      <c r="F58" s="28" t="s">
        <v>55</v>
      </c>
      <c r="G58" s="39" t="str">
        <f>OrderService!J9</f>
        <v>Pass</v>
      </c>
      <c r="H58" s="40" t="str">
        <f>OrderService!K9</f>
        <v/>
      </c>
      <c r="I58" s="35" t="str">
        <f>OrderService!M9</f>
        <v>✅ ĐÃ FIX  [🟢 ĐÃ FIX HOÀN TOÀN — test unit viết lại, bỏ Skip, PASS thật (07/08/2026)]
GH-13 đã fix ở code (Quotation/QuotationVersion.ProposedTotal, không phải SavedB2BPriceSnapshot như giả định gốc). Đã viết lại L1_ORD_04_Checkout_100M_WithAcceptedQuotation_NegotiatedPriceApplied (PASS) + thêm L1_ORD_04b (báo giá hết hạn vẫn bị chặn, PASS) trong OrderServiceTests.cs, bỏ [Fact(Skip=...)].</v>
      </c>
    </row>
    <row r="59" ht="15.75" customHeight="1">
      <c r="A59" s="18" t="s">
        <v>414</v>
      </c>
      <c r="B59" s="21" t="s">
        <v>545</v>
      </c>
      <c r="C59" s="21" t="s">
        <v>548</v>
      </c>
      <c r="D59" s="21" t="s">
        <v>417</v>
      </c>
      <c r="E59" s="23" t="s">
        <v>15</v>
      </c>
      <c r="F59" s="21" t="s">
        <v>55</v>
      </c>
      <c r="G59" s="33" t="str">
        <f>OrderService!J10</f>
        <v>Pass</v>
      </c>
      <c r="H59" s="34" t="str">
        <f>OrderService!K10</f>
        <v/>
      </c>
      <c r="I59" s="35" t="str">
        <f>OrderService!M10</f>
        <v>✅ Pass (không đổi)</v>
      </c>
    </row>
    <row r="60" ht="15.75" customHeight="1">
      <c r="A60" s="27" t="s">
        <v>423</v>
      </c>
      <c r="B60" s="28" t="s">
        <v>545</v>
      </c>
      <c r="C60" s="28" t="s">
        <v>548</v>
      </c>
      <c r="D60" s="28" t="s">
        <v>426</v>
      </c>
      <c r="E60" s="23" t="s">
        <v>15</v>
      </c>
      <c r="F60" s="41" t="s">
        <v>56</v>
      </c>
      <c r="G60" s="39" t="str">
        <f>OrderService!J11</f>
        <v>Pass</v>
      </c>
      <c r="H60" s="40" t="str">
        <f>OrderService!K11</f>
        <v/>
      </c>
      <c r="I60" s="35" t="str">
        <f>OrderService!M11</f>
        <v>✅ Pass (không đổi)</v>
      </c>
    </row>
    <row r="61" ht="15.75" customHeight="1">
      <c r="A61" s="18" t="s">
        <v>437</v>
      </c>
      <c r="B61" s="21" t="s">
        <v>545</v>
      </c>
      <c r="C61" s="21" t="s">
        <v>616</v>
      </c>
      <c r="D61" s="21" t="s">
        <v>440</v>
      </c>
      <c r="E61" s="23" t="s">
        <v>15</v>
      </c>
      <c r="F61" s="21" t="s">
        <v>55</v>
      </c>
      <c r="G61" s="33" t="str">
        <f>OrderService!J13</f>
        <v>Pass</v>
      </c>
      <c r="H61" s="34" t="str">
        <f>OrderService!K13</f>
        <v/>
      </c>
      <c r="I61" s="35" t="str">
        <f>OrderService!M13</f>
        <v>✅ Pass (không đổi)</v>
      </c>
    </row>
    <row r="62" ht="15.75" customHeight="1">
      <c r="A62" s="27" t="s">
        <v>446</v>
      </c>
      <c r="B62" s="28" t="s">
        <v>545</v>
      </c>
      <c r="C62" s="28" t="s">
        <v>616</v>
      </c>
      <c r="D62" s="28" t="s">
        <v>69</v>
      </c>
      <c r="E62" s="23" t="s">
        <v>15</v>
      </c>
      <c r="F62" s="41" t="s">
        <v>56</v>
      </c>
      <c r="G62" s="39" t="str">
        <f>OrderService!J14</f>
        <v>Pass</v>
      </c>
      <c r="H62" s="40" t="str">
        <f>OrderService!K14</f>
        <v/>
      </c>
      <c r="I62" s="35" t="str">
        <f>OrderService!M14</f>
        <v>✅ Pass (không đổi)</v>
      </c>
    </row>
    <row r="63" ht="15.75" customHeight="1">
      <c r="A63" s="18" t="s">
        <v>456</v>
      </c>
      <c r="B63" s="21" t="s">
        <v>545</v>
      </c>
      <c r="C63" s="21" t="s">
        <v>616</v>
      </c>
      <c r="D63" s="21" t="s">
        <v>459</v>
      </c>
      <c r="E63" s="23" t="s">
        <v>15</v>
      </c>
      <c r="F63" s="25" t="s">
        <v>56</v>
      </c>
      <c r="G63" s="33" t="str">
        <f>OrderService!J15</f>
        <v>Pass</v>
      </c>
      <c r="H63" s="34" t="str">
        <f>OrderService!K15</f>
        <v/>
      </c>
      <c r="I63" s="35" t="str">
        <f>OrderService!M15</f>
        <v>✅ ĐÃ FIX  [🟢 ĐÃ FIX HOÀN TOÀN — test unit viết lại, bỏ Skip, PASS thật (07/08/2026)]
GH-08 đã fix ở code (check hạn giữ giá TRƯỚC khi gọi CartService.GetCartAsync). Đã viết lại L1_ORD_09_PlaceOrder_PriceExpiredCart_Blocked (PASS) + thêm L1_ORD_09b (chưa hết hạn vẫn checkout được, PASS) trong OrderServiceTests.cs, bỏ [Fact(Skip=...)].</v>
      </c>
    </row>
    <row r="64" ht="15.75" customHeight="1">
      <c r="A64" s="27" t="s">
        <v>469</v>
      </c>
      <c r="B64" s="28" t="s">
        <v>545</v>
      </c>
      <c r="C64" s="28" t="s">
        <v>616</v>
      </c>
      <c r="D64" s="28" t="s">
        <v>472</v>
      </c>
      <c r="E64" s="23" t="s">
        <v>15</v>
      </c>
      <c r="F64" s="41" t="s">
        <v>56</v>
      </c>
      <c r="G64" s="39" t="str">
        <f>OrderService!J16</f>
        <v>Pass</v>
      </c>
      <c r="H64" s="40" t="str">
        <f>OrderService!K16</f>
        <v/>
      </c>
      <c r="I64" s="35" t="str">
        <f>OrderService!M16</f>
        <v>✅ Pass (không đổi)</v>
      </c>
    </row>
    <row r="65" ht="15.75" customHeight="1">
      <c r="A65" s="18" t="s">
        <v>478</v>
      </c>
      <c r="B65" s="21" t="s">
        <v>545</v>
      </c>
      <c r="C65" s="21" t="s">
        <v>616</v>
      </c>
      <c r="D65" s="21" t="s">
        <v>484</v>
      </c>
      <c r="E65" s="23" t="s">
        <v>15</v>
      </c>
      <c r="F65" s="25" t="s">
        <v>56</v>
      </c>
      <c r="G65" s="33" t="str">
        <f>OrderService!J17</f>
        <v>Pass</v>
      </c>
      <c r="H65" s="34" t="str">
        <f>OrderService!K17</f>
        <v/>
      </c>
      <c r="I65" s="35" t="str">
        <f>OrderService!M17</f>
        <v>✅ Pass (không đổi)</v>
      </c>
    </row>
    <row r="66" ht="15.75" customHeight="1">
      <c r="A66" s="27" t="s">
        <v>496</v>
      </c>
      <c r="B66" s="28" t="s">
        <v>545</v>
      </c>
      <c r="C66" s="28" t="s">
        <v>681</v>
      </c>
      <c r="D66" s="28" t="s">
        <v>498</v>
      </c>
      <c r="E66" s="23" t="s">
        <v>15</v>
      </c>
      <c r="F66" s="28" t="s">
        <v>55</v>
      </c>
      <c r="G66" s="39" t="str">
        <f>OrderService!J19</f>
        <v>Pass</v>
      </c>
      <c r="H66" s="40" t="str">
        <f>OrderService!K19</f>
        <v/>
      </c>
      <c r="I66" s="35" t="str">
        <f>OrderService!M19</f>
        <v>✅ Pass (không đổi)</v>
      </c>
    </row>
    <row r="67" ht="15.75" customHeight="1">
      <c r="A67" s="18" t="s">
        <v>504</v>
      </c>
      <c r="B67" s="21" t="s">
        <v>545</v>
      </c>
      <c r="C67" s="21" t="s">
        <v>681</v>
      </c>
      <c r="D67" s="21" t="s">
        <v>508</v>
      </c>
      <c r="E67" s="23" t="s">
        <v>15</v>
      </c>
      <c r="F67" s="25" t="s">
        <v>56</v>
      </c>
      <c r="G67" s="33" t="str">
        <f>OrderService!J20</f>
        <v>Pass</v>
      </c>
      <c r="H67" s="34" t="str">
        <f>OrderService!K20</f>
        <v/>
      </c>
      <c r="I67" s="35" t="str">
        <f>OrderService!M20</f>
        <v>✅ ĐÃ FIX
OrderService.cs:296-297 throw nếu PaymentStatus=Paid trước khi sinh QR mới -&gt; map 409.</v>
      </c>
    </row>
    <row r="68" ht="15.75" customHeight="1">
      <c r="A68" s="27" t="s">
        <v>522</v>
      </c>
      <c r="B68" s="28" t="s">
        <v>545</v>
      </c>
      <c r="C68" s="28" t="s">
        <v>696</v>
      </c>
      <c r="D68" s="28" t="s">
        <v>524</v>
      </c>
      <c r="E68" s="23" t="s">
        <v>15</v>
      </c>
      <c r="F68" s="28" t="s">
        <v>55</v>
      </c>
      <c r="G68" s="39" t="str">
        <f>OrderService!J22</f>
        <v>Pass</v>
      </c>
      <c r="H68" s="40" t="str">
        <f>OrderService!K22</f>
        <v/>
      </c>
      <c r="I68" s="35" t="str">
        <f>OrderService!M22</f>
        <v>✅ Pass (không đổi)</v>
      </c>
    </row>
    <row r="69" ht="15.75" customHeight="1">
      <c r="A69" s="18" t="s">
        <v>536</v>
      </c>
      <c r="B69" s="21" t="s">
        <v>545</v>
      </c>
      <c r="C69" s="21" t="s">
        <v>696</v>
      </c>
      <c r="D69" s="21" t="s">
        <v>538</v>
      </c>
      <c r="E69" s="23" t="s">
        <v>15</v>
      </c>
      <c r="F69" s="25" t="s">
        <v>56</v>
      </c>
      <c r="G69" s="33" t="str">
        <f>OrderService!J23</f>
        <v>Pass</v>
      </c>
      <c r="H69" s="34" t="str">
        <f>OrderService!K23</f>
        <v/>
      </c>
      <c r="I69" s="35" t="str">
        <f>OrderService!M23</f>
        <v>✅ Pass (không đổi)</v>
      </c>
    </row>
    <row r="70" ht="15.75" customHeight="1">
      <c r="A70" s="27" t="s">
        <v>546</v>
      </c>
      <c r="B70" s="28" t="s">
        <v>545</v>
      </c>
      <c r="C70" s="28" t="s">
        <v>696</v>
      </c>
      <c r="D70" s="28" t="s">
        <v>551</v>
      </c>
      <c r="E70" s="23" t="s">
        <v>15</v>
      </c>
      <c r="F70" s="41" t="s">
        <v>56</v>
      </c>
      <c r="G70" s="39" t="str">
        <f>OrderService!J24</f>
        <v>Pass</v>
      </c>
      <c r="H70" s="40" t="str">
        <f>OrderService!K24</f>
        <v/>
      </c>
      <c r="I70" s="35" t="str">
        <f>OrderService!M24</f>
        <v>✅ Pass (không đổi)</v>
      </c>
    </row>
    <row r="71" ht="15.75" customHeight="1">
      <c r="A71" s="18" t="s">
        <v>564</v>
      </c>
      <c r="B71" s="21" t="s">
        <v>545</v>
      </c>
      <c r="C71" s="21" t="s">
        <v>696</v>
      </c>
      <c r="D71" s="21" t="s">
        <v>551</v>
      </c>
      <c r="E71" s="23" t="s">
        <v>15</v>
      </c>
      <c r="F71" s="25" t="s">
        <v>56</v>
      </c>
      <c r="G71" s="33" t="str">
        <f>OrderService!J25</f>
        <v>Pass</v>
      </c>
      <c r="H71" s="34" t="str">
        <f>OrderService!K25</f>
        <v/>
      </c>
      <c r="I71" s="35" t="str">
        <f>OrderService!M25</f>
        <v>✅ Pass (không đổi)</v>
      </c>
    </row>
    <row r="72" ht="15.75" customHeight="1">
      <c r="A72" s="27" t="s">
        <v>572</v>
      </c>
      <c r="B72" s="28" t="s">
        <v>545</v>
      </c>
      <c r="C72" s="28" t="s">
        <v>696</v>
      </c>
      <c r="D72" s="28" t="s">
        <v>576</v>
      </c>
      <c r="E72" s="23" t="s">
        <v>15</v>
      </c>
      <c r="F72" s="28" t="s">
        <v>55</v>
      </c>
      <c r="G72" s="39" t="str">
        <f>OrderService!J26</f>
        <v>Pass</v>
      </c>
      <c r="H72" s="40" t="str">
        <f>OrderService!K26</f>
        <v/>
      </c>
      <c r="I72" s="35" t="str">
        <f>OrderService!M26</f>
        <v>✅ Pass (không đổi)</v>
      </c>
    </row>
    <row r="73" ht="15.75" customHeight="1">
      <c r="A73" s="18" t="s">
        <v>585</v>
      </c>
      <c r="B73" s="21" t="s">
        <v>545</v>
      </c>
      <c r="C73" s="21" t="s">
        <v>696</v>
      </c>
      <c r="D73" s="21" t="s">
        <v>587</v>
      </c>
      <c r="E73" s="23" t="s">
        <v>15</v>
      </c>
      <c r="F73" s="25" t="s">
        <v>56</v>
      </c>
      <c r="G73" s="33" t="str">
        <f>OrderService!J27</f>
        <v>Pass</v>
      </c>
      <c r="H73" s="34" t="str">
        <f>OrderService!K27</f>
        <v/>
      </c>
      <c r="I73" s="35" t="str">
        <f>OrderService!M27</f>
        <v>✅ Pass (không đổi)</v>
      </c>
    </row>
    <row r="74" ht="15.75" customHeight="1">
      <c r="A74" s="27" t="s">
        <v>597</v>
      </c>
      <c r="B74" s="28" t="s">
        <v>545</v>
      </c>
      <c r="C74" s="28" t="s">
        <v>732</v>
      </c>
      <c r="D74" s="28" t="s">
        <v>601</v>
      </c>
      <c r="E74" s="23" t="s">
        <v>15</v>
      </c>
      <c r="F74" s="28" t="s">
        <v>55</v>
      </c>
      <c r="G74" s="39" t="str">
        <f>OrderService!J29</f>
        <v>Pass</v>
      </c>
      <c r="H74" s="40" t="str">
        <f>OrderService!K29</f>
        <v/>
      </c>
      <c r="I74" s="35" t="str">
        <f>OrderService!M29</f>
        <v>✅ Pass (không đổi)</v>
      </c>
    </row>
    <row r="75" ht="15.75" customHeight="1">
      <c r="A75" s="18" t="s">
        <v>610</v>
      </c>
      <c r="B75" s="21" t="s">
        <v>545</v>
      </c>
      <c r="C75" s="21" t="s">
        <v>732</v>
      </c>
      <c r="D75" s="21" t="s">
        <v>612</v>
      </c>
      <c r="E75" s="23" t="s">
        <v>15</v>
      </c>
      <c r="F75" s="25" t="s">
        <v>56</v>
      </c>
      <c r="G75" s="33" t="str">
        <f>OrderService!J30</f>
        <v>Pass</v>
      </c>
      <c r="H75" s="34" t="str">
        <f>OrderService!K30</f>
        <v/>
      </c>
      <c r="I75" s="35" t="str">
        <f>OrderService!M30</f>
        <v>✅ Pass (không đổi)</v>
      </c>
    </row>
    <row r="76" ht="15.75" customHeight="1">
      <c r="A76" s="27" t="s">
        <v>629</v>
      </c>
      <c r="B76" s="28" t="s">
        <v>545</v>
      </c>
      <c r="C76" s="28" t="s">
        <v>749</v>
      </c>
      <c r="D76" s="28" t="s">
        <v>633</v>
      </c>
      <c r="E76" s="23" t="s">
        <v>15</v>
      </c>
      <c r="F76" s="28" t="s">
        <v>55</v>
      </c>
      <c r="G76" s="39" t="str">
        <f>OrderService!J32</f>
        <v>Pass</v>
      </c>
      <c r="H76" s="40" t="str">
        <f>OrderService!K32</f>
        <v/>
      </c>
      <c r="I76" s="35" t="str">
        <f>OrderService!M32</f>
        <v>✅ Pass (không đổi)</v>
      </c>
    </row>
    <row r="77" ht="15.75" customHeight="1">
      <c r="A77" s="18" t="s">
        <v>645</v>
      </c>
      <c r="B77" s="21" t="s">
        <v>545</v>
      </c>
      <c r="C77" s="21" t="s">
        <v>749</v>
      </c>
      <c r="D77" s="21" t="s">
        <v>650</v>
      </c>
      <c r="E77" s="23" t="s">
        <v>15</v>
      </c>
      <c r="F77" s="25" t="s">
        <v>56</v>
      </c>
      <c r="G77" s="33" t="str">
        <f>OrderService!J33</f>
        <v>Pass</v>
      </c>
      <c r="H77" s="34" t="str">
        <f>OrderService!K33</f>
        <v/>
      </c>
      <c r="I77" s="35" t="str">
        <f>OrderService!M33</f>
        <v>✅ Pass (không đổi)</v>
      </c>
    </row>
    <row r="78" ht="15.75" customHeight="1">
      <c r="A78" s="27" t="s">
        <v>657</v>
      </c>
      <c r="B78" s="28" t="s">
        <v>545</v>
      </c>
      <c r="C78" s="28" t="s">
        <v>749</v>
      </c>
      <c r="D78" s="28" t="s">
        <v>660</v>
      </c>
      <c r="E78" s="23" t="s">
        <v>15</v>
      </c>
      <c r="F78" s="41" t="s">
        <v>56</v>
      </c>
      <c r="G78" s="39" t="str">
        <f>OrderService!J34</f>
        <v>Pass</v>
      </c>
      <c r="H78" s="40" t="str">
        <f>OrderService!K34</f>
        <v/>
      </c>
      <c r="I78" s="35" t="str">
        <f>OrderService!M34</f>
        <v>✅ ĐÃ FIX
OrderService.cs:595-598 validate SĐT bằng regex ^0\d{9}$, throw nếu sai định dạng.</v>
      </c>
    </row>
    <row r="79" ht="15.75" customHeight="1">
      <c r="A79" s="18" t="s">
        <v>669</v>
      </c>
      <c r="B79" s="21" t="s">
        <v>545</v>
      </c>
      <c r="C79" s="21" t="s">
        <v>749</v>
      </c>
      <c r="D79" s="21" t="s">
        <v>673</v>
      </c>
      <c r="E79" s="23" t="s">
        <v>15</v>
      </c>
      <c r="F79" s="25" t="s">
        <v>56</v>
      </c>
      <c r="G79" s="33" t="str">
        <f>OrderService!J35</f>
        <v>Pass</v>
      </c>
      <c r="H79" s="34" t="str">
        <f>OrderService!K35</f>
        <v/>
      </c>
      <c r="I79" s="35" t="str">
        <f>OrderService!M35</f>
        <v>✅ Pass (không đổi)</v>
      </c>
    </row>
    <row r="80" ht="15.75" customHeight="1">
      <c r="A80" s="27" t="s">
        <v>683</v>
      </c>
      <c r="B80" s="28" t="s">
        <v>545</v>
      </c>
      <c r="C80" s="28" t="s">
        <v>749</v>
      </c>
      <c r="D80" s="28" t="s">
        <v>687</v>
      </c>
      <c r="E80" s="23" t="s">
        <v>15</v>
      </c>
      <c r="F80" s="28" t="s">
        <v>55</v>
      </c>
      <c r="G80" s="39" t="str">
        <f>OrderService!J36</f>
        <v>Pass</v>
      </c>
      <c r="H80" s="40" t="str">
        <f>OrderService!K36</f>
        <v/>
      </c>
      <c r="I80" s="35" t="str">
        <f>OrderService!M36</f>
        <v>✅ Pass (không đổi)</v>
      </c>
    </row>
    <row r="81" ht="15.75" customHeight="1">
      <c r="A81" s="18" t="s">
        <v>693</v>
      </c>
      <c r="B81" s="21" t="s">
        <v>545</v>
      </c>
      <c r="C81" s="21" t="s">
        <v>749</v>
      </c>
      <c r="D81" s="21" t="s">
        <v>695</v>
      </c>
      <c r="E81" s="23" t="s">
        <v>15</v>
      </c>
      <c r="F81" s="21" t="s">
        <v>55</v>
      </c>
      <c r="G81" s="33" t="str">
        <f>OrderService!J37</f>
        <v>Pass</v>
      </c>
      <c r="H81" s="34" t="str">
        <f>OrderService!K37</f>
        <v/>
      </c>
      <c r="I81" s="35" t="str">
        <f>OrderService!M37</f>
        <v>✅ Pass (không đổi)</v>
      </c>
    </row>
    <row r="82" ht="15.75" customHeight="1">
      <c r="A82" s="27" t="s">
        <v>700</v>
      </c>
      <c r="B82" s="28" t="s">
        <v>545</v>
      </c>
      <c r="C82" s="28" t="s">
        <v>799</v>
      </c>
      <c r="D82" s="28" t="s">
        <v>702</v>
      </c>
      <c r="E82" s="23" t="s">
        <v>15</v>
      </c>
      <c r="F82" s="41" t="s">
        <v>56</v>
      </c>
      <c r="G82" s="39" t="str">
        <f>OrderService!J39</f>
        <v>Pass</v>
      </c>
      <c r="H82" s="40" t="str">
        <f>OrderService!K39</f>
        <v/>
      </c>
      <c r="I82" s="35" t="str">
        <f>OrderService!M39</f>
        <v>✅ Pass (không đổi)</v>
      </c>
    </row>
    <row r="83" ht="15.75" customHeight="1">
      <c r="A83" s="18" t="s">
        <v>706</v>
      </c>
      <c r="B83" s="21" t="s">
        <v>545</v>
      </c>
      <c r="C83" s="21" t="s">
        <v>799</v>
      </c>
      <c r="D83" s="21" t="s">
        <v>702</v>
      </c>
      <c r="E83" s="23" t="s">
        <v>15</v>
      </c>
      <c r="F83" s="25" t="s">
        <v>56</v>
      </c>
      <c r="G83" s="33" t="str">
        <f>OrderService!J40</f>
        <v>Pass</v>
      </c>
      <c r="H83" s="34" t="str">
        <f>OrderService!K40</f>
        <v/>
      </c>
      <c r="I83" s="35" t="str">
        <f>OrderService!M40</f>
        <v>✅ Pass (không đổi)</v>
      </c>
    </row>
    <row r="84" ht="15.75" customHeight="1">
      <c r="A84" s="27" t="s">
        <v>710</v>
      </c>
      <c r="B84" s="28" t="s">
        <v>545</v>
      </c>
      <c r="C84" s="28" t="s">
        <v>799</v>
      </c>
      <c r="D84" s="28" t="s">
        <v>702</v>
      </c>
      <c r="E84" s="30" t="s">
        <v>25</v>
      </c>
      <c r="F84" s="41" t="s">
        <v>56</v>
      </c>
      <c r="G84" s="39" t="str">
        <f>OrderService!J41</f>
        <v>Pass</v>
      </c>
      <c r="H84" s="40" t="str">
        <f>OrderService!K41</f>
        <v/>
      </c>
      <c r="I84" s="35" t="str">
        <f>OrderService!M41</f>
        <v>✅ Pass (không đổi)</v>
      </c>
    </row>
    <row r="85" ht="15.75" customHeight="1">
      <c r="A85" s="18" t="s">
        <v>715</v>
      </c>
      <c r="B85" s="21" t="s">
        <v>545</v>
      </c>
      <c r="C85" s="21" t="s">
        <v>854</v>
      </c>
      <c r="D85" s="21" t="s">
        <v>183</v>
      </c>
      <c r="E85" s="23" t="s">
        <v>15</v>
      </c>
      <c r="F85" s="25" t="s">
        <v>56</v>
      </c>
      <c r="G85" s="33" t="str">
        <f>OrderService!J43</f>
        <v>Pass</v>
      </c>
      <c r="H85" s="34" t="str">
        <f>OrderService!K43</f>
        <v/>
      </c>
      <c r="I85" s="35" t="str">
        <f>OrderService!M43</f>
        <v>✅ Pass (không đổi)</v>
      </c>
    </row>
    <row r="86" ht="15.75" customHeight="1">
      <c r="A86" s="27" t="s">
        <v>720</v>
      </c>
      <c r="B86" s="28" t="s">
        <v>545</v>
      </c>
      <c r="C86" s="28" t="s">
        <v>854</v>
      </c>
      <c r="D86" s="28" t="s">
        <v>69</v>
      </c>
      <c r="E86" s="30" t="s">
        <v>25</v>
      </c>
      <c r="F86" s="28" t="s">
        <v>55</v>
      </c>
      <c r="G86" s="39" t="str">
        <f>OrderService!J44</f>
        <v>Pass</v>
      </c>
      <c r="H86" s="40" t="str">
        <f>OrderService!K44</f>
        <v/>
      </c>
      <c r="I86" s="35" t="str">
        <f>OrderService!M44</f>
        <v>✅ Pass (không đổi)</v>
      </c>
    </row>
    <row r="87" ht="15.75" customHeight="1">
      <c r="A87" s="18" t="s">
        <v>726</v>
      </c>
      <c r="B87" s="21" t="s">
        <v>545</v>
      </c>
      <c r="C87" s="21" t="s">
        <v>889</v>
      </c>
      <c r="D87" s="21" t="s">
        <v>728</v>
      </c>
      <c r="E87" s="32" t="s">
        <v>25</v>
      </c>
      <c r="F87" s="21" t="s">
        <v>55</v>
      </c>
      <c r="G87" s="33" t="str">
        <f>OrderService!J46</f>
        <v>Pass</v>
      </c>
      <c r="H87" s="34" t="str">
        <f>OrderService!K46</f>
        <v/>
      </c>
      <c r="I87" s="35" t="str">
        <f>OrderService!M46</f>
        <v>✅ Pass (không đổi)</v>
      </c>
    </row>
    <row r="88" ht="15.75" customHeight="1">
      <c r="A88" s="27" t="s">
        <v>733</v>
      </c>
      <c r="B88" s="28" t="s">
        <v>545</v>
      </c>
      <c r="C88" s="28" t="s">
        <v>889</v>
      </c>
      <c r="D88" s="28" t="s">
        <v>735</v>
      </c>
      <c r="E88" s="30" t="s">
        <v>25</v>
      </c>
      <c r="F88" s="41" t="s">
        <v>56</v>
      </c>
      <c r="G88" s="39" t="str">
        <f>OrderService!J47</f>
        <v>Pass</v>
      </c>
      <c r="H88" s="40" t="str">
        <f>OrderService!K47</f>
        <v/>
      </c>
      <c r="I88" s="35" t="str">
        <f>OrderService!M47</f>
        <v>✅ ĐÃ FIX
OrderService.cs:1742-1745 throw nếu reason rỗng; lưu vào order.CancelReason (1765).</v>
      </c>
    </row>
    <row r="89" ht="15.75" customHeight="1">
      <c r="A89" s="18" t="s">
        <v>741</v>
      </c>
      <c r="B89" s="21" t="s">
        <v>545</v>
      </c>
      <c r="C89" s="21" t="s">
        <v>889</v>
      </c>
      <c r="D89" s="21" t="s">
        <v>728</v>
      </c>
      <c r="E89" s="32" t="s">
        <v>25</v>
      </c>
      <c r="F89" s="21" t="s">
        <v>55</v>
      </c>
      <c r="G89" s="33" t="str">
        <f>OrderService!J48</f>
        <v>Pass</v>
      </c>
      <c r="H89" s="34" t="str">
        <f>OrderService!K48</f>
        <v/>
      </c>
      <c r="I89" s="35" t="str">
        <f>OrderService!M48</f>
        <v>✅ Pass (không đổi)</v>
      </c>
    </row>
    <row r="90" ht="15.75" customHeight="1">
      <c r="A90" s="27" t="s">
        <v>746</v>
      </c>
      <c r="B90" s="28" t="s">
        <v>545</v>
      </c>
      <c r="C90" s="28" t="s">
        <v>889</v>
      </c>
      <c r="D90" s="28" t="s">
        <v>748</v>
      </c>
      <c r="E90" s="23" t="s">
        <v>15</v>
      </c>
      <c r="F90" s="41" t="s">
        <v>56</v>
      </c>
      <c r="G90" s="39" t="str">
        <f>OrderService!J49</f>
        <v>Pass</v>
      </c>
      <c r="H90" s="40" t="str">
        <f>OrderService!K49</f>
        <v/>
      </c>
      <c r="I90" s="35" t="str">
        <f>OrderService!M49</f>
        <v>✅ Pass (không đổi)</v>
      </c>
    </row>
    <row r="91" ht="15.75" customHeight="1">
      <c r="A91" s="18" t="s">
        <v>753</v>
      </c>
      <c r="B91" s="21" t="s">
        <v>545</v>
      </c>
      <c r="C91" s="21" t="s">
        <v>889</v>
      </c>
      <c r="D91" s="21" t="s">
        <v>728</v>
      </c>
      <c r="E91" s="23" t="s">
        <v>15</v>
      </c>
      <c r="F91" s="21" t="s">
        <v>55</v>
      </c>
      <c r="G91" s="33" t="str">
        <f>OrderService!J50</f>
        <v>Pass</v>
      </c>
      <c r="H91" s="34" t="str">
        <f>OrderService!K50</f>
        <v/>
      </c>
      <c r="I91" s="35" t="str">
        <f>OrderService!M50</f>
        <v>✅ Pass (không đổi)</v>
      </c>
    </row>
    <row r="92" ht="15.75" customHeight="1">
      <c r="A92" s="27" t="s">
        <v>759</v>
      </c>
      <c r="B92" s="28" t="s">
        <v>545</v>
      </c>
      <c r="C92" s="28" t="s">
        <v>984</v>
      </c>
      <c r="D92" s="28" t="s">
        <v>761</v>
      </c>
      <c r="E92" s="23" t="s">
        <v>15</v>
      </c>
      <c r="F92" s="28" t="s">
        <v>55</v>
      </c>
      <c r="G92" s="39" t="str">
        <f>OrderService!J52</f>
        <v>Pass</v>
      </c>
      <c r="H92" s="40" t="str">
        <f>OrderService!K52</f>
        <v/>
      </c>
      <c r="I92" s="35" t="str">
        <f>OrderService!M52</f>
        <v>✅ Pass (không đổi)</v>
      </c>
    </row>
    <row r="93" ht="15.75" customHeight="1">
      <c r="A93" s="18" t="s">
        <v>765</v>
      </c>
      <c r="B93" s="21" t="s">
        <v>545</v>
      </c>
      <c r="C93" s="21" t="s">
        <v>984</v>
      </c>
      <c r="D93" s="21" t="s">
        <v>767</v>
      </c>
      <c r="E93" s="23" t="s">
        <v>15</v>
      </c>
      <c r="F93" s="25" t="s">
        <v>56</v>
      </c>
      <c r="G93" s="33" t="str">
        <f>OrderService!J53</f>
        <v>Pass</v>
      </c>
      <c r="H93" s="34" t="str">
        <f>OrderService!K53</f>
        <v/>
      </c>
      <c r="I93" s="35" t="str">
        <f>OrderService!M53</f>
        <v>✅ Pass (không đổi)</v>
      </c>
    </row>
    <row r="94" ht="15.75" customHeight="1">
      <c r="A94" s="27" t="s">
        <v>771</v>
      </c>
      <c r="B94" s="28" t="s">
        <v>545</v>
      </c>
      <c r="C94" s="28" t="s">
        <v>984</v>
      </c>
      <c r="D94" s="28" t="s">
        <v>774</v>
      </c>
      <c r="E94" s="23" t="s">
        <v>15</v>
      </c>
      <c r="F94" s="41" t="s">
        <v>56</v>
      </c>
      <c r="G94" s="39" t="str">
        <f>OrderService!J54</f>
        <v>Pass</v>
      </c>
      <c r="H94" s="40" t="str">
        <f>OrderService!K54</f>
        <v/>
      </c>
      <c r="I94" s="35" t="str">
        <f>OrderService!M54</f>
        <v>✅ Pass (không đổi)</v>
      </c>
    </row>
    <row r="95" ht="15.75" customHeight="1">
      <c r="A95" s="18" t="s">
        <v>778</v>
      </c>
      <c r="B95" s="21" t="s">
        <v>545</v>
      </c>
      <c r="C95" s="21" t="s">
        <v>984</v>
      </c>
      <c r="D95" s="21" t="s">
        <v>780</v>
      </c>
      <c r="E95" s="32" t="s">
        <v>25</v>
      </c>
      <c r="F95" s="25" t="s">
        <v>56</v>
      </c>
      <c r="G95" s="33" t="str">
        <f>OrderService!J55</f>
        <v>Pass</v>
      </c>
      <c r="H95" s="34" t="str">
        <f>OrderService!K55</f>
        <v/>
      </c>
      <c r="I95" s="35" t="str">
        <f>OrderService!M55</f>
        <v>✅ Pass (không đổi)</v>
      </c>
    </row>
    <row r="96" ht="15.75" customHeight="1">
      <c r="A96" s="27" t="s">
        <v>785</v>
      </c>
      <c r="B96" s="28" t="s">
        <v>545</v>
      </c>
      <c r="C96" s="28" t="s">
        <v>1012</v>
      </c>
      <c r="D96" s="28" t="s">
        <v>787</v>
      </c>
      <c r="E96" s="23" t="s">
        <v>15</v>
      </c>
      <c r="F96" s="28" t="s">
        <v>55</v>
      </c>
      <c r="G96" s="39" t="str">
        <f>OrderService!J57</f>
        <v>Pass</v>
      </c>
      <c r="H96" s="40" t="str">
        <f>OrderService!K57</f>
        <v/>
      </c>
      <c r="I96" s="35" t="str">
        <f>OrderService!M57</f>
        <v>✅ Pass (không đổi)</v>
      </c>
    </row>
    <row r="97" ht="15.75" customHeight="1">
      <c r="A97" s="18" t="s">
        <v>791</v>
      </c>
      <c r="B97" s="21" t="s">
        <v>545</v>
      </c>
      <c r="C97" s="21" t="s">
        <v>1012</v>
      </c>
      <c r="D97" s="21" t="s">
        <v>793</v>
      </c>
      <c r="E97" s="23" t="s">
        <v>15</v>
      </c>
      <c r="F97" s="25" t="s">
        <v>56</v>
      </c>
      <c r="G97" s="33" t="str">
        <f>OrderService!J58</f>
        <v>Pass</v>
      </c>
      <c r="H97" s="34" t="str">
        <f>OrderService!K58</f>
        <v/>
      </c>
      <c r="I97" s="35" t="str">
        <f>OrderService!M58</f>
        <v>✅ ĐÃ FIX
OrderService.cs:2165-2166 throw nếu PaymentStatus=Paid và AmountCollected&gt;0.</v>
      </c>
    </row>
    <row r="98" ht="15.75" customHeight="1">
      <c r="A98" s="27" t="s">
        <v>803</v>
      </c>
      <c r="B98" s="28" t="s">
        <v>545</v>
      </c>
      <c r="C98" s="28" t="s">
        <v>1012</v>
      </c>
      <c r="D98" s="28" t="s">
        <v>808</v>
      </c>
      <c r="E98" s="23" t="s">
        <v>15</v>
      </c>
      <c r="F98" s="41" t="s">
        <v>56</v>
      </c>
      <c r="G98" s="39" t="str">
        <f>OrderService!J59</f>
        <v>Pass</v>
      </c>
      <c r="H98" s="40" t="str">
        <f>OrderService!K59</f>
        <v/>
      </c>
      <c r="I98" s="35" t="str">
        <f>OrderService!M59</f>
        <v>✅ ĐÃ FIX
OrderService.cs:2169-2170 bắt buộc RejectionReasonCode khi CustomerRejected=true; lưu ở 2268-2269.</v>
      </c>
    </row>
    <row r="99" ht="15.75" customHeight="1">
      <c r="A99" s="18" t="s">
        <v>818</v>
      </c>
      <c r="B99" s="21" t="s">
        <v>545</v>
      </c>
      <c r="C99" s="21" t="s">
        <v>1012</v>
      </c>
      <c r="D99" s="21" t="s">
        <v>822</v>
      </c>
      <c r="E99" s="23" t="s">
        <v>15</v>
      </c>
      <c r="F99" s="21" t="s">
        <v>55</v>
      </c>
      <c r="G99" s="33" t="str">
        <f>OrderService!J60</f>
        <v>Pass</v>
      </c>
      <c r="H99" s="34" t="str">
        <f>OrderService!K60</f>
        <v/>
      </c>
      <c r="I99" s="35" t="str">
        <f>OrderService!M60</f>
        <v>✅ Pass (không đổi)</v>
      </c>
    </row>
    <row r="100" ht="15.75" customHeight="1">
      <c r="A100" s="27" t="s">
        <v>835</v>
      </c>
      <c r="B100" s="28" t="s">
        <v>545</v>
      </c>
      <c r="C100" s="28" t="s">
        <v>1031</v>
      </c>
      <c r="D100" s="28" t="s">
        <v>837</v>
      </c>
      <c r="E100" s="23" t="s">
        <v>15</v>
      </c>
      <c r="F100" s="28" t="s">
        <v>55</v>
      </c>
      <c r="G100" s="39" t="str">
        <f>OrderService!J62</f>
        <v>Pass</v>
      </c>
      <c r="H100" s="40" t="str">
        <f>OrderService!K62</f>
        <v/>
      </c>
      <c r="I100" s="35" t="str">
        <f>OrderService!M62</f>
        <v>✅ Pass (không đổi)</v>
      </c>
    </row>
    <row r="101" ht="15.75" customHeight="1">
      <c r="A101" s="18" t="s">
        <v>851</v>
      </c>
      <c r="B101" s="21" t="s">
        <v>545</v>
      </c>
      <c r="C101" s="21" t="s">
        <v>1031</v>
      </c>
      <c r="D101" s="21" t="s">
        <v>857</v>
      </c>
      <c r="E101" s="23" t="s">
        <v>15</v>
      </c>
      <c r="F101" s="25" t="s">
        <v>56</v>
      </c>
      <c r="G101" s="33" t="str">
        <f>OrderService!J63</f>
        <v>Pass</v>
      </c>
      <c r="H101" s="34" t="str">
        <f>OrderService!K63</f>
        <v/>
      </c>
      <c r="I101" s="35" t="str">
        <f>OrderService!M63</f>
        <v>🔒 CẦN L3 (không phải bug)
ApproveCancelAndCreateReplacementAsync (2739-2860) không tự check role trong service, nhưng [Authorize(Roles="SalesManager,Admin")] ở DeliveryController.cs:124 đã chặn. Có test L3: VietTien.IntegrationTests/RoleGateTests.cs:21-42 (L1_ORD_47_...).</v>
      </c>
    </row>
    <row r="102" ht="15.75" customHeight="1">
      <c r="A102" s="27" t="s">
        <v>879</v>
      </c>
      <c r="B102" s="28" t="s">
        <v>545</v>
      </c>
      <c r="C102" s="28" t="s">
        <v>1040</v>
      </c>
      <c r="D102" s="28" t="s">
        <v>883</v>
      </c>
      <c r="E102" s="23" t="s">
        <v>15</v>
      </c>
      <c r="F102" s="28" t="s">
        <v>55</v>
      </c>
      <c r="G102" s="39" t="str">
        <f>OrderService!J65</f>
        <v>Pass</v>
      </c>
      <c r="H102" s="40" t="str">
        <f>OrderService!K65</f>
        <v/>
      </c>
      <c r="I102" s="35" t="str">
        <f>OrderService!M65</f>
        <v>✅ Pass (không đổi)</v>
      </c>
    </row>
    <row r="103" ht="15.75" customHeight="1">
      <c r="A103" s="18" t="s">
        <v>896</v>
      </c>
      <c r="B103" s="21" t="s">
        <v>545</v>
      </c>
      <c r="C103" s="21" t="s">
        <v>1040</v>
      </c>
      <c r="D103" s="21" t="s">
        <v>900</v>
      </c>
      <c r="E103" s="23" t="s">
        <v>15</v>
      </c>
      <c r="F103" s="25" t="s">
        <v>56</v>
      </c>
      <c r="G103" s="33" t="str">
        <f>OrderService!J66</f>
        <v>Pass</v>
      </c>
      <c r="H103" s="34" t="str">
        <f>OrderService!K66</f>
        <v/>
      </c>
      <c r="I103" s="35" t="str">
        <f>OrderService!M66</f>
        <v>✅ Pass (không đổi)</v>
      </c>
    </row>
    <row r="104" ht="15.75" customHeight="1">
      <c r="A104" s="27" t="s">
        <v>914</v>
      </c>
      <c r="B104" s="28" t="s">
        <v>545</v>
      </c>
      <c r="C104" s="28" t="s">
        <v>1040</v>
      </c>
      <c r="D104" s="28" t="s">
        <v>918</v>
      </c>
      <c r="E104" s="23" t="s">
        <v>15</v>
      </c>
      <c r="F104" s="41" t="s">
        <v>56</v>
      </c>
      <c r="G104" s="39" t="str">
        <f>OrderService!J67</f>
        <v>Pass</v>
      </c>
      <c r="H104" s="40" t="str">
        <f>OrderService!K67</f>
        <v/>
      </c>
      <c r="I104" s="35" t="str">
        <f>OrderService!M67</f>
        <v>✅ Pass (không đổi)</v>
      </c>
    </row>
    <row r="105" ht="15.75" customHeight="1">
      <c r="A105" s="18" t="s">
        <v>932</v>
      </c>
      <c r="B105" s="21" t="s">
        <v>545</v>
      </c>
      <c r="C105" s="21" t="s">
        <v>1040</v>
      </c>
      <c r="D105" s="21" t="s">
        <v>857</v>
      </c>
      <c r="E105" s="23" t="s">
        <v>15</v>
      </c>
      <c r="F105" s="25" t="s">
        <v>56</v>
      </c>
      <c r="G105" s="33" t="str">
        <f>OrderService!J68</f>
        <v>Pass</v>
      </c>
      <c r="H105" s="34" t="str">
        <f>OrderService!K68</f>
        <v/>
      </c>
      <c r="I105" s="35" t="str">
        <f>OrderService!M68</f>
        <v>✅ ĐÃ FIX
OrderService.cs:2376-2385 check CustomerProfile.UserId == requestedByUserId, throw UnauthorizedAccessException nếu không khớp.</v>
      </c>
    </row>
    <row r="106" ht="15.75" customHeight="1">
      <c r="A106" s="27" t="s">
        <v>941</v>
      </c>
      <c r="B106" s="28" t="s">
        <v>545</v>
      </c>
      <c r="C106" s="28" t="s">
        <v>1040</v>
      </c>
      <c r="D106" s="28" t="s">
        <v>883</v>
      </c>
      <c r="E106" s="23" t="s">
        <v>15</v>
      </c>
      <c r="F106" s="28" t="s">
        <v>55</v>
      </c>
      <c r="G106" s="39" t="str">
        <f>OrderService!J69</f>
        <v>Pass</v>
      </c>
      <c r="H106" s="40" t="str">
        <f>OrderService!K69</f>
        <v/>
      </c>
      <c r="I106" s="35" t="str">
        <f>OrderService!M69</f>
        <v>✅ Pass (không đổi)</v>
      </c>
    </row>
    <row r="107" ht="15.75" customHeight="1">
      <c r="A107" s="18" t="s">
        <v>957</v>
      </c>
      <c r="B107" s="21" t="s">
        <v>545</v>
      </c>
      <c r="C107" s="21" t="s">
        <v>1040</v>
      </c>
      <c r="D107" s="21" t="s">
        <v>857</v>
      </c>
      <c r="E107" s="23" t="s">
        <v>15</v>
      </c>
      <c r="F107" s="25" t="s">
        <v>56</v>
      </c>
      <c r="G107" s="33" t="str">
        <f>OrderService!J70</f>
        <v>Pass</v>
      </c>
      <c r="H107" s="34" t="str">
        <f>OrderService!K70</f>
        <v/>
      </c>
      <c r="I107" s="35" t="str">
        <f>OrderService!M70</f>
        <v>🔒 CẦN L3 (không phải bug)
ProcessReturnExchangeRequestAsync (2454-2471) không tự check role, nhưng [Authorize(Roles="SalesManager,Admin")] ở OrderController.cs:485 đã chặn. Có test L3: VietTien.IntegrationTests/RoleGateTests.cs:44-65 (L1_ORD_53_...).</v>
      </c>
    </row>
    <row r="108" ht="15.75" customHeight="1">
      <c r="A108" s="27" t="s">
        <v>976</v>
      </c>
      <c r="B108" s="28" t="s">
        <v>545</v>
      </c>
      <c r="C108" s="28" t="s">
        <v>1040</v>
      </c>
      <c r="D108" s="28" t="s">
        <v>978</v>
      </c>
      <c r="E108" s="23" t="s">
        <v>15</v>
      </c>
      <c r="F108" s="41" t="s">
        <v>56</v>
      </c>
      <c r="G108" s="39" t="str">
        <f>OrderService!J71</f>
        <v>Pass</v>
      </c>
      <c r="H108" s="40" t="str">
        <f>OrderService!K71</f>
        <v/>
      </c>
      <c r="I108" s="35" t="str">
        <f>OrderService!M71</f>
        <v>✅ Pass (không đổi)</v>
      </c>
    </row>
    <row r="109" ht="15.75" customHeight="1">
      <c r="A109" s="18" t="s">
        <v>983</v>
      </c>
      <c r="B109" s="21" t="s">
        <v>545</v>
      </c>
      <c r="C109" s="21" t="s">
        <v>1040</v>
      </c>
      <c r="D109" s="21" t="s">
        <v>988</v>
      </c>
      <c r="E109" s="23" t="s">
        <v>15</v>
      </c>
      <c r="F109" s="21" t="s">
        <v>55</v>
      </c>
      <c r="G109" s="33" t="str">
        <f>OrderService!J72</f>
        <v>Pass</v>
      </c>
      <c r="H109" s="34" t="str">
        <f>OrderService!K72</f>
        <v/>
      </c>
      <c r="I109" s="35" t="str">
        <f>OrderService!M72</f>
        <v>✅ Pass (không đổi)</v>
      </c>
    </row>
    <row r="110" ht="15.75" customHeight="1">
      <c r="A110" s="27" t="s">
        <v>994</v>
      </c>
      <c r="B110" s="28" t="s">
        <v>545</v>
      </c>
      <c r="C110" s="28" t="s">
        <v>1040</v>
      </c>
      <c r="D110" s="28" t="s">
        <v>996</v>
      </c>
      <c r="E110" s="23" t="s">
        <v>15</v>
      </c>
      <c r="F110" s="28" t="s">
        <v>55</v>
      </c>
      <c r="G110" s="39" t="str">
        <f>OrderService!J73</f>
        <v>Pass</v>
      </c>
      <c r="H110" s="40" t="str">
        <f>OrderService!K73</f>
        <v/>
      </c>
      <c r="I110" s="35" t="str">
        <f>OrderService!M73</f>
        <v>✅ Pass (không đổi)</v>
      </c>
    </row>
    <row r="111" ht="15.75" customHeight="1">
      <c r="A111" s="18" t="s">
        <v>1001</v>
      </c>
      <c r="B111" s="21" t="s">
        <v>545</v>
      </c>
      <c r="C111" s="21" t="s">
        <v>1080</v>
      </c>
      <c r="D111" s="21" t="s">
        <v>918</v>
      </c>
      <c r="E111" s="32" t="s">
        <v>25</v>
      </c>
      <c r="F111" s="21" t="s">
        <v>55</v>
      </c>
      <c r="G111" s="33" t="str">
        <f>OrderService!J75</f>
        <v>Pass</v>
      </c>
      <c r="H111" s="34" t="str">
        <f>OrderService!K75</f>
        <v/>
      </c>
      <c r="I111" s="35" t="str">
        <f>OrderService!M75</f>
        <v>✅ Pass (không đổi)</v>
      </c>
    </row>
    <row r="112" ht="15.75" customHeight="1">
      <c r="A112" s="27" t="s">
        <v>1006</v>
      </c>
      <c r="B112" s="28" t="s">
        <v>545</v>
      </c>
      <c r="C112" s="28" t="s">
        <v>1080</v>
      </c>
      <c r="D112" s="28" t="s">
        <v>1008</v>
      </c>
      <c r="E112" s="30" t="s">
        <v>25</v>
      </c>
      <c r="F112" s="28" t="s">
        <v>55</v>
      </c>
      <c r="G112" s="39" t="str">
        <f>OrderService!J76</f>
        <v>Pass</v>
      </c>
      <c r="H112" s="40" t="str">
        <f>OrderService!K76</f>
        <v/>
      </c>
      <c r="I112" s="35" t="str">
        <f>OrderService!M76</f>
        <v>✅ Pass (không đổi)</v>
      </c>
    </row>
    <row r="113" ht="15.75" customHeight="1">
      <c r="A113" s="18" t="s">
        <v>1013</v>
      </c>
      <c r="B113" s="21" t="s">
        <v>545</v>
      </c>
      <c r="C113" s="21" t="s">
        <v>1080</v>
      </c>
      <c r="D113" s="21" t="s">
        <v>1015</v>
      </c>
      <c r="E113" s="23" t="s">
        <v>15</v>
      </c>
      <c r="F113" s="21" t="s">
        <v>55</v>
      </c>
      <c r="G113" s="33" t="str">
        <f>OrderService!J77</f>
        <v>Pass</v>
      </c>
      <c r="H113" s="34" t="str">
        <f>OrderService!K77</f>
        <v/>
      </c>
      <c r="I113" s="35" t="str">
        <f>OrderService!M77</f>
        <v>✅ Pass (không đổi)</v>
      </c>
    </row>
    <row r="114" ht="15.75" customHeight="1">
      <c r="A114" s="27" t="s">
        <v>1019</v>
      </c>
      <c r="B114" s="28" t="s">
        <v>545</v>
      </c>
      <c r="C114" s="28" t="s">
        <v>1080</v>
      </c>
      <c r="D114" s="28" t="s">
        <v>1021</v>
      </c>
      <c r="E114" s="30" t="s">
        <v>25</v>
      </c>
      <c r="F114" s="41" t="s">
        <v>56</v>
      </c>
      <c r="G114" s="39" t="str">
        <f>OrderService!J78</f>
        <v>Pass</v>
      </c>
      <c r="H114" s="40" t="str">
        <f>OrderService!K78</f>
        <v/>
      </c>
      <c r="I114" s="35" t="str">
        <f>OrderService!M78</f>
        <v>✅ Pass (không đổi)</v>
      </c>
    </row>
    <row r="115" ht="15.75" customHeight="1">
      <c r="A115" s="18" t="s">
        <v>1026</v>
      </c>
      <c r="B115" s="21" t="s">
        <v>545</v>
      </c>
      <c r="C115" s="21" t="s">
        <v>1099</v>
      </c>
      <c r="D115" s="21" t="s">
        <v>183</v>
      </c>
      <c r="E115" s="23" t="s">
        <v>15</v>
      </c>
      <c r="F115" s="25" t="s">
        <v>56</v>
      </c>
      <c r="G115" s="33" t="str">
        <f>OrderService!J80</f>
        <v>Pass</v>
      </c>
      <c r="H115" s="34" t="str">
        <f>OrderService!K80</f>
        <v/>
      </c>
      <c r="I115" s="35" t="str">
        <f>OrderService!M80</f>
        <v>✅ Pass (không đổi)</v>
      </c>
    </row>
    <row r="116" ht="15.75" customHeight="1">
      <c r="A116" s="27" t="s">
        <v>1032</v>
      </c>
      <c r="B116" s="28" t="s">
        <v>545</v>
      </c>
      <c r="C116" s="28" t="s">
        <v>1099</v>
      </c>
      <c r="D116" s="28" t="s">
        <v>183</v>
      </c>
      <c r="E116" s="23" t="s">
        <v>15</v>
      </c>
      <c r="F116" s="41" t="s">
        <v>56</v>
      </c>
      <c r="G116" s="39" t="str">
        <f>OrderService!J81</f>
        <v>Pass</v>
      </c>
      <c r="H116" s="40" t="str">
        <f>OrderService!K81</f>
        <v/>
      </c>
      <c r="I116" s="35" t="str">
        <f>OrderService!M81</f>
        <v>✅ Pass (không đổi)</v>
      </c>
    </row>
    <row r="117" ht="15.75" customHeight="1">
      <c r="A117" s="18" t="s">
        <v>1036</v>
      </c>
      <c r="B117" s="21" t="s">
        <v>545</v>
      </c>
      <c r="C117" s="21" t="s">
        <v>1099</v>
      </c>
      <c r="D117" s="21" t="s">
        <v>1038</v>
      </c>
      <c r="E117" s="32" t="s">
        <v>25</v>
      </c>
      <c r="F117" s="21" t="s">
        <v>55</v>
      </c>
      <c r="G117" s="33" t="str">
        <f>OrderService!J82</f>
        <v>Pass</v>
      </c>
      <c r="H117" s="34" t="str">
        <f>OrderService!K82</f>
        <v/>
      </c>
      <c r="I117" s="35" t="str">
        <f>OrderService!M82</f>
        <v>✅ Pass (không đổi)</v>
      </c>
    </row>
    <row r="118" ht="15.75" customHeight="1">
      <c r="A118" s="27" t="s">
        <v>1042</v>
      </c>
      <c r="B118" s="28" t="s">
        <v>545</v>
      </c>
      <c r="C118" s="28" t="s">
        <v>1099</v>
      </c>
      <c r="D118" s="28" t="s">
        <v>1044</v>
      </c>
      <c r="E118" s="23" t="s">
        <v>15</v>
      </c>
      <c r="F118" s="41" t="s">
        <v>56</v>
      </c>
      <c r="G118" s="39" t="str">
        <f>OrderService!J83</f>
        <v>Pass</v>
      </c>
      <c r="H118" s="40" t="str">
        <f>OrderService!K83</f>
        <v/>
      </c>
      <c r="I118" s="35" t="str">
        <f>OrderService!M83</f>
        <v>✅ Pass (không đổi)</v>
      </c>
    </row>
    <row r="119" ht="15.75" customHeight="1">
      <c r="A119" s="18" t="s">
        <v>1048</v>
      </c>
      <c r="B119" s="21" t="s">
        <v>545</v>
      </c>
      <c r="C119" s="21" t="s">
        <v>1099</v>
      </c>
      <c r="D119" s="21" t="s">
        <v>1050</v>
      </c>
      <c r="E119" s="23" t="s">
        <v>15</v>
      </c>
      <c r="F119" s="21" t="s">
        <v>55</v>
      </c>
      <c r="G119" s="33" t="str">
        <f>OrderService!J84</f>
        <v>Pass</v>
      </c>
      <c r="H119" s="34" t="str">
        <f>OrderService!K84</f>
        <v/>
      </c>
      <c r="I119" s="35" t="str">
        <f>OrderService!M84</f>
        <v>✅ Pass (không đổi)</v>
      </c>
    </row>
    <row r="120" ht="15.75" customHeight="1">
      <c r="A120" s="27" t="s">
        <v>1054</v>
      </c>
      <c r="B120" s="28" t="s">
        <v>545</v>
      </c>
      <c r="C120" s="28" t="s">
        <v>1099</v>
      </c>
      <c r="D120" s="28" t="s">
        <v>1056</v>
      </c>
      <c r="E120" s="30" t="s">
        <v>25</v>
      </c>
      <c r="F120" s="28" t="s">
        <v>55</v>
      </c>
      <c r="G120" s="39" t="str">
        <f>OrderService!J85</f>
        <v>Pass</v>
      </c>
      <c r="H120" s="40" t="str">
        <f>OrderService!K85</f>
        <v/>
      </c>
      <c r="I120" s="35" t="str">
        <f>OrderService!M85</f>
        <v>✅ Pass (không đổi)</v>
      </c>
    </row>
    <row r="121" ht="15.75" customHeight="1">
      <c r="A121" s="18" t="s">
        <v>1060</v>
      </c>
      <c r="B121" s="21" t="s">
        <v>545</v>
      </c>
      <c r="C121" s="21" t="s">
        <v>1169</v>
      </c>
      <c r="D121" s="21" t="s">
        <v>1062</v>
      </c>
      <c r="E121" s="23" t="s">
        <v>15</v>
      </c>
      <c r="F121" s="21" t="s">
        <v>55</v>
      </c>
      <c r="G121" s="33" t="str">
        <f>OrderService!J87</f>
        <v>Pass</v>
      </c>
      <c r="H121" s="34" t="str">
        <f>OrderService!K87</f>
        <v/>
      </c>
      <c r="I121" s="35" t="str">
        <f>OrderService!M87</f>
        <v>✅ ĐÃ FIX
OrderService.cs:1317-1318 set null CustomerPhone/ShippingAddress cho tra cứu công khai; CostSnapshot không được trả.</v>
      </c>
    </row>
    <row r="122" ht="15.75" customHeight="1">
      <c r="A122" s="27" t="s">
        <v>1067</v>
      </c>
      <c r="B122" s="28" t="s">
        <v>545</v>
      </c>
      <c r="C122" s="28" t="s">
        <v>1169</v>
      </c>
      <c r="D122" s="28" t="s">
        <v>1069</v>
      </c>
      <c r="E122" s="30" t="s">
        <v>25</v>
      </c>
      <c r="F122" s="41" t="s">
        <v>56</v>
      </c>
      <c r="G122" s="39" t="str">
        <f>OrderService!J88</f>
        <v>Pass</v>
      </c>
      <c r="H122" s="40" t="str">
        <f>OrderService!K88</f>
        <v/>
      </c>
      <c r="I122" s="35" t="str">
        <f>OrderService!M88</f>
        <v>✅ Pass (không đổi)</v>
      </c>
    </row>
    <row r="123" ht="15.75" customHeight="1">
      <c r="A123" s="18" t="s">
        <v>1073</v>
      </c>
      <c r="B123" s="21" t="s">
        <v>545</v>
      </c>
      <c r="C123" s="21" t="s">
        <v>1169</v>
      </c>
      <c r="D123" s="21" t="s">
        <v>1056</v>
      </c>
      <c r="E123" s="32" t="s">
        <v>25</v>
      </c>
      <c r="F123" s="21" t="s">
        <v>55</v>
      </c>
      <c r="G123" s="33" t="str">
        <f>OrderService!J89</f>
        <v>Pass</v>
      </c>
      <c r="H123" s="34" t="str">
        <f>OrderService!K89</f>
        <v/>
      </c>
      <c r="I123" s="35" t="str">
        <f>OrderService!M89</f>
        <v>✅ Pass (không đổi)</v>
      </c>
    </row>
    <row r="124" ht="15.75" customHeight="1">
      <c r="A124" s="27" t="s">
        <v>1078</v>
      </c>
      <c r="B124" s="28" t="s">
        <v>545</v>
      </c>
      <c r="C124" s="28" t="s">
        <v>1169</v>
      </c>
      <c r="D124" s="28" t="s">
        <v>1081</v>
      </c>
      <c r="E124" s="23" t="s">
        <v>15</v>
      </c>
      <c r="F124" s="28" t="s">
        <v>55</v>
      </c>
      <c r="G124" s="39" t="str">
        <f>OrderService!J90</f>
        <v>Pass</v>
      </c>
      <c r="H124" s="40" t="str">
        <f>OrderService!K90</f>
        <v/>
      </c>
      <c r="I124" s="35" t="str">
        <f>OrderService!M90</f>
        <v>✅ Pass (không đổi)</v>
      </c>
    </row>
    <row r="125" ht="15.75" customHeight="1">
      <c r="A125" s="18" t="s">
        <v>1085</v>
      </c>
      <c r="B125" s="21" t="s">
        <v>545</v>
      </c>
      <c r="C125" s="21" t="s">
        <v>1169</v>
      </c>
      <c r="D125" s="21" t="s">
        <v>1087</v>
      </c>
      <c r="E125" s="23" t="s">
        <v>15</v>
      </c>
      <c r="F125" s="25" t="s">
        <v>56</v>
      </c>
      <c r="G125" s="33" t="str">
        <f>OrderService!J91</f>
        <v>Pass</v>
      </c>
      <c r="H125" s="34" t="str">
        <f>OrderService!K91</f>
        <v/>
      </c>
      <c r="I125" s="35" t="str">
        <f>OrderService!M91</f>
        <v>✅ ĐÃ FIX
OrderService.cs:1481,1501-1506 nhận Guid? salesStaffId, throw nếu khác order.SalesStaffId — đúng theo commit 4517274.</v>
      </c>
    </row>
    <row r="126" ht="15.75" customHeight="1">
      <c r="A126" s="27" t="s">
        <v>1095</v>
      </c>
      <c r="B126" s="28" t="s">
        <v>545</v>
      </c>
      <c r="C126" s="28" t="s">
        <v>1208</v>
      </c>
      <c r="D126" s="28" t="s">
        <v>1097</v>
      </c>
      <c r="E126" s="23" t="s">
        <v>15</v>
      </c>
      <c r="F126" s="41" t="s">
        <v>56</v>
      </c>
      <c r="G126" s="39" t="str">
        <f>OrderService!J96</f>
        <v>Pass</v>
      </c>
      <c r="H126" s="40" t="str">
        <f>OrderService!K96</f>
        <v/>
      </c>
      <c r="I126" s="35" t="str">
        <f>OrderService!M96</f>
        <v>✅ Pass (không đổi)</v>
      </c>
    </row>
    <row r="127" ht="15.75" customHeight="1">
      <c r="A127" s="18" t="s">
        <v>1102</v>
      </c>
      <c r="B127" s="21" t="s">
        <v>545</v>
      </c>
      <c r="C127" s="21" t="s">
        <v>1208</v>
      </c>
      <c r="D127" s="21" t="s">
        <v>1104</v>
      </c>
      <c r="E127" s="23" t="s">
        <v>15</v>
      </c>
      <c r="F127" s="25" t="s">
        <v>56</v>
      </c>
      <c r="G127" s="33" t="str">
        <f>OrderService!J97</f>
        <v>Pass</v>
      </c>
      <c r="H127" s="34" t="str">
        <f>OrderService!K97</f>
        <v/>
      </c>
      <c r="I127" s="35" t="str">
        <f>OrderService!M97</f>
        <v>✅ ĐÃ FIX
OrderService.cs:2274-2277 đọc DELIVERY_FAILURE_MANAGER_THRESHOLD qua ISystemConfigService, fallback 3 chỉ khi parse lỗi.</v>
      </c>
    </row>
    <row r="128" ht="15.75" customHeight="1">
      <c r="A128" s="27" t="s">
        <v>1115</v>
      </c>
      <c r="B128" s="28" t="s">
        <v>545</v>
      </c>
      <c r="C128" s="28" t="s">
        <v>1224</v>
      </c>
      <c r="D128" s="28" t="s">
        <v>1121</v>
      </c>
      <c r="E128" s="23" t="s">
        <v>15</v>
      </c>
      <c r="F128" s="41" t="s">
        <v>56</v>
      </c>
      <c r="G128" s="39" t="str">
        <f>OrderService!J100</f>
        <v>Pass</v>
      </c>
      <c r="H128" s="40" t="str">
        <f>OrderService!K100</f>
        <v/>
      </c>
      <c r="I128" s="35" t="str">
        <f>OrderService!M100</f>
        <v>✅ ĐÃ FIX
OrderService.cs:337 dùng phép so sánh != thay vì &lt;, tách nhánh UNDERPAYMENT ghi PaymentException + cảnh báo (341-345), không còn return im lặng.</v>
      </c>
    </row>
    <row r="129" ht="15.75" customHeight="1">
      <c r="A129" s="18" t="s">
        <v>1132</v>
      </c>
      <c r="B129" s="21" t="s">
        <v>545</v>
      </c>
      <c r="C129" s="21" t="s">
        <v>1224</v>
      </c>
      <c r="D129" s="21" t="s">
        <v>1136</v>
      </c>
      <c r="E129" s="23" t="s">
        <v>15</v>
      </c>
      <c r="F129" s="25" t="s">
        <v>56</v>
      </c>
      <c r="G129" s="33" t="str">
        <f>OrderService!J101</f>
        <v>Pass</v>
      </c>
      <c r="H129" s="34" t="str">
        <f>OrderService!K101</f>
        <v/>
      </c>
      <c r="I129" s="35" t="str">
        <f>OrderService!M101</f>
        <v>✅ ĐÃ FIX
Cùng vị trí OrderService.cs:337-351, nhánh OVERPAYMENT bị từ chối + ghi đối soát, không tự set Paid.</v>
      </c>
    </row>
    <row r="130" ht="15.75" customHeight="1">
      <c r="A130" s="27" t="s">
        <v>1145</v>
      </c>
      <c r="B130" s="28" t="s">
        <v>545</v>
      </c>
      <c r="C130" s="28" t="s">
        <v>1224</v>
      </c>
      <c r="D130" s="28" t="s">
        <v>1150</v>
      </c>
      <c r="E130" s="23" t="s">
        <v>15</v>
      </c>
      <c r="F130" s="28" t="s">
        <v>55</v>
      </c>
      <c r="G130" s="39" t="str">
        <f>OrderService!J102</f>
        <v>Pass</v>
      </c>
      <c r="H130" s="40" t="str">
        <f>OrderService!K102</f>
        <v/>
      </c>
      <c r="I130" s="35" t="str">
        <f>OrderService!M102</f>
        <v>✅ Pass (không đổi)</v>
      </c>
    </row>
    <row r="131" ht="15.75" customHeight="1">
      <c r="A131" s="18" t="s">
        <v>420</v>
      </c>
      <c r="B131" s="21" t="s">
        <v>1243</v>
      </c>
      <c r="C131" s="21" t="s">
        <v>1244</v>
      </c>
      <c r="D131" s="21" t="s">
        <v>417</v>
      </c>
      <c r="E131" s="23" t="s">
        <v>15</v>
      </c>
      <c r="F131" s="21" t="s">
        <v>55</v>
      </c>
      <c r="G131" s="33" t="str">
        <f>QuotationService!J6</f>
        <v>Pass</v>
      </c>
      <c r="H131" s="34" t="str">
        <f>QuotationService!K6</f>
        <v/>
      </c>
      <c r="I131" s="35" t="str">
        <f>QuotationService!M6</f>
        <v>✅ Pass (không đổi)</v>
      </c>
    </row>
    <row r="132" ht="15.75" customHeight="1">
      <c r="A132" s="27" t="s">
        <v>431</v>
      </c>
      <c r="B132" s="28" t="s">
        <v>1243</v>
      </c>
      <c r="C132" s="28" t="s">
        <v>1244</v>
      </c>
      <c r="D132" s="28" t="s">
        <v>426</v>
      </c>
      <c r="E132" s="23" t="s">
        <v>15</v>
      </c>
      <c r="F132" s="41" t="s">
        <v>56</v>
      </c>
      <c r="G132" s="39" t="str">
        <f>QuotationService!J7</f>
        <v>Pass</v>
      </c>
      <c r="H132" s="40" t="str">
        <f>QuotationService!K7</f>
        <v/>
      </c>
      <c r="I132" s="35" t="str">
        <f>QuotationService!M7</f>
        <v>✅ Pass (không đổi)</v>
      </c>
    </row>
    <row r="133" ht="15.75" customHeight="1">
      <c r="A133" s="18" t="s">
        <v>444</v>
      </c>
      <c r="B133" s="21" t="s">
        <v>1243</v>
      </c>
      <c r="C133" s="21" t="s">
        <v>1256</v>
      </c>
      <c r="D133" s="21" t="s">
        <v>448</v>
      </c>
      <c r="E133" s="23" t="s">
        <v>15</v>
      </c>
      <c r="F133" s="21" t="s">
        <v>55</v>
      </c>
      <c r="G133" s="33" t="str">
        <f>QuotationService!J9</f>
        <v>Pass</v>
      </c>
      <c r="H133" s="34" t="str">
        <f>QuotationService!K9</f>
        <v/>
      </c>
      <c r="I133" s="35" t="str">
        <f>QuotationService!M9</f>
        <v>✅ Pass (không đổi)</v>
      </c>
    </row>
    <row r="134" ht="15.75" customHeight="1">
      <c r="A134" s="27" t="s">
        <v>455</v>
      </c>
      <c r="B134" s="28" t="s">
        <v>1243</v>
      </c>
      <c r="C134" s="28" t="s">
        <v>1256</v>
      </c>
      <c r="D134" s="28" t="s">
        <v>462</v>
      </c>
      <c r="E134" s="23" t="s">
        <v>15</v>
      </c>
      <c r="F134" s="41" t="s">
        <v>56</v>
      </c>
      <c r="G134" s="39" t="str">
        <f>QuotationService!J10</f>
        <v>Pass</v>
      </c>
      <c r="H134" s="40" t="str">
        <f>QuotationService!K10</f>
        <v/>
      </c>
      <c r="I134" s="35" t="str">
        <f>QuotationService!M10</f>
        <v>✅ Pass (không đổi)</v>
      </c>
    </row>
    <row r="135" ht="15.75" customHeight="1">
      <c r="A135" s="18" t="s">
        <v>474</v>
      </c>
      <c r="B135" s="21" t="s">
        <v>1243</v>
      </c>
      <c r="C135" s="21" t="s">
        <v>1257</v>
      </c>
      <c r="D135" s="21" t="s">
        <v>477</v>
      </c>
      <c r="E135" s="23" t="s">
        <v>15</v>
      </c>
      <c r="F135" s="21" t="s">
        <v>55</v>
      </c>
      <c r="G135" s="33" t="str">
        <f>QuotationService!J12</f>
        <v>Pass</v>
      </c>
      <c r="H135" s="34" t="str">
        <f>QuotationService!K12</f>
        <v/>
      </c>
      <c r="I135" s="35" t="str">
        <f>QuotationService!M12</f>
        <v>✅ Pass (không đổi)</v>
      </c>
    </row>
    <row r="136" ht="15.75" customHeight="1">
      <c r="A136" s="27" t="s">
        <v>488</v>
      </c>
      <c r="B136" s="28" t="s">
        <v>1243</v>
      </c>
      <c r="C136" s="28" t="s">
        <v>1257</v>
      </c>
      <c r="D136" s="28" t="s">
        <v>462</v>
      </c>
      <c r="E136" s="23" t="s">
        <v>15</v>
      </c>
      <c r="F136" s="41" t="s">
        <v>56</v>
      </c>
      <c r="G136" s="39" t="str">
        <f>QuotationService!J13</f>
        <v>Pass</v>
      </c>
      <c r="H136" s="40" t="str">
        <f>QuotationService!K13</f>
        <v/>
      </c>
      <c r="I136" s="35" t="str">
        <f>QuotationService!M13</f>
        <v>✅ Pass (không đổi)</v>
      </c>
    </row>
    <row r="137" ht="15.75" customHeight="1">
      <c r="A137" s="18" t="s">
        <v>503</v>
      </c>
      <c r="B137" s="21" t="s">
        <v>1243</v>
      </c>
      <c r="C137" s="21" t="s">
        <v>1258</v>
      </c>
      <c r="D137" s="21" t="s">
        <v>448</v>
      </c>
      <c r="E137" s="23" t="s">
        <v>15</v>
      </c>
      <c r="F137" s="21" t="s">
        <v>55</v>
      </c>
      <c r="G137" s="33" t="str">
        <f>QuotationService!J15</f>
        <v>Pass</v>
      </c>
      <c r="H137" s="34" t="str">
        <f>QuotationService!K15</f>
        <v/>
      </c>
      <c r="I137" s="35" t="str">
        <f>QuotationService!M15</f>
        <v>✅ Pass (không đổi)</v>
      </c>
    </row>
    <row r="138" ht="15.75" customHeight="1">
      <c r="A138" s="27" t="s">
        <v>515</v>
      </c>
      <c r="B138" s="28" t="s">
        <v>1243</v>
      </c>
      <c r="C138" s="28" t="s">
        <v>1258</v>
      </c>
      <c r="D138" s="28" t="s">
        <v>448</v>
      </c>
      <c r="E138" s="23" t="s">
        <v>15</v>
      </c>
      <c r="F138" s="28" t="s">
        <v>55</v>
      </c>
      <c r="G138" s="39" t="str">
        <f>QuotationService!J16</f>
        <v>Pass</v>
      </c>
      <c r="H138" s="40" t="str">
        <f>QuotationService!K16</f>
        <v/>
      </c>
      <c r="I138" s="35" t="str">
        <f>QuotationService!M16</f>
        <v>✅ Pass (không đổi)</v>
      </c>
    </row>
    <row r="139" ht="15.75" customHeight="1">
      <c r="A139" s="18" t="s">
        <v>525</v>
      </c>
      <c r="B139" s="21" t="s">
        <v>1243</v>
      </c>
      <c r="C139" s="21" t="s">
        <v>1258</v>
      </c>
      <c r="D139" s="21" t="s">
        <v>528</v>
      </c>
      <c r="E139" s="23" t="s">
        <v>15</v>
      </c>
      <c r="F139" s="25" t="s">
        <v>56</v>
      </c>
      <c r="G139" s="33" t="str">
        <f>QuotationService!J17</f>
        <v>Pass</v>
      </c>
      <c r="H139" s="34" t="str">
        <f>QuotationService!K17</f>
        <v/>
      </c>
      <c r="I139" s="35" t="str">
        <f>QuotationService!M17</f>
        <v>🔒 CẦN L3 (không phải bug)
CeoReviewVersionAsync (253-286) không tự check role, nhưng [Authorize(Roles="CEO")] ở QuotationController.cs:187 đã chặn. Có test L3: VietTien.IntegrationTests/RoleGateTests.cs:91-112 (L1_QUO_09_...).</v>
      </c>
    </row>
    <row r="140" ht="15.75" customHeight="1">
      <c r="A140" s="27" t="s">
        <v>544</v>
      </c>
      <c r="B140" s="28" t="s">
        <v>1243</v>
      </c>
      <c r="C140" s="28" t="s">
        <v>1260</v>
      </c>
      <c r="D140" s="28" t="s">
        <v>549</v>
      </c>
      <c r="E140" s="23" t="s">
        <v>15</v>
      </c>
      <c r="F140" s="28" t="s">
        <v>55</v>
      </c>
      <c r="G140" s="39" t="str">
        <f>QuotationService!J19</f>
        <v>Pass</v>
      </c>
      <c r="H140" s="40" t="str">
        <f>QuotationService!K19</f>
        <v/>
      </c>
      <c r="I140" s="35" t="str">
        <f>QuotationService!M19</f>
        <v>✅ Pass (không đổi)</v>
      </c>
    </row>
    <row r="141" ht="15.75" customHeight="1">
      <c r="A141" s="18" t="s">
        <v>555</v>
      </c>
      <c r="B141" s="21" t="s">
        <v>1243</v>
      </c>
      <c r="C141" s="21" t="s">
        <v>1260</v>
      </c>
      <c r="D141" s="21" t="s">
        <v>559</v>
      </c>
      <c r="E141" s="23" t="s">
        <v>15</v>
      </c>
      <c r="F141" s="21" t="s">
        <v>55</v>
      </c>
      <c r="G141" s="33" t="str">
        <f>QuotationService!J20</f>
        <v>Pass</v>
      </c>
      <c r="H141" s="34" t="str">
        <f>QuotationService!K20</f>
        <v/>
      </c>
      <c r="I141" s="35" t="str">
        <f>QuotationService!M20</f>
        <v>✅ Pass (không đổi)</v>
      </c>
    </row>
    <row r="142" ht="15.75" customHeight="1">
      <c r="A142" s="27" t="s">
        <v>566</v>
      </c>
      <c r="B142" s="28" t="s">
        <v>1243</v>
      </c>
      <c r="C142" s="28" t="s">
        <v>1260</v>
      </c>
      <c r="D142" s="28" t="s">
        <v>559</v>
      </c>
      <c r="E142" s="23" t="s">
        <v>15</v>
      </c>
      <c r="F142" s="41" t="s">
        <v>56</v>
      </c>
      <c r="G142" s="39" t="str">
        <f>QuotationService!J21</f>
        <v>Pass</v>
      </c>
      <c r="H142" s="40" t="str">
        <f>QuotationService!K21</f>
        <v/>
      </c>
      <c r="I142" s="35" t="str">
        <f>QuotationService!M21</f>
        <v>✅ ĐÃ FIX
QuotationService.cs:288,290,319-330 MaxNegotiationRounds=5; ở vòng thứ 5 bị từ chối thì set Cancelled, chặn vòng 6.</v>
      </c>
    </row>
    <row r="143" ht="15.75" customHeight="1">
      <c r="A143" s="18" t="s">
        <v>577</v>
      </c>
      <c r="B143" s="21" t="s">
        <v>1243</v>
      </c>
      <c r="C143" s="21" t="s">
        <v>1260</v>
      </c>
      <c r="D143" s="21" t="s">
        <v>528</v>
      </c>
      <c r="E143" s="23" t="s">
        <v>15</v>
      </c>
      <c r="F143" s="25" t="s">
        <v>56</v>
      </c>
      <c r="G143" s="33" t="str">
        <f>QuotationService!J22</f>
        <v>Pass</v>
      </c>
      <c r="H143" s="34" t="str">
        <f>QuotationService!K22</f>
        <v/>
      </c>
      <c r="I143" s="35" t="str">
        <f>QuotationService!M22</f>
        <v>✅ Pass (không đổi)</v>
      </c>
    </row>
    <row r="144" ht="15.75" customHeight="1">
      <c r="A144" s="27" t="s">
        <v>592</v>
      </c>
      <c r="B144" s="28" t="s">
        <v>1243</v>
      </c>
      <c r="C144" s="28" t="s">
        <v>1268</v>
      </c>
      <c r="D144" s="28" t="s">
        <v>595</v>
      </c>
      <c r="E144" s="30" t="s">
        <v>25</v>
      </c>
      <c r="F144" s="28" t="s">
        <v>55</v>
      </c>
      <c r="G144" s="39" t="str">
        <f>QuotationService!J24</f>
        <v>Pass</v>
      </c>
      <c r="H144" s="40" t="str">
        <f>QuotationService!K24</f>
        <v/>
      </c>
      <c r="I144" s="35" t="str">
        <f>QuotationService!M24</f>
        <v>✅ Pass (không đổi)</v>
      </c>
    </row>
    <row r="145" ht="15.75" customHeight="1">
      <c r="A145" s="18" t="s">
        <v>604</v>
      </c>
      <c r="B145" s="21" t="s">
        <v>1243</v>
      </c>
      <c r="C145" s="21" t="s">
        <v>1268</v>
      </c>
      <c r="D145" s="21" t="s">
        <v>607</v>
      </c>
      <c r="E145" s="23" t="s">
        <v>15</v>
      </c>
      <c r="F145" s="25" t="s">
        <v>56</v>
      </c>
      <c r="G145" s="33" t="str">
        <f>QuotationService!J25</f>
        <v>Pass</v>
      </c>
      <c r="H145" s="34" t="str">
        <f>QuotationService!K25</f>
        <v/>
      </c>
      <c r="I145" s="35" t="str">
        <f>QuotationService!M25</f>
        <v>✅ Pass (không đổi)</v>
      </c>
    </row>
    <row r="146" ht="15.75" customHeight="1">
      <c r="A146" s="27" t="s">
        <v>619</v>
      </c>
      <c r="B146" s="28" t="s">
        <v>1243</v>
      </c>
      <c r="C146" s="28" t="s">
        <v>1275</v>
      </c>
      <c r="D146" s="28" t="s">
        <v>622</v>
      </c>
      <c r="E146" s="30" t="s">
        <v>25</v>
      </c>
      <c r="F146" s="28" t="s">
        <v>55</v>
      </c>
      <c r="G146" s="39" t="str">
        <f>QuotationService!J27</f>
        <v>Pass</v>
      </c>
      <c r="H146" s="40" t="str">
        <f>QuotationService!K27</f>
        <v/>
      </c>
      <c r="I146" s="35" t="str">
        <f>QuotationService!M27</f>
        <v>✅ Pass (không đổi)</v>
      </c>
    </row>
    <row r="147" ht="15.75" customHeight="1">
      <c r="A147" s="18" t="s">
        <v>634</v>
      </c>
      <c r="B147" s="21" t="s">
        <v>1243</v>
      </c>
      <c r="C147" s="21" t="s">
        <v>1275</v>
      </c>
      <c r="D147" s="21" t="s">
        <v>528</v>
      </c>
      <c r="E147" s="23" t="s">
        <v>15</v>
      </c>
      <c r="F147" s="25" t="s">
        <v>56</v>
      </c>
      <c r="G147" s="33" t="str">
        <f>QuotationService!J28</f>
        <v>Pass</v>
      </c>
      <c r="H147" s="34" t="str">
        <f>QuotationService!K28</f>
        <v/>
      </c>
      <c r="I147" s="35" t="str">
        <f>QuotationService!M28</f>
        <v>✅ Pass (không đổi)</v>
      </c>
    </row>
    <row r="148" ht="15.75" customHeight="1">
      <c r="A148" s="27" t="s">
        <v>623</v>
      </c>
      <c r="B148" s="28" t="s">
        <v>1293</v>
      </c>
      <c r="C148" s="28" t="s">
        <v>1296</v>
      </c>
      <c r="D148" s="28" t="s">
        <v>628</v>
      </c>
      <c r="E148" s="23" t="s">
        <v>15</v>
      </c>
      <c r="F148" s="28" t="s">
        <v>55</v>
      </c>
      <c r="G148" s="39" t="str">
        <f>ManualPaymentService!J6</f>
        <v>Pass</v>
      </c>
      <c r="H148" s="40" t="str">
        <f>ManualPaymentService!K6</f>
        <v/>
      </c>
      <c r="I148" s="35" t="str">
        <f>ManualPaymentService!M6</f>
        <v>✅ Pass (không đổi)</v>
      </c>
    </row>
    <row r="149" ht="15.75" customHeight="1">
      <c r="A149" s="18" t="s">
        <v>643</v>
      </c>
      <c r="B149" s="21" t="s">
        <v>1293</v>
      </c>
      <c r="C149" s="21" t="s">
        <v>1296</v>
      </c>
      <c r="D149" s="21" t="s">
        <v>646</v>
      </c>
      <c r="E149" s="23" t="s">
        <v>15</v>
      </c>
      <c r="F149" s="25" t="s">
        <v>56</v>
      </c>
      <c r="G149" s="33" t="str">
        <f>ManualPaymentService!J7</f>
        <v>Pass</v>
      </c>
      <c r="H149" s="34" t="str">
        <f>ManualPaymentService!K7</f>
        <v/>
      </c>
      <c r="I149" s="35" t="str">
        <f>ManualPaymentService!M7</f>
        <v>✅ Pass (không đổi)</v>
      </c>
    </row>
    <row r="150" ht="15.75" customHeight="1">
      <c r="A150" s="27" t="s">
        <v>656</v>
      </c>
      <c r="B150" s="28" t="s">
        <v>1293</v>
      </c>
      <c r="C150" s="28" t="s">
        <v>1296</v>
      </c>
      <c r="D150" s="28" t="s">
        <v>508</v>
      </c>
      <c r="E150" s="23" t="s">
        <v>15</v>
      </c>
      <c r="F150" s="41" t="s">
        <v>56</v>
      </c>
      <c r="G150" s="39" t="str">
        <f>ManualPaymentService!J8</f>
        <v>Pass</v>
      </c>
      <c r="H150" s="40" t="str">
        <f>ManualPaymentService!K8</f>
        <v/>
      </c>
      <c r="I150" s="35" t="str">
        <f>ManualPaymentService!M8</f>
        <v>✅ Pass (không đổi)</v>
      </c>
    </row>
    <row r="151" ht="15.75" customHeight="1">
      <c r="A151" s="18" t="s">
        <v>670</v>
      </c>
      <c r="B151" s="21" t="s">
        <v>1293</v>
      </c>
      <c r="C151" s="21" t="s">
        <v>1318</v>
      </c>
      <c r="D151" s="21" t="s">
        <v>674</v>
      </c>
      <c r="E151" s="32" t="s">
        <v>25</v>
      </c>
      <c r="F151" s="21" t="s">
        <v>55</v>
      </c>
      <c r="G151" s="33" t="str">
        <f>ManualPaymentService!J10</f>
        <v>Pass</v>
      </c>
      <c r="H151" s="34" t="str">
        <f>ManualPaymentService!K10</f>
        <v/>
      </c>
      <c r="I151" s="35" t="str">
        <f>ManualPaymentService!M10</f>
        <v>✅ Pass (không đổi)</v>
      </c>
    </row>
    <row r="152" ht="15.75" customHeight="1">
      <c r="A152" s="27" t="s">
        <v>682</v>
      </c>
      <c r="B152" s="28" t="s">
        <v>1293</v>
      </c>
      <c r="C152" s="28" t="s">
        <v>1318</v>
      </c>
      <c r="D152" s="28" t="s">
        <v>685</v>
      </c>
      <c r="E152" s="30" t="s">
        <v>25</v>
      </c>
      <c r="F152" s="28" t="s">
        <v>55</v>
      </c>
      <c r="G152" s="39" t="str">
        <f>ManualPaymentService!J11</f>
        <v>Pass</v>
      </c>
      <c r="H152" s="40" t="str">
        <f>ManualPaymentService!K11</f>
        <v/>
      </c>
      <c r="I152" s="35" t="str">
        <f>ManualPaymentService!M11</f>
        <v>✅ Pass (không đổi)</v>
      </c>
    </row>
    <row r="153" ht="15.75" customHeight="1">
      <c r="A153" s="18" t="s">
        <v>798</v>
      </c>
      <c r="B153" s="21" t="s">
        <v>1320</v>
      </c>
      <c r="C153" s="21" t="s">
        <v>1321</v>
      </c>
      <c r="D153" s="21" t="s">
        <v>601</v>
      </c>
      <c r="E153" s="23" t="s">
        <v>15</v>
      </c>
      <c r="F153" s="21" t="s">
        <v>55</v>
      </c>
      <c r="G153" s="33" t="str">
        <f>WarehouseService!J6</f>
        <v>Pass</v>
      </c>
      <c r="H153" s="34" t="str">
        <f>WarehouseService!K6</f>
        <v/>
      </c>
      <c r="I153" s="35" t="str">
        <f>WarehouseService!M6</f>
        <v>✅ Pass (không đổi)</v>
      </c>
    </row>
    <row r="154" ht="15.75" customHeight="1">
      <c r="A154" s="27" t="s">
        <v>813</v>
      </c>
      <c r="B154" s="28" t="s">
        <v>1320</v>
      </c>
      <c r="C154" s="28" t="s">
        <v>1321</v>
      </c>
      <c r="D154" s="28" t="s">
        <v>817</v>
      </c>
      <c r="E154" s="30" t="s">
        <v>25</v>
      </c>
      <c r="F154" s="28" t="s">
        <v>55</v>
      </c>
      <c r="G154" s="39" t="str">
        <f>WarehouseService!J7</f>
        <v>Pass</v>
      </c>
      <c r="H154" s="40" t="str">
        <f>WarehouseService!K7</f>
        <v/>
      </c>
      <c r="I154" s="35" t="str">
        <f>WarehouseService!M7</f>
        <v>✅ Pass (không đổi)</v>
      </c>
    </row>
    <row r="155" ht="15.75" customHeight="1">
      <c r="A155" s="18" t="s">
        <v>828</v>
      </c>
      <c r="B155" s="21" t="s">
        <v>1320</v>
      </c>
      <c r="C155" s="21" t="s">
        <v>1323</v>
      </c>
      <c r="D155" s="21" t="s">
        <v>831</v>
      </c>
      <c r="E155" s="23" t="s">
        <v>15</v>
      </c>
      <c r="F155" s="21" t="s">
        <v>55</v>
      </c>
      <c r="G155" s="33" t="str">
        <f>WarehouseService!J9</f>
        <v>Pass</v>
      </c>
      <c r="H155" s="34" t="str">
        <f>WarehouseService!K9</f>
        <v/>
      </c>
      <c r="I155" s="35" t="str">
        <f>WarehouseService!M9</f>
        <v>✅ Pass (không đổi)</v>
      </c>
    </row>
    <row r="156" ht="15.75" customHeight="1">
      <c r="A156" s="27" t="s">
        <v>839</v>
      </c>
      <c r="B156" s="28" t="s">
        <v>1320</v>
      </c>
      <c r="C156" s="28" t="s">
        <v>1323</v>
      </c>
      <c r="D156" s="28" t="s">
        <v>842</v>
      </c>
      <c r="E156" s="23" t="s">
        <v>15</v>
      </c>
      <c r="F156" s="41" t="s">
        <v>56</v>
      </c>
      <c r="G156" s="39" t="str">
        <f>WarehouseService!J10</f>
        <v>Pass</v>
      </c>
      <c r="H156" s="40" t="str">
        <f>WarehouseService!K10</f>
        <v/>
      </c>
      <c r="I156" s="35" t="str">
        <f>WarehouseService!M10</f>
        <v>✅ Pass (không đổi)</v>
      </c>
    </row>
    <row r="157" ht="15.75" customHeight="1">
      <c r="A157" s="18" t="s">
        <v>858</v>
      </c>
      <c r="B157" s="21" t="s">
        <v>1320</v>
      </c>
      <c r="C157" s="21" t="s">
        <v>1324</v>
      </c>
      <c r="D157" s="21" t="s">
        <v>861</v>
      </c>
      <c r="E157" s="23" t="s">
        <v>15</v>
      </c>
      <c r="F157" s="21" t="s">
        <v>55</v>
      </c>
      <c r="G157" s="33" t="str">
        <f>WarehouseService!J12</f>
        <v>Pass</v>
      </c>
      <c r="H157" s="34" t="str">
        <f>WarehouseService!K12</f>
        <v/>
      </c>
      <c r="I157" s="35" t="str">
        <f>WarehouseService!M12</f>
        <v>✅ Pass (không đổi)</v>
      </c>
    </row>
    <row r="158" ht="15.75" customHeight="1">
      <c r="A158" s="27" t="s">
        <v>875</v>
      </c>
      <c r="B158" s="28" t="s">
        <v>1320</v>
      </c>
      <c r="C158" s="28" t="s">
        <v>1324</v>
      </c>
      <c r="D158" s="28" t="s">
        <v>877</v>
      </c>
      <c r="E158" s="30" t="s">
        <v>25</v>
      </c>
      <c r="F158" s="41" t="s">
        <v>56</v>
      </c>
      <c r="G158" s="39" t="str">
        <f>WarehouseService!J13</f>
        <v>Pass</v>
      </c>
      <c r="H158" s="40" t="str">
        <f>WarehouseService!K13</f>
        <v/>
      </c>
      <c r="I158" s="35" t="str">
        <f>WarehouseService!M13</f>
        <v>✅ Pass (không đổi)</v>
      </c>
    </row>
    <row r="159" ht="15.75" customHeight="1">
      <c r="A159" s="18" t="s">
        <v>893</v>
      </c>
      <c r="B159" s="21" t="s">
        <v>1320</v>
      </c>
      <c r="C159" s="21" t="s">
        <v>1329</v>
      </c>
      <c r="D159" s="21" t="s">
        <v>897</v>
      </c>
      <c r="E159" s="23" t="s">
        <v>15</v>
      </c>
      <c r="F159" s="21" t="s">
        <v>55</v>
      </c>
      <c r="G159" s="33" t="str">
        <f>WarehouseService!J15</f>
        <v>Pass</v>
      </c>
      <c r="H159" s="34" t="str">
        <f>WarehouseService!K15</f>
        <v/>
      </c>
      <c r="I159" s="35" t="str">
        <f>WarehouseService!M15</f>
        <v>✅ Pass (không đổi)</v>
      </c>
    </row>
    <row r="160" ht="15.75" customHeight="1">
      <c r="A160" s="27" t="s">
        <v>910</v>
      </c>
      <c r="B160" s="28" t="s">
        <v>1320</v>
      </c>
      <c r="C160" s="28" t="s">
        <v>1329</v>
      </c>
      <c r="D160" s="28" t="s">
        <v>913</v>
      </c>
      <c r="E160" s="23" t="s">
        <v>15</v>
      </c>
      <c r="F160" s="41" t="s">
        <v>56</v>
      </c>
      <c r="G160" s="39" t="str">
        <f>WarehouseService!J16</f>
        <v>Pass</v>
      </c>
      <c r="H160" s="40" t="str">
        <f>WarehouseService!K16</f>
        <v/>
      </c>
      <c r="I160" s="35" t="str">
        <f>WarehouseService!M16</f>
        <v>✅ Pass (không đổi)</v>
      </c>
    </row>
    <row r="161" ht="15.75" customHeight="1">
      <c r="A161" s="18" t="s">
        <v>924</v>
      </c>
      <c r="B161" s="21" t="s">
        <v>1320</v>
      </c>
      <c r="C161" s="21" t="s">
        <v>1329</v>
      </c>
      <c r="D161" s="21" t="s">
        <v>927</v>
      </c>
      <c r="E161" s="32" t="s">
        <v>25</v>
      </c>
      <c r="F161" s="21" t="s">
        <v>55</v>
      </c>
      <c r="G161" s="33" t="str">
        <f>WarehouseService!J17</f>
        <v>Pass</v>
      </c>
      <c r="H161" s="34" t="str">
        <f>WarehouseService!K17</f>
        <v/>
      </c>
      <c r="I161" s="35" t="str">
        <f>WarehouseService!M17</f>
        <v>✅ Pass (không đổi)</v>
      </c>
    </row>
    <row r="162" ht="15.75" customHeight="1">
      <c r="A162" s="27" t="s">
        <v>943</v>
      </c>
      <c r="B162" s="28" t="s">
        <v>1320</v>
      </c>
      <c r="C162" s="28" t="s">
        <v>1335</v>
      </c>
      <c r="D162" s="28" t="s">
        <v>947</v>
      </c>
      <c r="E162" s="30" t="s">
        <v>25</v>
      </c>
      <c r="F162" s="28" t="s">
        <v>55</v>
      </c>
      <c r="G162" s="39" t="str">
        <f>WarehouseService!J19</f>
        <v>Pass</v>
      </c>
      <c r="H162" s="40" t="str">
        <f>WarehouseService!K19</f>
        <v/>
      </c>
      <c r="I162" s="35" t="str">
        <f>WarehouseService!M19</f>
        <v>✅ Pass (không đổi)</v>
      </c>
    </row>
    <row r="163" ht="15.75" customHeight="1">
      <c r="A163" s="18" t="s">
        <v>959</v>
      </c>
      <c r="B163" s="21" t="s">
        <v>1320</v>
      </c>
      <c r="C163" s="21" t="s">
        <v>1335</v>
      </c>
      <c r="D163" s="21" t="s">
        <v>963</v>
      </c>
      <c r="E163" s="23" t="s">
        <v>15</v>
      </c>
      <c r="F163" s="21" t="s">
        <v>55</v>
      </c>
      <c r="G163" s="33" t="str">
        <f>WarehouseService!J20</f>
        <v>Pass</v>
      </c>
      <c r="H163" s="34" t="str">
        <f>WarehouseService!K20</f>
        <v/>
      </c>
      <c r="I163" s="35" t="str">
        <f>WarehouseService!M20</f>
        <v>✅ Pass (không đổi)</v>
      </c>
    </row>
    <row r="164" ht="15.75" customHeight="1">
      <c r="A164" s="27" t="s">
        <v>982</v>
      </c>
      <c r="B164" s="28" t="s">
        <v>1320</v>
      </c>
      <c r="C164" s="28" t="s">
        <v>1335</v>
      </c>
      <c r="D164" s="28" t="s">
        <v>986</v>
      </c>
      <c r="E164" s="23" t="s">
        <v>15</v>
      </c>
      <c r="F164" s="41" t="s">
        <v>56</v>
      </c>
      <c r="G164" s="39" t="str">
        <f>WarehouseService!J21</f>
        <v>Pass</v>
      </c>
      <c r="H164" s="40" t="str">
        <f>WarehouseService!K21</f>
        <v/>
      </c>
      <c r="I164" s="35" t="str">
        <f>WarehouseService!M21</f>
        <v>✅ Pass (không đổi)</v>
      </c>
    </row>
    <row r="165" ht="15.75" customHeight="1">
      <c r="A165" s="18" t="s">
        <v>846</v>
      </c>
      <c r="B165" s="21" t="s">
        <v>1354</v>
      </c>
      <c r="C165" s="21" t="s">
        <v>1355</v>
      </c>
      <c r="D165" s="21" t="s">
        <v>849</v>
      </c>
      <c r="E165" s="32" t="s">
        <v>25</v>
      </c>
      <c r="F165" s="21" t="s">
        <v>55</v>
      </c>
      <c r="G165" s="33" t="str">
        <f>PurchaseOrderService!J6</f>
        <v>Pass</v>
      </c>
      <c r="H165" s="34" t="str">
        <f>PurchaseOrderService!K6</f>
        <v/>
      </c>
      <c r="I165" s="35" t="str">
        <f>PurchaseOrderService!M6</f>
        <v>✅ Pass (không đổi)</v>
      </c>
    </row>
    <row r="166" ht="15.75" customHeight="1">
      <c r="A166" s="27" t="s">
        <v>863</v>
      </c>
      <c r="B166" s="28" t="s">
        <v>1354</v>
      </c>
      <c r="C166" s="28" t="s">
        <v>1355</v>
      </c>
      <c r="D166" s="28" t="s">
        <v>868</v>
      </c>
      <c r="E166" s="23" t="s">
        <v>15</v>
      </c>
      <c r="F166" s="41" t="s">
        <v>56</v>
      </c>
      <c r="G166" s="39" t="str">
        <f>PurchaseOrderService!J7</f>
        <v>Pass</v>
      </c>
      <c r="H166" s="40" t="str">
        <f>PurchaseOrderService!K7</f>
        <v/>
      </c>
      <c r="I166" s="35" t="str">
        <f>PurchaseOrderService!M7</f>
        <v>✅ Pass (không đổi)</v>
      </c>
    </row>
    <row r="167" ht="15.75" customHeight="1">
      <c r="A167" s="18" t="s">
        <v>885</v>
      </c>
      <c r="B167" s="21" t="s">
        <v>1354</v>
      </c>
      <c r="C167" s="21" t="s">
        <v>1356</v>
      </c>
      <c r="D167" s="21" t="s">
        <v>849</v>
      </c>
      <c r="E167" s="23" t="s">
        <v>15</v>
      </c>
      <c r="F167" s="21" t="s">
        <v>55</v>
      </c>
      <c r="G167" s="33" t="str">
        <f>PurchaseOrderService!J9</f>
        <v>Pass</v>
      </c>
      <c r="H167" s="34" t="str">
        <f>PurchaseOrderService!K9</f>
        <v/>
      </c>
      <c r="I167" s="35" t="str">
        <f>PurchaseOrderService!M9</f>
        <v>✅ Pass (không đổi)</v>
      </c>
    </row>
    <row r="168" ht="15.75" customHeight="1">
      <c r="A168" s="27" t="s">
        <v>903</v>
      </c>
      <c r="B168" s="28" t="s">
        <v>1354</v>
      </c>
      <c r="C168" s="28" t="s">
        <v>1356</v>
      </c>
      <c r="D168" s="28" t="s">
        <v>908</v>
      </c>
      <c r="E168" s="23" t="s">
        <v>15</v>
      </c>
      <c r="F168" s="41" t="s">
        <v>56</v>
      </c>
      <c r="G168" s="39" t="str">
        <f>PurchaseOrderService!J10</f>
        <v>Pass</v>
      </c>
      <c r="H168" s="40" t="str">
        <f>PurchaseOrderService!K10</f>
        <v/>
      </c>
      <c r="I168" s="35" t="str">
        <f>PurchaseOrderService!M10</f>
        <v>✅ Pass (không đổi)</v>
      </c>
    </row>
    <row r="169" ht="15.75" customHeight="1">
      <c r="A169" s="18" t="s">
        <v>920</v>
      </c>
      <c r="B169" s="21" t="s">
        <v>1354</v>
      </c>
      <c r="C169" s="21" t="s">
        <v>1356</v>
      </c>
      <c r="D169" s="21" t="s">
        <v>925</v>
      </c>
      <c r="E169" s="32" t="s">
        <v>25</v>
      </c>
      <c r="F169" s="21" t="s">
        <v>55</v>
      </c>
      <c r="G169" s="33" t="str">
        <f>PurchaseOrderService!J11</f>
        <v>Pass</v>
      </c>
      <c r="H169" s="34" t="str">
        <f>PurchaseOrderService!K11</f>
        <v/>
      </c>
      <c r="I169" s="35" t="str">
        <f>PurchaseOrderService!M11</f>
        <v>✅ Pass (không đổi)</v>
      </c>
    </row>
    <row r="170" ht="15.75" customHeight="1">
      <c r="A170" s="27" t="s">
        <v>942</v>
      </c>
      <c r="B170" s="28" t="s">
        <v>1354</v>
      </c>
      <c r="C170" s="28" t="s">
        <v>1358</v>
      </c>
      <c r="D170" s="28" t="s">
        <v>849</v>
      </c>
      <c r="E170" s="30" t="s">
        <v>25</v>
      </c>
      <c r="F170" s="28" t="s">
        <v>55</v>
      </c>
      <c r="G170" s="39" t="str">
        <f>PurchaseOrderService!J13</f>
        <v>Pass</v>
      </c>
      <c r="H170" s="40" t="str">
        <f>PurchaseOrderService!K13</f>
        <v/>
      </c>
      <c r="I170" s="35" t="str">
        <f>PurchaseOrderService!M13</f>
        <v>✅ Pass (không đổi)</v>
      </c>
    </row>
    <row r="171" ht="15.75" customHeight="1">
      <c r="A171" s="18" t="s">
        <v>961</v>
      </c>
      <c r="B171" s="21" t="s">
        <v>1354</v>
      </c>
      <c r="C171" s="21" t="s">
        <v>1358</v>
      </c>
      <c r="D171" s="21" t="s">
        <v>968</v>
      </c>
      <c r="E171" s="23" t="s">
        <v>15</v>
      </c>
      <c r="F171" s="25" t="s">
        <v>56</v>
      </c>
      <c r="G171" s="33" t="str">
        <f>PurchaseOrderService!J14</f>
        <v>Pass</v>
      </c>
      <c r="H171" s="34" t="str">
        <f>PurchaseOrderService!K14</f>
        <v/>
      </c>
      <c r="I171" s="35" t="str">
        <f>PurchaseOrderService!M14</f>
        <v>✅ Pass (không đổi)</v>
      </c>
    </row>
    <row r="172" ht="15.75" customHeight="1">
      <c r="A172" s="27" t="s">
        <v>1110</v>
      </c>
      <c r="B172" s="28" t="s">
        <v>1361</v>
      </c>
      <c r="C172" s="28" t="s">
        <v>1362</v>
      </c>
      <c r="D172" s="28" t="s">
        <v>1113</v>
      </c>
      <c r="E172" s="30" t="s">
        <v>25</v>
      </c>
      <c r="F172" s="28" t="s">
        <v>55</v>
      </c>
      <c r="G172" s="39" t="str">
        <f>GoodsReceiptService!J6</f>
        <v>Pass</v>
      </c>
      <c r="H172" s="40" t="str">
        <f>GoodsReceiptService!K6</f>
        <v/>
      </c>
      <c r="I172" s="35" t="str">
        <f>GoodsReceiptService!M6</f>
        <v>✅ Pass (không đổi)</v>
      </c>
    </row>
    <row r="173" ht="15.75" customHeight="1">
      <c r="A173" s="18" t="s">
        <v>1125</v>
      </c>
      <c r="B173" s="21" t="s">
        <v>1361</v>
      </c>
      <c r="C173" s="21" t="s">
        <v>1362</v>
      </c>
      <c r="D173" s="21" t="s">
        <v>1131</v>
      </c>
      <c r="E173" s="23" t="s">
        <v>15</v>
      </c>
      <c r="F173" s="25" t="s">
        <v>56</v>
      </c>
      <c r="G173" s="33" t="str">
        <f>GoodsReceiptService!J7</f>
        <v>Pass</v>
      </c>
      <c r="H173" s="34" t="str">
        <f>GoodsReceiptService!K7</f>
        <v/>
      </c>
      <c r="I173" s="35" t="str">
        <f>GoodsReceiptService!M7</f>
        <v>✅ Pass (không đổi)</v>
      </c>
    </row>
    <row r="174" ht="15.75" customHeight="1">
      <c r="A174" s="27" t="s">
        <v>1149</v>
      </c>
      <c r="B174" s="28" t="s">
        <v>1361</v>
      </c>
      <c r="C174" s="28" t="s">
        <v>1375</v>
      </c>
      <c r="D174" s="28" t="s">
        <v>1154</v>
      </c>
      <c r="E174" s="23" t="s">
        <v>15</v>
      </c>
      <c r="F174" s="28" t="s">
        <v>55</v>
      </c>
      <c r="G174" s="39" t="str">
        <f>GoodsReceiptService!J9</f>
        <v>Pass</v>
      </c>
      <c r="H174" s="40" t="str">
        <f>GoodsReceiptService!K9</f>
        <v/>
      </c>
      <c r="I174" s="35" t="str">
        <f>GoodsReceiptService!M9</f>
        <v>✅ Pass (không đổi)</v>
      </c>
    </row>
    <row r="175" ht="15.75" customHeight="1">
      <c r="A175" s="18" t="s">
        <v>1161</v>
      </c>
      <c r="B175" s="21" t="s">
        <v>1361</v>
      </c>
      <c r="C175" s="21" t="s">
        <v>1375</v>
      </c>
      <c r="D175" s="21" t="s">
        <v>1163</v>
      </c>
      <c r="E175" s="23" t="s">
        <v>15</v>
      </c>
      <c r="F175" s="25" t="s">
        <v>56</v>
      </c>
      <c r="G175" s="33" t="str">
        <f>GoodsReceiptService!J10</f>
        <v>Pass</v>
      </c>
      <c r="H175" s="34" t="str">
        <f>GoodsReceiptService!K10</f>
        <v/>
      </c>
      <c r="I175" s="35" t="str">
        <f>GoodsReceiptService!M10</f>
        <v>✅ Pass (không đổi)</v>
      </c>
    </row>
    <row r="176" ht="15.75" customHeight="1">
      <c r="A176" s="27" t="s">
        <v>1174</v>
      </c>
      <c r="B176" s="28" t="s">
        <v>1361</v>
      </c>
      <c r="C176" s="28" t="s">
        <v>1389</v>
      </c>
      <c r="D176" s="28" t="s">
        <v>1177</v>
      </c>
      <c r="E176" s="30" t="s">
        <v>25</v>
      </c>
      <c r="F176" s="28" t="s">
        <v>55</v>
      </c>
      <c r="G176" s="39" t="str">
        <f>GoodsReceiptService!J12</f>
        <v>Pass</v>
      </c>
      <c r="H176" s="40" t="str">
        <f>GoodsReceiptService!K12</f>
        <v/>
      </c>
      <c r="I176" s="35" t="str">
        <f>GoodsReceiptService!M12</f>
        <v>✅ Pass (không đổi)</v>
      </c>
    </row>
    <row r="177" ht="15.75" customHeight="1">
      <c r="A177" s="18" t="s">
        <v>1184</v>
      </c>
      <c r="B177" s="21" t="s">
        <v>1361</v>
      </c>
      <c r="C177" s="21" t="s">
        <v>1389</v>
      </c>
      <c r="D177" s="21" t="s">
        <v>1188</v>
      </c>
      <c r="E177" s="23" t="s">
        <v>15</v>
      </c>
      <c r="F177" s="25" t="s">
        <v>56</v>
      </c>
      <c r="G177" s="33" t="str">
        <f>GoodsReceiptService!J13</f>
        <v>Pass</v>
      </c>
      <c r="H177" s="34" t="str">
        <f>GoodsReceiptService!K13</f>
        <v/>
      </c>
      <c r="I177" s="35" t="str">
        <f>GoodsReceiptService!M13</f>
        <v>✅ Pass (không đổi)</v>
      </c>
    </row>
    <row r="178" ht="15.75" customHeight="1">
      <c r="A178" s="27" t="s">
        <v>1195</v>
      </c>
      <c r="B178" s="28" t="s">
        <v>1361</v>
      </c>
      <c r="C178" s="28" t="s">
        <v>1389</v>
      </c>
      <c r="D178" s="28" t="s">
        <v>1199</v>
      </c>
      <c r="E178" s="30" t="s">
        <v>32</v>
      </c>
      <c r="F178" s="28" t="s">
        <v>55</v>
      </c>
      <c r="G178" s="39" t="str">
        <f>GoodsReceiptService!J14</f>
        <v>Pass</v>
      </c>
      <c r="H178" s="40" t="str">
        <f>GoodsReceiptService!K14</f>
        <v/>
      </c>
      <c r="I178" s="35" t="str">
        <f>GoodsReceiptService!M14</f>
        <v>✅ Pass (không đổi)</v>
      </c>
    </row>
    <row r="179" ht="15.75" customHeight="1">
      <c r="A179" s="18" t="s">
        <v>1124</v>
      </c>
      <c r="B179" s="21" t="s">
        <v>1408</v>
      </c>
      <c r="C179" s="21" t="s">
        <v>1409</v>
      </c>
      <c r="D179" s="21" t="s">
        <v>1128</v>
      </c>
      <c r="E179" s="32" t="s">
        <v>25</v>
      </c>
      <c r="F179" s="21" t="s">
        <v>55</v>
      </c>
      <c r="G179" s="33" t="str">
        <f>SalesAllocationService!J6</f>
        <v>Pass</v>
      </c>
      <c r="H179" s="34" t="str">
        <f>SalesAllocationService!K6</f>
        <v/>
      </c>
      <c r="I179" s="35" t="str">
        <f>SalesAllocationService!M6</f>
        <v>✅ Pass (không đổi)</v>
      </c>
    </row>
    <row r="180" ht="15.75" customHeight="1">
      <c r="A180" s="27" t="s">
        <v>1144</v>
      </c>
      <c r="B180" s="28" t="s">
        <v>1408</v>
      </c>
      <c r="C180" s="28" t="s">
        <v>1409</v>
      </c>
      <c r="D180" s="28" t="s">
        <v>1148</v>
      </c>
      <c r="E180" s="30" t="s">
        <v>25</v>
      </c>
      <c r="F180" s="28" t="s">
        <v>55</v>
      </c>
      <c r="G180" s="39" t="str">
        <f>SalesAllocationService!J7</f>
        <v>Pass</v>
      </c>
      <c r="H180" s="40" t="str">
        <f>SalesAllocationService!K7</f>
        <v/>
      </c>
      <c r="I180" s="35" t="str">
        <f>SalesAllocationService!M7</f>
        <v>✅ Pass (không đổi)</v>
      </c>
    </row>
    <row r="181" ht="15.75" customHeight="1">
      <c r="A181" s="18" t="s">
        <v>1164</v>
      </c>
      <c r="B181" s="21" t="s">
        <v>1408</v>
      </c>
      <c r="C181" s="21" t="s">
        <v>1419</v>
      </c>
      <c r="D181" s="21" t="s">
        <v>1168</v>
      </c>
      <c r="E181" s="32" t="s">
        <v>25</v>
      </c>
      <c r="F181" s="21" t="s">
        <v>55</v>
      </c>
      <c r="G181" s="33" t="str">
        <f>SalesAllocationService!J9</f>
        <v>Pass</v>
      </c>
      <c r="H181" s="34" t="str">
        <f>SalesAllocationService!K9</f>
        <v/>
      </c>
      <c r="I181" s="35" t="str">
        <f>SalesAllocationService!M9</f>
        <v>✅ Pass (không đổi)</v>
      </c>
    </row>
    <row r="182" ht="15.75" customHeight="1">
      <c r="A182" s="27" t="s">
        <v>1181</v>
      </c>
      <c r="B182" s="28" t="s">
        <v>1408</v>
      </c>
      <c r="C182" s="28" t="s">
        <v>1420</v>
      </c>
      <c r="D182" s="28" t="s">
        <v>1183</v>
      </c>
      <c r="E182" s="23" t="s">
        <v>15</v>
      </c>
      <c r="F182" s="41" t="s">
        <v>56</v>
      </c>
      <c r="G182" s="39" t="str">
        <f>SalesAllocationService!J11</f>
        <v>Pass</v>
      </c>
      <c r="H182" s="40" t="str">
        <f>SalesAllocationService!K11</f>
        <v/>
      </c>
      <c r="I182" s="35" t="str">
        <f>SalesAllocationService!M11</f>
        <v>✅ Pass (không đổi)</v>
      </c>
    </row>
    <row r="183" ht="15.75" customHeight="1">
      <c r="A183" s="18" t="s">
        <v>1193</v>
      </c>
      <c r="B183" s="21" t="s">
        <v>1408</v>
      </c>
      <c r="C183" s="21" t="s">
        <v>1420</v>
      </c>
      <c r="D183" s="21" t="s">
        <v>1196</v>
      </c>
      <c r="E183" s="32" t="s">
        <v>32</v>
      </c>
      <c r="F183" s="21" t="s">
        <v>55</v>
      </c>
      <c r="G183" s="33" t="str">
        <f>SalesAllocationService!J12</f>
        <v>Pass</v>
      </c>
      <c r="H183" s="34" t="str">
        <f>SalesAllocationService!K12</f>
        <v/>
      </c>
      <c r="I183" s="35" t="str">
        <f>SalesAllocationService!M12</f>
        <v>✅ Pass (không đổi)</v>
      </c>
    </row>
    <row r="184" ht="15.75" customHeight="1">
      <c r="A184" s="27" t="s">
        <v>1206</v>
      </c>
      <c r="B184" s="28" t="s">
        <v>1408</v>
      </c>
      <c r="C184" s="28" t="s">
        <v>1421</v>
      </c>
      <c r="D184" s="28" t="s">
        <v>1209</v>
      </c>
      <c r="E184" s="23" t="s">
        <v>15</v>
      </c>
      <c r="F184" s="28" t="s">
        <v>55</v>
      </c>
      <c r="G184" s="39" t="str">
        <f>SalesAllocationService!J14</f>
        <v>Pass</v>
      </c>
      <c r="H184" s="40" t="str">
        <f>SalesAllocationService!K14</f>
        <v/>
      </c>
      <c r="I184" s="35" t="str">
        <f>SalesAllocationService!M14</f>
        <v>✅ Pass (không đổi)</v>
      </c>
    </row>
    <row r="185" ht="15.75" customHeight="1">
      <c r="A185" s="18" t="s">
        <v>1213</v>
      </c>
      <c r="B185" s="21" t="s">
        <v>1408</v>
      </c>
      <c r="C185" s="21" t="s">
        <v>1421</v>
      </c>
      <c r="D185" s="21" t="s">
        <v>1215</v>
      </c>
      <c r="E185" s="23" t="s">
        <v>15</v>
      </c>
      <c r="F185" s="25" t="s">
        <v>56</v>
      </c>
      <c r="G185" s="33" t="str">
        <f>SalesAllocationService!J15</f>
        <v>Pass</v>
      </c>
      <c r="H185" s="34" t="str">
        <f>SalesAllocationService!K15</f>
        <v/>
      </c>
      <c r="I185" s="35" t="str">
        <f>SalesAllocationService!M15</f>
        <v>✅ Pass (không đổi)</v>
      </c>
    </row>
    <row r="186" ht="15.75" customHeight="1">
      <c r="A186" s="27" t="s">
        <v>1219</v>
      </c>
      <c r="B186" s="28" t="s">
        <v>1408</v>
      </c>
      <c r="C186" s="28" t="s">
        <v>1421</v>
      </c>
      <c r="D186" s="28" t="s">
        <v>1215</v>
      </c>
      <c r="E186" s="23" t="s">
        <v>15</v>
      </c>
      <c r="F186" s="41" t="s">
        <v>56</v>
      </c>
      <c r="G186" s="39" t="str">
        <f>SalesAllocationService!J16</f>
        <v>Pass</v>
      </c>
      <c r="H186" s="40" t="str">
        <f>SalesAllocationService!K16</f>
        <v/>
      </c>
      <c r="I186" s="35" t="str">
        <f>SalesAllocationService!M16</f>
        <v>✅ ĐÃ FIX
SalesAllocationService.cs:373-374 lọc IsActive trong ResolveReferralStaffAsync, referral của NV nghỉ việc không được gán.</v>
      </c>
    </row>
    <row r="187" ht="15.75" customHeight="1">
      <c r="A187" s="18" t="s">
        <v>1226</v>
      </c>
      <c r="B187" s="21" t="s">
        <v>1408</v>
      </c>
      <c r="C187" s="21" t="s">
        <v>1421</v>
      </c>
      <c r="D187" s="21" t="s">
        <v>1215</v>
      </c>
      <c r="E187" s="23" t="s">
        <v>15</v>
      </c>
      <c r="F187" s="25" t="s">
        <v>56</v>
      </c>
      <c r="G187" s="33" t="str">
        <f>SalesAllocationService!J17</f>
        <v>Pass</v>
      </c>
      <c r="H187" s="34" t="str">
        <f>SalesAllocationService!K17</f>
        <v/>
      </c>
      <c r="I187" s="35" t="str">
        <f>SalesAllocationService!M17</f>
        <v>✅ Pass (không đổi)</v>
      </c>
    </row>
    <row r="188" ht="15.75" customHeight="1">
      <c r="A188" s="27" t="s">
        <v>1231</v>
      </c>
      <c r="B188" s="28" t="s">
        <v>1408</v>
      </c>
      <c r="C188" s="28" t="s">
        <v>1421</v>
      </c>
      <c r="D188" s="28" t="s">
        <v>1233</v>
      </c>
      <c r="E188" s="23" t="s">
        <v>15</v>
      </c>
      <c r="F188" s="28" t="s">
        <v>55</v>
      </c>
      <c r="G188" s="39" t="str">
        <f>SalesAllocationService!J18</f>
        <v>Pass</v>
      </c>
      <c r="H188" s="40" t="str">
        <f>SalesAllocationService!K18</f>
        <v/>
      </c>
      <c r="I188" s="35" t="str">
        <f>SalesAllocationService!M18</f>
        <v>✅ Pass (không đổi)</v>
      </c>
    </row>
    <row r="189" ht="15.75" customHeight="1">
      <c r="A189" s="18" t="s">
        <v>1237</v>
      </c>
      <c r="B189" s="21" t="s">
        <v>1408</v>
      </c>
      <c r="C189" s="21" t="s">
        <v>1421</v>
      </c>
      <c r="D189" s="21" t="s">
        <v>1148</v>
      </c>
      <c r="E189" s="23" t="s">
        <v>15</v>
      </c>
      <c r="F189" s="21" t="s">
        <v>55</v>
      </c>
      <c r="G189" s="33" t="str">
        <f>SalesAllocationService!J19</f>
        <v>Pass</v>
      </c>
      <c r="H189" s="34" t="str">
        <f>SalesAllocationService!K19</f>
        <v/>
      </c>
      <c r="I189" s="35" t="str">
        <f>SalesAllocationService!M19</f>
        <v>✅ Pass (không đổi)</v>
      </c>
    </row>
    <row r="190" ht="15.75" customHeight="1">
      <c r="A190" s="27" t="s">
        <v>1242</v>
      </c>
      <c r="B190" s="28" t="s">
        <v>1408</v>
      </c>
      <c r="C190" s="28" t="s">
        <v>1421</v>
      </c>
      <c r="D190" s="28" t="s">
        <v>1246</v>
      </c>
      <c r="E190" s="23" t="s">
        <v>15</v>
      </c>
      <c r="F190" s="41" t="s">
        <v>56</v>
      </c>
      <c r="G190" s="39" t="str">
        <f>SalesAllocationService!J20</f>
        <v>Pass</v>
      </c>
      <c r="H190" s="40" t="str">
        <f>SalesAllocationService!K20</f>
        <v/>
      </c>
      <c r="I190" s="35" t="str">
        <f>SalesAllocationService!M20</f>
        <v>✅ Pass (không đổi)</v>
      </c>
    </row>
    <row r="191" ht="15.75" customHeight="1">
      <c r="A191" s="18" t="s">
        <v>1250</v>
      </c>
      <c r="B191" s="21" t="s">
        <v>1408</v>
      </c>
      <c r="C191" s="21" t="s">
        <v>1421</v>
      </c>
      <c r="D191" s="21" t="s">
        <v>1252</v>
      </c>
      <c r="E191" s="32" t="s">
        <v>25</v>
      </c>
      <c r="F191" s="21" t="s">
        <v>55</v>
      </c>
      <c r="G191" s="33" t="str">
        <f>SalesAllocationService!J21</f>
        <v>Pass</v>
      </c>
      <c r="H191" s="34" t="str">
        <f>SalesAllocationService!K21</f>
        <v/>
      </c>
      <c r="I191" s="35" t="str">
        <f>SalesAllocationService!M21</f>
        <v>✅ Pass (không đổi)</v>
      </c>
    </row>
    <row r="192" ht="15.75" customHeight="1">
      <c r="A192" s="27" t="s">
        <v>1262</v>
      </c>
      <c r="B192" s="28" t="s">
        <v>1459</v>
      </c>
      <c r="C192" s="28" t="s">
        <v>1461</v>
      </c>
      <c r="D192" s="28" t="s">
        <v>1038</v>
      </c>
      <c r="E192" s="23" t="s">
        <v>15</v>
      </c>
      <c r="F192" s="28" t="s">
        <v>55</v>
      </c>
      <c r="G192" s="39" t="str">
        <f>JwtService!J6</f>
        <v>Pass</v>
      </c>
      <c r="H192" s="40" t="str">
        <f>JwtService!K6</f>
        <v/>
      </c>
      <c r="I192" s="35" t="str">
        <f>JwtService!M6</f>
        <v>✅ Pass (không đổi)</v>
      </c>
    </row>
    <row r="193" ht="15.75" customHeight="1">
      <c r="A193" s="18" t="s">
        <v>1269</v>
      </c>
      <c r="B193" s="21" t="s">
        <v>1459</v>
      </c>
      <c r="C193" s="21" t="s">
        <v>1461</v>
      </c>
      <c r="D193" s="21" t="s">
        <v>174</v>
      </c>
      <c r="E193" s="32" t="s">
        <v>25</v>
      </c>
      <c r="F193" s="21" t="s">
        <v>55</v>
      </c>
      <c r="G193" s="33" t="str">
        <f>JwtService!J7</f>
        <v>Pass</v>
      </c>
      <c r="H193" s="34" t="str">
        <f>JwtService!K7</f>
        <v/>
      </c>
      <c r="I193" s="35" t="str">
        <f>JwtService!M7</f>
        <v>✅ Pass (không đổi)</v>
      </c>
    </row>
    <row r="194" ht="15.75" customHeight="1">
      <c r="A194" s="27" t="s">
        <v>1276</v>
      </c>
      <c r="B194" s="28" t="s">
        <v>1459</v>
      </c>
      <c r="C194" s="28" t="s">
        <v>1479</v>
      </c>
      <c r="D194" s="28" t="s">
        <v>174</v>
      </c>
      <c r="E194" s="30" t="s">
        <v>25</v>
      </c>
      <c r="F194" s="28" t="s">
        <v>55</v>
      </c>
      <c r="G194" s="39" t="str">
        <f>JwtService!J9</f>
        <v>Pass</v>
      </c>
      <c r="H194" s="40" t="str">
        <f>JwtService!K9</f>
        <v/>
      </c>
      <c r="I194" s="35" t="str">
        <f>JwtService!M9</f>
        <v>✅ Pass (không đổi)</v>
      </c>
    </row>
    <row r="195" ht="15.75" customHeight="1">
      <c r="A195" s="18" t="s">
        <v>1289</v>
      </c>
      <c r="B195" s="21" t="s">
        <v>1459</v>
      </c>
      <c r="C195" s="21" t="s">
        <v>1481</v>
      </c>
      <c r="D195" s="21" t="s">
        <v>174</v>
      </c>
      <c r="E195" s="23" t="s">
        <v>15</v>
      </c>
      <c r="F195" s="21" t="s">
        <v>55</v>
      </c>
      <c r="G195" s="33" t="str">
        <f>JwtService!J11</f>
        <v>Pass</v>
      </c>
      <c r="H195" s="34" t="str">
        <f>JwtService!K11</f>
        <v/>
      </c>
      <c r="I195" s="35" t="str">
        <f>JwtService!M11</f>
        <v>✅ Pass (không đổi)</v>
      </c>
    </row>
    <row r="196" ht="15.75" customHeight="1">
      <c r="A196" s="27" t="s">
        <v>1301</v>
      </c>
      <c r="B196" s="28" t="s">
        <v>1459</v>
      </c>
      <c r="C196" s="28" t="s">
        <v>1481</v>
      </c>
      <c r="D196" s="28" t="s">
        <v>174</v>
      </c>
      <c r="E196" s="23" t="s">
        <v>15</v>
      </c>
      <c r="F196" s="41" t="s">
        <v>56</v>
      </c>
      <c r="G196" s="39" t="str">
        <f>JwtService!J12</f>
        <v>Pass</v>
      </c>
      <c r="H196" s="40" t="str">
        <f>JwtService!K12</f>
        <v/>
      </c>
      <c r="I196" s="35" t="str">
        <f>JwtService!M12</f>
        <v>✅ Pass (không đổi)</v>
      </c>
    </row>
    <row r="197" ht="15.75" customHeight="1">
      <c r="A197" s="18" t="s">
        <v>1279</v>
      </c>
      <c r="B197" s="21" t="s">
        <v>1489</v>
      </c>
      <c r="C197" s="21" t="s">
        <v>1490</v>
      </c>
      <c r="D197" s="21" t="s">
        <v>1283</v>
      </c>
      <c r="E197" s="23" t="s">
        <v>15</v>
      </c>
      <c r="F197" s="21" t="s">
        <v>55</v>
      </c>
      <c r="G197" s="33" t="str">
        <f>AddressService!J6</f>
        <v>Pass</v>
      </c>
      <c r="H197" s="34" t="str">
        <f>AddressService!K6</f>
        <v/>
      </c>
      <c r="I197" s="35" t="str">
        <f>AddressService!M6</f>
        <v>✅ Pass (không đổi)</v>
      </c>
    </row>
    <row r="198" ht="15.75" customHeight="1">
      <c r="A198" s="27" t="s">
        <v>1291</v>
      </c>
      <c r="B198" s="28" t="s">
        <v>1489</v>
      </c>
      <c r="C198" s="28" t="s">
        <v>1500</v>
      </c>
      <c r="D198" s="28" t="s">
        <v>183</v>
      </c>
      <c r="E198" s="23" t="s">
        <v>15</v>
      </c>
      <c r="F198" s="41" t="s">
        <v>56</v>
      </c>
      <c r="G198" s="39" t="str">
        <f>AddressService!J8</f>
        <v>Pass</v>
      </c>
      <c r="H198" s="40" t="str">
        <f>AddressService!K8</f>
        <v/>
      </c>
      <c r="I198" s="35" t="str">
        <f>AddressService!M8</f>
        <v>✅ Pass (không đổi)</v>
      </c>
    </row>
    <row r="199" ht="15.75" customHeight="1">
      <c r="A199" s="18" t="s">
        <v>1303</v>
      </c>
      <c r="B199" s="21" t="s">
        <v>1489</v>
      </c>
      <c r="C199" s="21" t="s">
        <v>1500</v>
      </c>
      <c r="D199" s="21" t="s">
        <v>1305</v>
      </c>
      <c r="E199" s="32" t="s">
        <v>32</v>
      </c>
      <c r="F199" s="21" t="s">
        <v>55</v>
      </c>
      <c r="G199" s="33" t="str">
        <f>AddressService!J9</f>
        <v>Pass</v>
      </c>
      <c r="H199" s="34" t="str">
        <f>AddressService!K9</f>
        <v/>
      </c>
      <c r="I199" s="35" t="str">
        <f>AddressService!M9</f>
        <v>✅ Pass (không đổi)</v>
      </c>
    </row>
    <row r="200" ht="15.75" customHeight="1">
      <c r="A200" s="27" t="s">
        <v>1312</v>
      </c>
      <c r="B200" s="28" t="s">
        <v>1489</v>
      </c>
      <c r="C200" s="28" t="s">
        <v>1500</v>
      </c>
      <c r="D200" s="28" t="s">
        <v>1314</v>
      </c>
      <c r="E200" s="30" t="s">
        <v>32</v>
      </c>
      <c r="F200" s="28" t="s">
        <v>55</v>
      </c>
      <c r="G200" s="39" t="str">
        <f>AddressService!J10</f>
        <v>Pass</v>
      </c>
      <c r="H200" s="40" t="str">
        <f>AddressService!K10</f>
        <v/>
      </c>
      <c r="I200" s="35" t="str">
        <f>AddressService!M10</f>
        <v>✅ Pass (không đổi)</v>
      </c>
    </row>
    <row r="201" ht="15.75" customHeight="1">
      <c r="A201" s="18" t="s">
        <v>1325</v>
      </c>
      <c r="B201" s="21" t="s">
        <v>1523</v>
      </c>
      <c r="C201" s="21" t="s">
        <v>1524</v>
      </c>
      <c r="D201" s="21" t="s">
        <v>174</v>
      </c>
      <c r="E201" s="23" t="s">
        <v>15</v>
      </c>
      <c r="F201" s="25" t="s">
        <v>56</v>
      </c>
      <c r="G201" s="33" t="str">
        <f>UserProfileService!J6</f>
        <v>Pass</v>
      </c>
      <c r="H201" s="34" t="str">
        <f>UserProfileService!K6</f>
        <v/>
      </c>
      <c r="I201" s="35" t="str">
        <f>UserProfileService!M6</f>
        <v>✅ Pass (không đổi)</v>
      </c>
    </row>
    <row r="202" ht="15.75" customHeight="1">
      <c r="A202" s="27" t="s">
        <v>1331</v>
      </c>
      <c r="B202" s="28" t="s">
        <v>1523</v>
      </c>
      <c r="C202" s="28" t="s">
        <v>1524</v>
      </c>
      <c r="D202" s="28" t="s">
        <v>174</v>
      </c>
      <c r="E202" s="23" t="s">
        <v>15</v>
      </c>
      <c r="F202" s="28" t="s">
        <v>55</v>
      </c>
      <c r="G202" s="39" t="str">
        <f>UserProfileService!J7</f>
        <v>Pass</v>
      </c>
      <c r="H202" s="40" t="str">
        <f>UserProfileService!K7</f>
        <v/>
      </c>
      <c r="I202" s="35" t="str">
        <f>UserProfileService!M7</f>
        <v>✅ Pass (không đổi)</v>
      </c>
    </row>
    <row r="203" ht="15.75" customHeight="1">
      <c r="A203" s="18" t="s">
        <v>1337</v>
      </c>
      <c r="B203" s="21" t="s">
        <v>1523</v>
      </c>
      <c r="C203" s="21" t="s">
        <v>1534</v>
      </c>
      <c r="D203" s="21" t="s">
        <v>1339</v>
      </c>
      <c r="E203" s="32" t="s">
        <v>25</v>
      </c>
      <c r="F203" s="21" t="s">
        <v>55</v>
      </c>
      <c r="G203" s="33" t="str">
        <f>UserProfileService!J9</f>
        <v>Pass</v>
      </c>
      <c r="H203" s="34" t="str">
        <f>UserProfileService!K9</f>
        <v/>
      </c>
      <c r="I203" s="35" t="str">
        <f>UserProfileService!M9</f>
        <v>✅ Pass (không đổi)</v>
      </c>
    </row>
    <row r="204" ht="15.75" customHeight="1">
      <c r="A204" s="27" t="s">
        <v>1343</v>
      </c>
      <c r="B204" s="28" t="s">
        <v>1523</v>
      </c>
      <c r="C204" s="28" t="s">
        <v>1534</v>
      </c>
      <c r="D204" s="28" t="s">
        <v>1345</v>
      </c>
      <c r="E204" s="30" t="s">
        <v>32</v>
      </c>
      <c r="F204" s="28" t="s">
        <v>55</v>
      </c>
      <c r="G204" s="39" t="str">
        <f>UserProfileService!J10</f>
        <v>Pass</v>
      </c>
      <c r="H204" s="40" t="str">
        <f>UserProfileService!K10</f>
        <v/>
      </c>
      <c r="I204" s="35" t="str">
        <f>UserProfileService!M10</f>
        <v>✅ Pass (không đổi)</v>
      </c>
    </row>
    <row r="205" ht="15.75" customHeight="1">
      <c r="A205" s="18" t="s">
        <v>1349</v>
      </c>
      <c r="B205" s="21" t="s">
        <v>1523</v>
      </c>
      <c r="C205" s="21" t="s">
        <v>1534</v>
      </c>
      <c r="D205" s="21" t="s">
        <v>1345</v>
      </c>
      <c r="E205" s="32" t="s">
        <v>32</v>
      </c>
      <c r="F205" s="21" t="s">
        <v>55</v>
      </c>
      <c r="G205" s="33" t="str">
        <f>UserProfileService!J11</f>
        <v>Pass</v>
      </c>
      <c r="H205" s="34" t="str">
        <f>UserProfileService!K11</f>
        <v/>
      </c>
      <c r="I205" s="35" t="str">
        <f>UserProfileService!M11</f>
        <v>✅ Pass (không đổi)</v>
      </c>
    </row>
    <row r="206" ht="15.75" customHeight="1">
      <c r="A206" s="27" t="s">
        <v>1363</v>
      </c>
      <c r="B206" s="28" t="s">
        <v>1543</v>
      </c>
      <c r="C206" s="28" t="s">
        <v>1544</v>
      </c>
      <c r="D206" s="28" t="s">
        <v>1365</v>
      </c>
      <c r="E206" s="30" t="s">
        <v>32</v>
      </c>
      <c r="F206" s="28" t="s">
        <v>55</v>
      </c>
      <c r="G206" s="39" t="str">
        <f>SupplierService!J6</f>
        <v>Pass</v>
      </c>
      <c r="H206" s="40" t="str">
        <f>SupplierService!K6</f>
        <v/>
      </c>
      <c r="I206" s="35" t="str">
        <f>SupplierService!M6</f>
        <v>✅ Pass (không đổi)</v>
      </c>
    </row>
    <row r="207" ht="15.75" customHeight="1">
      <c r="A207" s="18" t="s">
        <v>1369</v>
      </c>
      <c r="B207" s="21" t="s">
        <v>1543</v>
      </c>
      <c r="C207" s="21" t="s">
        <v>1544</v>
      </c>
      <c r="D207" s="21" t="s">
        <v>1371</v>
      </c>
      <c r="E207" s="32" t="s">
        <v>32</v>
      </c>
      <c r="F207" s="25" t="s">
        <v>56</v>
      </c>
      <c r="G207" s="33" t="str">
        <f>SupplierService!J7</f>
        <v>Pass</v>
      </c>
      <c r="H207" s="34" t="str">
        <f>SupplierService!K7</f>
        <v/>
      </c>
      <c r="I207" s="35" t="str">
        <f>SupplierService!M7</f>
        <v>✅ Pass (không đổi)</v>
      </c>
    </row>
    <row r="208" ht="15.75" customHeight="1">
      <c r="A208" s="27" t="s">
        <v>1377</v>
      </c>
      <c r="B208" s="28" t="s">
        <v>1543</v>
      </c>
      <c r="C208" s="28" t="s">
        <v>1544</v>
      </c>
      <c r="D208" s="28" t="s">
        <v>1371</v>
      </c>
      <c r="E208" s="30" t="s">
        <v>32</v>
      </c>
      <c r="F208" s="41" t="s">
        <v>56</v>
      </c>
      <c r="G208" s="39" t="str">
        <f>SupplierService!J8</f>
        <v>Pass</v>
      </c>
      <c r="H208" s="40" t="str">
        <f>SupplierService!K8</f>
        <v/>
      </c>
      <c r="I208" s="35" t="str">
        <f>SupplierService!M8</f>
        <v>✅ Pass (không đổi)</v>
      </c>
    </row>
    <row r="209" ht="15.75" customHeight="1">
      <c r="A209" s="18" t="s">
        <v>1381</v>
      </c>
      <c r="B209" s="21" t="s">
        <v>1546</v>
      </c>
      <c r="C209" s="21" t="s">
        <v>1547</v>
      </c>
      <c r="D209" s="21" t="s">
        <v>1384</v>
      </c>
      <c r="E209" s="32" t="s">
        <v>25</v>
      </c>
      <c r="F209" s="21" t="s">
        <v>55</v>
      </c>
      <c r="G209" s="33" t="str">
        <f>InventoryService!J6</f>
        <v>Pass</v>
      </c>
      <c r="H209" s="34" t="str">
        <f>InventoryService!K6</f>
        <v/>
      </c>
      <c r="I209" s="35" t="str">
        <f>InventoryService!M6</f>
        <v>✅ Pass (không đổi)</v>
      </c>
    </row>
    <row r="210" ht="15.75" customHeight="1">
      <c r="A210" s="27" t="s">
        <v>1390</v>
      </c>
      <c r="B210" s="28" t="s">
        <v>1546</v>
      </c>
      <c r="C210" s="28" t="s">
        <v>1548</v>
      </c>
      <c r="D210" s="28" t="s">
        <v>1392</v>
      </c>
      <c r="E210" s="23" t="s">
        <v>15</v>
      </c>
      <c r="F210" s="28" t="s">
        <v>55</v>
      </c>
      <c r="G210" s="39" t="str">
        <f>InventoryService!J8</f>
        <v>Pass</v>
      </c>
      <c r="H210" s="40" t="str">
        <f>InventoryService!K8</f>
        <v/>
      </c>
      <c r="I210" s="35" t="str">
        <f>InventoryService!M8</f>
        <v>✅ Pass (không đổi)</v>
      </c>
    </row>
    <row r="211" ht="15.75" customHeight="1">
      <c r="A211" s="18" t="s">
        <v>1396</v>
      </c>
      <c r="B211" s="21" t="s">
        <v>1546</v>
      </c>
      <c r="C211" s="21" t="s">
        <v>1548</v>
      </c>
      <c r="D211" s="21" t="s">
        <v>1399</v>
      </c>
      <c r="E211" s="23" t="s">
        <v>15</v>
      </c>
      <c r="F211" s="25" t="s">
        <v>56</v>
      </c>
      <c r="G211" s="33" t="str">
        <f>InventoryService!J9</f>
        <v>Pass</v>
      </c>
      <c r="H211" s="34" t="str">
        <f>InventoryService!K9</f>
        <v/>
      </c>
      <c r="I211" s="35" t="str">
        <f>InventoryService!M9</f>
        <v>✅ Pass (không đổi)</v>
      </c>
    </row>
    <row r="212" ht="15.75" customHeight="1">
      <c r="A212" s="27" t="s">
        <v>1405</v>
      </c>
      <c r="B212" s="28" t="s">
        <v>1546</v>
      </c>
      <c r="C212" s="28" t="s">
        <v>1556</v>
      </c>
      <c r="D212" s="28" t="s">
        <v>1407</v>
      </c>
      <c r="E212" s="30" t="s">
        <v>25</v>
      </c>
      <c r="F212" s="28" t="s">
        <v>55</v>
      </c>
      <c r="G212" s="39" t="str">
        <f>InventoryService!J11</f>
        <v>Pass</v>
      </c>
      <c r="H212" s="40" t="str">
        <f>InventoryService!K11</f>
        <v/>
      </c>
      <c r="I212" s="35" t="str">
        <f>InventoryService!M11</f>
        <v>✅ Pass (không đổi)</v>
      </c>
    </row>
    <row r="213" ht="15.75" customHeight="1">
      <c r="A213" s="18" t="s">
        <v>1413</v>
      </c>
      <c r="B213" s="21" t="s">
        <v>1546</v>
      </c>
      <c r="C213" s="21" t="s">
        <v>1556</v>
      </c>
      <c r="D213" s="21" t="s">
        <v>1415</v>
      </c>
      <c r="E213" s="32" t="s">
        <v>25</v>
      </c>
      <c r="F213" s="25" t="s">
        <v>56</v>
      </c>
      <c r="G213" s="33" t="str">
        <f>InventoryService!J12</f>
        <v>Pass</v>
      </c>
      <c r="H213" s="34" t="str">
        <f>InventoryService!K12</f>
        <v/>
      </c>
      <c r="I213" s="35" t="str">
        <f>InventoryService!M12</f>
        <v>✅ Pass (không đổi)</v>
      </c>
    </row>
    <row r="214" ht="15.75" customHeight="1">
      <c r="A214" s="27" t="s">
        <v>1424</v>
      </c>
      <c r="B214" s="28" t="s">
        <v>1568</v>
      </c>
      <c r="C214" s="28" t="s">
        <v>1569</v>
      </c>
      <c r="D214" s="28" t="s">
        <v>1426</v>
      </c>
      <c r="E214" s="30" t="s">
        <v>25</v>
      </c>
      <c r="F214" s="28" t="s">
        <v>55</v>
      </c>
      <c r="G214" s="39" t="str">
        <f>GoodsIssueService!J6</f>
        <v>Pass</v>
      </c>
      <c r="H214" s="40" t="str">
        <f>GoodsIssueService!K6</f>
        <v/>
      </c>
      <c r="I214" s="35" t="str">
        <f>GoodsIssueService!M6</f>
        <v>✅ Pass (không đổi)</v>
      </c>
    </row>
    <row r="215" ht="15.75" customHeight="1">
      <c r="A215" s="18" t="s">
        <v>1430</v>
      </c>
      <c r="B215" s="21" t="s">
        <v>1568</v>
      </c>
      <c r="C215" s="21" t="s">
        <v>1569</v>
      </c>
      <c r="D215" s="21" t="s">
        <v>1432</v>
      </c>
      <c r="E215" s="32" t="s">
        <v>32</v>
      </c>
      <c r="F215" s="21" t="s">
        <v>55</v>
      </c>
      <c r="G215" s="33" t="str">
        <f>GoodsIssueService!J7</f>
        <v>Pass</v>
      </c>
      <c r="H215" s="34" t="str">
        <f>GoodsIssueService!K7</f>
        <v/>
      </c>
      <c r="I215" s="35" t="str">
        <f>GoodsIssueService!M7</f>
        <v>✅ Pass (không đổi)</v>
      </c>
    </row>
    <row r="216" ht="15.75" customHeight="1">
      <c r="A216" s="27" t="s">
        <v>1437</v>
      </c>
      <c r="B216" s="28" t="s">
        <v>1568</v>
      </c>
      <c r="C216" s="28" t="s">
        <v>1570</v>
      </c>
      <c r="D216" s="28" t="s">
        <v>1439</v>
      </c>
      <c r="E216" s="23" t="s">
        <v>15</v>
      </c>
      <c r="F216" s="28" t="s">
        <v>55</v>
      </c>
      <c r="G216" s="39" t="str">
        <f>GoodsIssueService!J9</f>
        <v>Pass</v>
      </c>
      <c r="H216" s="40" t="str">
        <f>GoodsIssueService!K9</f>
        <v/>
      </c>
      <c r="I216" s="35" t="str">
        <f>GoodsIssueService!M9</f>
        <v>✅ Pass (không đổi)</v>
      </c>
    </row>
    <row r="217" ht="15.75" customHeight="1">
      <c r="A217" s="18" t="s">
        <v>1443</v>
      </c>
      <c r="B217" s="21" t="s">
        <v>1568</v>
      </c>
      <c r="C217" s="21" t="s">
        <v>1570</v>
      </c>
      <c r="D217" s="21" t="s">
        <v>1445</v>
      </c>
      <c r="E217" s="23" t="s">
        <v>15</v>
      </c>
      <c r="F217" s="25" t="s">
        <v>56</v>
      </c>
      <c r="G217" s="33" t="str">
        <f>GoodsIssueService!J10</f>
        <v>Pass</v>
      </c>
      <c r="H217" s="34" t="str">
        <f>GoodsIssueService!K10</f>
        <v/>
      </c>
      <c r="I217" s="35" t="str">
        <f>GoodsIssueService!M10</f>
        <v>✅ Pass (không đổi)</v>
      </c>
    </row>
    <row r="218" ht="15.75" customHeight="1">
      <c r="A218" s="27" t="s">
        <v>1449</v>
      </c>
      <c r="B218" s="28" t="s">
        <v>1568</v>
      </c>
      <c r="C218" s="28" t="s">
        <v>1571</v>
      </c>
      <c r="D218" s="28" t="s">
        <v>1451</v>
      </c>
      <c r="E218" s="23" t="s">
        <v>15</v>
      </c>
      <c r="F218" s="28" t="s">
        <v>55</v>
      </c>
      <c r="G218" s="39" t="str">
        <f>GoodsIssueService!J12</f>
        <v>Pass</v>
      </c>
      <c r="H218" s="40" t="str">
        <f>GoodsIssueService!K12</f>
        <v/>
      </c>
      <c r="I218" s="35" t="str">
        <f>GoodsIssueService!M12</f>
        <v>✅ Pass (không đổi)</v>
      </c>
    </row>
    <row r="219" ht="15.75" customHeight="1">
      <c r="A219" s="18" t="s">
        <v>1455</v>
      </c>
      <c r="B219" s="21" t="s">
        <v>1568</v>
      </c>
      <c r="C219" s="21" t="s">
        <v>1571</v>
      </c>
      <c r="D219" s="21" t="s">
        <v>842</v>
      </c>
      <c r="E219" s="23" t="s">
        <v>15</v>
      </c>
      <c r="F219" s="25" t="s">
        <v>56</v>
      </c>
      <c r="G219" s="33" t="str">
        <f>GoodsIssueService!J13</f>
        <v>Pass</v>
      </c>
      <c r="H219" s="34" t="str">
        <f>GoodsIssueService!K13</f>
        <v/>
      </c>
      <c r="I219" s="35" t="str">
        <f>GoodsIssueService!M13</f>
        <v>✅ Pass (không đổi)</v>
      </c>
    </row>
    <row r="220" ht="15.75" customHeight="1">
      <c r="A220" s="27" t="s">
        <v>1462</v>
      </c>
      <c r="B220" s="28" t="s">
        <v>1568</v>
      </c>
      <c r="C220" s="28" t="s">
        <v>1571</v>
      </c>
      <c r="D220" s="28" t="s">
        <v>842</v>
      </c>
      <c r="E220" s="23" t="s">
        <v>15</v>
      </c>
      <c r="F220" s="28" t="s">
        <v>55</v>
      </c>
      <c r="G220" s="39" t="str">
        <f>GoodsIssueService!J14</f>
        <v>Pass</v>
      </c>
      <c r="H220" s="40" t="str">
        <f>GoodsIssueService!K14</f>
        <v/>
      </c>
      <c r="I220" s="35" t="str">
        <f>GoodsIssueService!M14</f>
        <v>✅ Pass (không đổi)</v>
      </c>
    </row>
    <row r="221" ht="15.75" customHeight="1">
      <c r="A221" s="18" t="s">
        <v>1467</v>
      </c>
      <c r="B221" s="21" t="s">
        <v>1568</v>
      </c>
      <c r="C221" s="21" t="s">
        <v>1571</v>
      </c>
      <c r="D221" s="21" t="s">
        <v>1469</v>
      </c>
      <c r="E221" s="23" t="s">
        <v>15</v>
      </c>
      <c r="F221" s="25" t="s">
        <v>56</v>
      </c>
      <c r="G221" s="33" t="str">
        <f>GoodsIssueService!J15</f>
        <v>Pass</v>
      </c>
      <c r="H221" s="34" t="str">
        <f>GoodsIssueService!K15</f>
        <v/>
      </c>
      <c r="I221" s="35" t="str">
        <f>GoodsIssueService!M15</f>
        <v>✅ Pass (không đổi)</v>
      </c>
    </row>
    <row r="222" ht="15.75" customHeight="1">
      <c r="A222" s="27" t="s">
        <v>1474</v>
      </c>
      <c r="B222" s="28" t="s">
        <v>1568</v>
      </c>
      <c r="C222" s="28" t="s">
        <v>1571</v>
      </c>
      <c r="D222" s="28" t="s">
        <v>1477</v>
      </c>
      <c r="E222" s="23" t="s">
        <v>15</v>
      </c>
      <c r="F222" s="41" t="s">
        <v>56</v>
      </c>
      <c r="G222" s="39" t="str">
        <f>GoodsIssueService!J16</f>
        <v>Pass</v>
      </c>
      <c r="H222" s="40" t="str">
        <f>GoodsIssueService!K16</f>
        <v/>
      </c>
      <c r="I222" s="35" t="str">
        <f>GoodsIssueService!M16</f>
        <v>✅ Pass (không đổi)</v>
      </c>
    </row>
    <row r="223" ht="15.75" customHeight="1">
      <c r="A223" s="18" t="s">
        <v>1483</v>
      </c>
      <c r="B223" s="21" t="s">
        <v>1575</v>
      </c>
      <c r="C223" s="21" t="s">
        <v>1577</v>
      </c>
      <c r="D223" s="21" t="s">
        <v>1485</v>
      </c>
      <c r="E223" s="32" t="s">
        <v>25</v>
      </c>
      <c r="F223" s="21" t="s">
        <v>55</v>
      </c>
      <c r="G223" s="33" t="str">
        <f>StockTransferService!J6</f>
        <v>Pass</v>
      </c>
      <c r="H223" s="34" t="str">
        <f>StockTransferService!K6</f>
        <v/>
      </c>
      <c r="I223" s="35" t="str">
        <f>StockTransferService!M6</f>
        <v>✅ Pass (không đổi)</v>
      </c>
    </row>
    <row r="224" ht="15.75" customHeight="1">
      <c r="A224" s="27" t="s">
        <v>1491</v>
      </c>
      <c r="B224" s="28" t="s">
        <v>1575</v>
      </c>
      <c r="C224" s="28" t="s">
        <v>1577</v>
      </c>
      <c r="D224" s="28" t="s">
        <v>1493</v>
      </c>
      <c r="E224" s="30" t="s">
        <v>25</v>
      </c>
      <c r="F224" s="41" t="s">
        <v>56</v>
      </c>
      <c r="G224" s="39" t="str">
        <f>StockTransferService!J7</f>
        <v>Pass</v>
      </c>
      <c r="H224" s="40" t="str">
        <f>StockTransferService!K7</f>
        <v/>
      </c>
      <c r="I224" s="35" t="str">
        <f>StockTransferService!M7</f>
        <v>✅ Pass (không đổi)</v>
      </c>
    </row>
    <row r="225" ht="15.75" customHeight="1">
      <c r="A225" s="18" t="s">
        <v>1497</v>
      </c>
      <c r="B225" s="21" t="s">
        <v>1575</v>
      </c>
      <c r="C225" s="21" t="s">
        <v>1577</v>
      </c>
      <c r="D225" s="21" t="s">
        <v>1499</v>
      </c>
      <c r="E225" s="23" t="s">
        <v>15</v>
      </c>
      <c r="F225" s="21" t="s">
        <v>55</v>
      </c>
      <c r="G225" s="33" t="str">
        <f>StockTransferService!J8</f>
        <v>Pass</v>
      </c>
      <c r="H225" s="34" t="str">
        <f>StockTransferService!K8</f>
        <v/>
      </c>
      <c r="I225" s="35" t="str">
        <f>StockTransferService!M8</f>
        <v>✅ Pass (không đổi)</v>
      </c>
    </row>
    <row r="226" ht="15.75" customHeight="1">
      <c r="A226" s="27" t="s">
        <v>1504</v>
      </c>
      <c r="B226" s="28" t="s">
        <v>1575</v>
      </c>
      <c r="C226" s="28" t="s">
        <v>1577</v>
      </c>
      <c r="D226" s="28" t="s">
        <v>1506</v>
      </c>
      <c r="E226" s="23" t="s">
        <v>15</v>
      </c>
      <c r="F226" s="41" t="s">
        <v>56</v>
      </c>
      <c r="G226" s="39" t="str">
        <f>StockTransferService!J9</f>
        <v>Pass</v>
      </c>
      <c r="H226" s="40" t="str">
        <f>StockTransferService!K9</f>
        <v/>
      </c>
      <c r="I226" s="35" t="str">
        <f>StockTransferService!M9</f>
        <v>✅ Pass (không đổi)</v>
      </c>
    </row>
    <row r="227" ht="15.75" customHeight="1">
      <c r="A227" s="18" t="s">
        <v>1510</v>
      </c>
      <c r="B227" s="21" t="s">
        <v>1575</v>
      </c>
      <c r="C227" s="21" t="s">
        <v>1598</v>
      </c>
      <c r="D227" s="21" t="s">
        <v>1512</v>
      </c>
      <c r="E227" s="23" t="s">
        <v>15</v>
      </c>
      <c r="F227" s="21" t="s">
        <v>55</v>
      </c>
      <c r="G227" s="33" t="str">
        <f>StockTransferService!J11</f>
        <v>Pass</v>
      </c>
      <c r="H227" s="34" t="str">
        <f>StockTransferService!K11</f>
        <v/>
      </c>
      <c r="I227" s="35" t="str">
        <f>StockTransferService!M11</f>
        <v>✅ Pass (không đổi)</v>
      </c>
    </row>
    <row r="228" ht="15.75" customHeight="1">
      <c r="A228" s="27" t="s">
        <v>1516</v>
      </c>
      <c r="B228" s="28" t="s">
        <v>1575</v>
      </c>
      <c r="C228" s="28" t="s">
        <v>1598</v>
      </c>
      <c r="D228" s="28" t="s">
        <v>1518</v>
      </c>
      <c r="E228" s="23" t="s">
        <v>15</v>
      </c>
      <c r="F228" s="41" t="s">
        <v>56</v>
      </c>
      <c r="G228" s="39" t="str">
        <f>StockTransferService!J12</f>
        <v>Pass</v>
      </c>
      <c r="H228" s="40" t="str">
        <f>StockTransferService!K12</f>
        <v/>
      </c>
      <c r="I228" s="35" t="str">
        <f>StockTransferService!M12</f>
        <v>✅ Pass (không đổi)</v>
      </c>
    </row>
    <row r="229" ht="15.75" customHeight="1">
      <c r="A229" s="18" t="s">
        <v>1526</v>
      </c>
      <c r="B229" s="21" t="s">
        <v>1610</v>
      </c>
      <c r="C229" s="21" t="s">
        <v>1612</v>
      </c>
      <c r="D229" s="21" t="s">
        <v>1371</v>
      </c>
      <c r="E229" s="32" t="s">
        <v>32</v>
      </c>
      <c r="F229" s="21" t="s">
        <v>55</v>
      </c>
      <c r="G229" s="33" t="str">
        <f>WarehouseManagementService!J6</f>
        <v>Pass</v>
      </c>
      <c r="H229" s="34" t="str">
        <f>WarehouseManagementService!K6</f>
        <v/>
      </c>
      <c r="I229" s="35" t="str">
        <f>WarehouseManagementService!M6</f>
        <v>✅ Pass (không đổi)</v>
      </c>
    </row>
    <row r="230" ht="15.75" customHeight="1">
      <c r="A230" s="27" t="s">
        <v>1531</v>
      </c>
      <c r="B230" s="28" t="s">
        <v>1610</v>
      </c>
      <c r="C230" s="28" t="s">
        <v>1612</v>
      </c>
      <c r="D230" s="28" t="s">
        <v>1533</v>
      </c>
      <c r="E230" s="23" t="s">
        <v>15</v>
      </c>
      <c r="F230" s="41" t="s">
        <v>56</v>
      </c>
      <c r="G230" s="39" t="str">
        <f>WarehouseManagementService!J7</f>
        <v>Pass</v>
      </c>
      <c r="H230" s="40" t="str">
        <f>WarehouseManagementService!K7</f>
        <v/>
      </c>
      <c r="I230" s="35" t="str">
        <f>WarehouseManagementService!M7</f>
        <v>✅ Pass (không đổi)</v>
      </c>
    </row>
    <row r="231" ht="15.75" customHeight="1">
      <c r="A231" s="18" t="s">
        <v>1538</v>
      </c>
      <c r="B231" s="21" t="s">
        <v>1610</v>
      </c>
      <c r="C231" s="21" t="s">
        <v>1612</v>
      </c>
      <c r="D231" s="21" t="s">
        <v>1371</v>
      </c>
      <c r="E231" s="32" t="s">
        <v>32</v>
      </c>
      <c r="F231" s="25" t="s">
        <v>56</v>
      </c>
      <c r="G231" s="33" t="str">
        <f>WarehouseManagementService!J8</f>
        <v>Pass</v>
      </c>
      <c r="H231" s="34" t="str">
        <f>WarehouseManagementService!K8</f>
        <v/>
      </c>
      <c r="I231" s="35" t="str">
        <f>WarehouseManagementService!M8</f>
        <v>✅ Pass (không đổi)</v>
      </c>
    </row>
    <row r="232" ht="15.75" customHeight="1">
      <c r="A232" s="27" t="s">
        <v>1550</v>
      </c>
      <c r="B232" s="28" t="s">
        <v>1626</v>
      </c>
      <c r="C232" s="28" t="s">
        <v>1627</v>
      </c>
      <c r="D232" s="28" t="s">
        <v>1552</v>
      </c>
      <c r="E232" s="30" t="s">
        <v>32</v>
      </c>
      <c r="F232" s="28" t="s">
        <v>55</v>
      </c>
      <c r="G232" s="39" t="str">
        <f>MaterialService!J6</f>
        <v>Pass</v>
      </c>
      <c r="H232" s="40" t="str">
        <f>MaterialService!K6</f>
        <v/>
      </c>
      <c r="I232" s="35" t="str">
        <f>MaterialService!M6</f>
        <v>✅ Pass (không đổi)</v>
      </c>
    </row>
    <row r="233" ht="15.75" customHeight="1">
      <c r="A233" s="18" t="s">
        <v>1557</v>
      </c>
      <c r="B233" s="21" t="s">
        <v>1626</v>
      </c>
      <c r="C233" s="21" t="s">
        <v>1627</v>
      </c>
      <c r="D233" s="21" t="s">
        <v>1559</v>
      </c>
      <c r="E233" s="32" t="s">
        <v>32</v>
      </c>
      <c r="F233" s="21" t="s">
        <v>55</v>
      </c>
      <c r="G233" s="33" t="str">
        <f>MaterialService!J7</f>
        <v>Pass</v>
      </c>
      <c r="H233" s="34" t="str">
        <f>MaterialService!K7</f>
        <v/>
      </c>
      <c r="I233" s="35" t="str">
        <f>MaterialService!M7</f>
        <v>✅ Pass (không đổi)</v>
      </c>
    </row>
    <row r="234" ht="15.75" customHeight="1">
      <c r="A234" s="27" t="s">
        <v>1563</v>
      </c>
      <c r="B234" s="28" t="s">
        <v>1626</v>
      </c>
      <c r="C234" s="28" t="s">
        <v>1627</v>
      </c>
      <c r="D234" s="28" t="s">
        <v>1559</v>
      </c>
      <c r="E234" s="30" t="s">
        <v>32</v>
      </c>
      <c r="F234" s="41" t="s">
        <v>56</v>
      </c>
      <c r="G234" s="39" t="str">
        <f>MaterialService!J8</f>
        <v>Pass</v>
      </c>
      <c r="H234" s="40" t="str">
        <f>MaterialService!K8</f>
        <v/>
      </c>
      <c r="I234" s="35" t="str">
        <f>MaterialService!M8</f>
        <v>✅ Pass (không đổi)</v>
      </c>
    </row>
    <row r="235" ht="15.75" customHeight="1">
      <c r="A235" s="18" t="s">
        <v>1574</v>
      </c>
      <c r="B235" s="21" t="s">
        <v>1639</v>
      </c>
      <c r="C235" s="21" t="s">
        <v>1640</v>
      </c>
      <c r="D235" s="21" t="s">
        <v>1578</v>
      </c>
      <c r="E235" s="32" t="s">
        <v>25</v>
      </c>
      <c r="F235" s="21" t="s">
        <v>55</v>
      </c>
      <c r="G235" s="33" t="str">
        <f>SalesChangeRequestService!J6</f>
        <v>Pass</v>
      </c>
      <c r="H235" s="34" t="str">
        <f>SalesChangeRequestService!K6</f>
        <v/>
      </c>
      <c r="I235" s="35" t="str">
        <f>SalesChangeRequestService!M6</f>
        <v>✅ Pass (không đổi)</v>
      </c>
    </row>
    <row r="236" ht="15.75" customHeight="1">
      <c r="A236" s="27" t="s">
        <v>1582</v>
      </c>
      <c r="B236" s="28" t="s">
        <v>1639</v>
      </c>
      <c r="C236" s="28" t="s">
        <v>1640</v>
      </c>
      <c r="D236" s="28" t="s">
        <v>1584</v>
      </c>
      <c r="E236" s="30" t="s">
        <v>25</v>
      </c>
      <c r="F236" s="41" t="s">
        <v>56</v>
      </c>
      <c r="G236" s="39" t="str">
        <f>SalesChangeRequestService!J7</f>
        <v>Pass</v>
      </c>
      <c r="H236" s="40" t="str">
        <f>SalesChangeRequestService!K7</f>
        <v/>
      </c>
      <c r="I236" s="35" t="str">
        <f>SalesChangeRequestService!M7</f>
        <v>✅ Pass (không đổi)</v>
      </c>
    </row>
    <row r="237" ht="15.75" customHeight="1">
      <c r="A237" s="18" t="s">
        <v>1588</v>
      </c>
      <c r="B237" s="21" t="s">
        <v>1639</v>
      </c>
      <c r="C237" s="21" t="s">
        <v>1640</v>
      </c>
      <c r="D237" s="21" t="s">
        <v>1183</v>
      </c>
      <c r="E237" s="23" t="s">
        <v>15</v>
      </c>
      <c r="F237" s="25" t="s">
        <v>56</v>
      </c>
      <c r="G237" s="33" t="str">
        <f>SalesChangeRequestService!J8</f>
        <v>Pass</v>
      </c>
      <c r="H237" s="34" t="str">
        <f>SalesChangeRequestService!K8</f>
        <v/>
      </c>
      <c r="I237" s="35" t="str">
        <f>SalesChangeRequestService!M8</f>
        <v>✅ Pass (không đổi)</v>
      </c>
    </row>
    <row r="238" ht="15.75" customHeight="1">
      <c r="A238" s="27" t="s">
        <v>1594</v>
      </c>
      <c r="B238" s="28" t="s">
        <v>1639</v>
      </c>
      <c r="C238" s="28" t="s">
        <v>1647</v>
      </c>
      <c r="D238" s="28" t="s">
        <v>1196</v>
      </c>
      <c r="E238" s="30" t="s">
        <v>25</v>
      </c>
      <c r="F238" s="28" t="s">
        <v>55</v>
      </c>
      <c r="G238" s="39" t="str">
        <f>SalesChangeRequestService!J10</f>
        <v>Pass</v>
      </c>
      <c r="H238" s="40" t="str">
        <f>SalesChangeRequestService!K10</f>
        <v/>
      </c>
      <c r="I238" s="35" t="str">
        <f>SalesChangeRequestService!M10</f>
        <v>✅ Pass (không đổi)</v>
      </c>
    </row>
    <row r="239" ht="15.75" customHeight="1">
      <c r="A239" s="18" t="s">
        <v>1600</v>
      </c>
      <c r="B239" s="21" t="s">
        <v>1639</v>
      </c>
      <c r="C239" s="21" t="s">
        <v>1647</v>
      </c>
      <c r="D239" s="21" t="s">
        <v>1196</v>
      </c>
      <c r="E239" s="32" t="s">
        <v>25</v>
      </c>
      <c r="F239" s="21" t="s">
        <v>55</v>
      </c>
      <c r="G239" s="33" t="str">
        <f>SalesChangeRequestService!J11</f>
        <v>Pass</v>
      </c>
      <c r="H239" s="34" t="str">
        <f>SalesChangeRequestService!K11</f>
        <v/>
      </c>
      <c r="I239" s="35" t="str">
        <f>SalesChangeRequestService!M11</f>
        <v>✅ Pass (không đổi)</v>
      </c>
    </row>
    <row r="240" ht="15.75" customHeight="1">
      <c r="A240" s="27" t="s">
        <v>1605</v>
      </c>
      <c r="B240" s="28" t="s">
        <v>1639</v>
      </c>
      <c r="C240" s="28" t="s">
        <v>1647</v>
      </c>
      <c r="D240" s="28" t="s">
        <v>1608</v>
      </c>
      <c r="E240" s="23" t="s">
        <v>15</v>
      </c>
      <c r="F240" s="28" t="s">
        <v>55</v>
      </c>
      <c r="G240" s="39" t="str">
        <f>SalesChangeRequestService!J12</f>
        <v>Pass</v>
      </c>
      <c r="H240" s="40" t="str">
        <f>SalesChangeRequestService!K12</f>
        <v/>
      </c>
      <c r="I240" s="35" t="str">
        <f>SalesChangeRequestService!M12</f>
        <v>✅ Pass (không đổi)</v>
      </c>
    </row>
    <row r="241" ht="15.75" customHeight="1">
      <c r="A241" s="18" t="s">
        <v>1614</v>
      </c>
      <c r="B241" s="21" t="s">
        <v>1639</v>
      </c>
      <c r="C241" s="21" t="s">
        <v>1647</v>
      </c>
      <c r="D241" s="21" t="s">
        <v>1196</v>
      </c>
      <c r="E241" s="32" t="s">
        <v>25</v>
      </c>
      <c r="F241" s="21" t="s">
        <v>55</v>
      </c>
      <c r="G241" s="33" t="str">
        <f>SalesChangeRequestService!J13</f>
        <v>Pass</v>
      </c>
      <c r="H241" s="34" t="str">
        <f>SalesChangeRequestService!K13</f>
        <v/>
      </c>
      <c r="I241" s="35" t="str">
        <f>SalesChangeRequestService!M13</f>
        <v>✅ Pass (không đổi)</v>
      </c>
    </row>
    <row r="242" ht="15.75" customHeight="1">
      <c r="A242" s="27" t="s">
        <v>1620</v>
      </c>
      <c r="B242" s="28" t="s">
        <v>1672</v>
      </c>
      <c r="C242" s="28" t="s">
        <v>1675</v>
      </c>
      <c r="D242" s="28" t="s">
        <v>1622</v>
      </c>
      <c r="E242" s="30" t="s">
        <v>25</v>
      </c>
      <c r="F242" s="28" t="s">
        <v>55</v>
      </c>
      <c r="G242" s="39" t="str">
        <f>NotificationService!J6</f>
        <v>Pass</v>
      </c>
      <c r="H242" s="40" t="str">
        <f>NotificationService!K6</f>
        <v/>
      </c>
      <c r="I242" s="35" t="str">
        <f>NotificationService!M6</f>
        <v>✅ Pass (không đổi)</v>
      </c>
    </row>
    <row r="243" ht="15.75" customHeight="1">
      <c r="A243" s="18" t="s">
        <v>1628</v>
      </c>
      <c r="B243" s="21" t="s">
        <v>1672</v>
      </c>
      <c r="C243" s="21" t="s">
        <v>1675</v>
      </c>
      <c r="D243" s="21" t="s">
        <v>1622</v>
      </c>
      <c r="E243" s="23" t="s">
        <v>15</v>
      </c>
      <c r="F243" s="21" t="s">
        <v>55</v>
      </c>
      <c r="G243" s="33" t="str">
        <f>NotificationService!J7</f>
        <v>Pass</v>
      </c>
      <c r="H243" s="34" t="str">
        <f>NotificationService!K7</f>
        <v/>
      </c>
      <c r="I243" s="35" t="str">
        <f>NotificationService!M7</f>
        <v>✅ Pass (không đổi)</v>
      </c>
    </row>
    <row r="244" ht="15.75" customHeight="1">
      <c r="A244" s="27" t="s">
        <v>1633</v>
      </c>
      <c r="B244" s="28" t="s">
        <v>1672</v>
      </c>
      <c r="C244" s="28" t="s">
        <v>1675</v>
      </c>
      <c r="D244" s="28" t="s">
        <v>1622</v>
      </c>
      <c r="E244" s="30" t="s">
        <v>32</v>
      </c>
      <c r="F244" s="41" t="s">
        <v>56</v>
      </c>
      <c r="G244" s="39" t="str">
        <f>NotificationService!J8</f>
        <v>Pass</v>
      </c>
      <c r="H244" s="40" t="str">
        <f>NotificationService!K8</f>
        <v/>
      </c>
      <c r="I244" s="35" t="str">
        <f>NotificationService!M8</f>
        <v>✅ Pass (không đổi)</v>
      </c>
    </row>
    <row r="245" ht="15.75" customHeight="1">
      <c r="A245" s="18" t="s">
        <v>1642</v>
      </c>
      <c r="B245" s="21" t="s">
        <v>1686</v>
      </c>
      <c r="C245" s="21" t="s">
        <v>1687</v>
      </c>
      <c r="D245" s="21" t="s">
        <v>1038</v>
      </c>
      <c r="E245" s="23" t="s">
        <v>15</v>
      </c>
      <c r="F245" s="21" t="s">
        <v>55</v>
      </c>
      <c r="G245" s="33" t="str">
        <f>'FE-Services'!J6</f>
        <v>Pass</v>
      </c>
      <c r="H245" s="34" t="str">
        <f>'FE-Services'!K6</f>
        <v/>
      </c>
      <c r="I245" s="35" t="str">
        <f>'FE-Services'!M6</f>
        <v>✅ Pass (không đổi)</v>
      </c>
    </row>
    <row r="246" ht="15.75" customHeight="1">
      <c r="A246" s="27" t="s">
        <v>1648</v>
      </c>
      <c r="B246" s="28" t="s">
        <v>1686</v>
      </c>
      <c r="C246" s="28" t="s">
        <v>1687</v>
      </c>
      <c r="D246" s="28" t="s">
        <v>174</v>
      </c>
      <c r="E246" s="23" t="s">
        <v>15</v>
      </c>
      <c r="F246" s="28" t="s">
        <v>55</v>
      </c>
      <c r="G246" s="39" t="str">
        <f>'FE-Services'!J7</f>
        <v>Fail</v>
      </c>
      <c r="H246" s="58" t="s">
        <v>1652</v>
      </c>
      <c r="I246" s="35" t="str">
        <f>'FE-Services'!M7</f>
        <v>❌ CHƯA FIX
authService.js:4-27 fetchWithToken khi 401 chỉ xoá storage + redirect /login, KHÔNG gọi refresh token, KHÔNG retry request gốc.</v>
      </c>
    </row>
    <row r="247" ht="15.75" customHeight="1">
      <c r="A247" s="18" t="s">
        <v>1654</v>
      </c>
      <c r="B247" s="21" t="s">
        <v>1686</v>
      </c>
      <c r="C247" s="21" t="s">
        <v>1687</v>
      </c>
      <c r="D247" s="21" t="s">
        <v>1657</v>
      </c>
      <c r="E247" s="23" t="s">
        <v>15</v>
      </c>
      <c r="F247" s="25" t="s">
        <v>56</v>
      </c>
      <c r="G247" s="33" t="str">
        <f>'FE-Services'!J8</f>
        <v>Pass</v>
      </c>
      <c r="H247" s="34" t="str">
        <f>'FE-Services'!K8</f>
        <v/>
      </c>
      <c r="I247" s="35" t="str">
        <f>'FE-Services'!M8</f>
        <v>✅ Pass (không đổi)</v>
      </c>
    </row>
    <row r="248" ht="15.75" customHeight="1">
      <c r="A248" s="27" t="s">
        <v>1661</v>
      </c>
      <c r="B248" s="28" t="s">
        <v>1686</v>
      </c>
      <c r="C248" s="28" t="s">
        <v>1695</v>
      </c>
      <c r="D248" s="28" t="s">
        <v>69</v>
      </c>
      <c r="E248" s="30" t="s">
        <v>25</v>
      </c>
      <c r="F248" s="28" t="s">
        <v>55</v>
      </c>
      <c r="G248" s="39" t="str">
        <f>'FE-Services'!J10</f>
        <v>Pass</v>
      </c>
      <c r="H248" s="40" t="str">
        <f>'FE-Services'!K10</f>
        <v/>
      </c>
      <c r="I248" s="35" t="str">
        <f>'FE-Services'!M10</f>
        <v>✅ Pass (không đổi)</v>
      </c>
    </row>
    <row r="249" ht="15.75" customHeight="1">
      <c r="A249" s="18" t="s">
        <v>1666</v>
      </c>
      <c r="B249" s="21" t="s">
        <v>1686</v>
      </c>
      <c r="C249" s="21" t="s">
        <v>1695</v>
      </c>
      <c r="D249" s="21" t="s">
        <v>69</v>
      </c>
      <c r="E249" s="32" t="s">
        <v>25</v>
      </c>
      <c r="F249" s="21" t="s">
        <v>55</v>
      </c>
      <c r="G249" s="33" t="str">
        <f>'FE-Services'!J11</f>
        <v>Pass</v>
      </c>
      <c r="H249" s="34" t="str">
        <f>'FE-Services'!K11</f>
        <v/>
      </c>
      <c r="I249" s="35" t="str">
        <f>'FE-Services'!M11</f>
        <v>✅ Pass (không đổi)</v>
      </c>
    </row>
    <row r="250" ht="15.75" customHeight="1">
      <c r="A250" s="27" t="s">
        <v>1671</v>
      </c>
      <c r="B250" s="28" t="s">
        <v>1686</v>
      </c>
      <c r="C250" s="28" t="s">
        <v>1695</v>
      </c>
      <c r="D250" s="28" t="s">
        <v>1674</v>
      </c>
      <c r="E250" s="30" t="s">
        <v>32</v>
      </c>
      <c r="F250" s="28" t="s">
        <v>55</v>
      </c>
      <c r="G250" s="39" t="str">
        <f>'FE-Services'!J12</f>
        <v>Pass</v>
      </c>
      <c r="H250" s="40" t="str">
        <f>'FE-Services'!K12</f>
        <v/>
      </c>
      <c r="I250" s="35" t="str">
        <f>'FE-Services'!M12</f>
        <v>✅ Pass (không đổi)</v>
      </c>
    </row>
    <row r="251" ht="15.75" customHeight="1">
      <c r="A251" s="18" t="s">
        <v>1679</v>
      </c>
      <c r="B251" s="21" t="s">
        <v>1686</v>
      </c>
      <c r="C251" s="21" t="s">
        <v>1710</v>
      </c>
      <c r="D251" s="21" t="s">
        <v>1681</v>
      </c>
      <c r="E251" s="32" t="s">
        <v>25</v>
      </c>
      <c r="F251" s="21" t="s">
        <v>55</v>
      </c>
      <c r="G251" s="33" t="str">
        <f>'FE-Services'!J17</f>
        <v>Pass</v>
      </c>
      <c r="H251" s="34" t="str">
        <f>'FE-Services'!K17</f>
        <v/>
      </c>
      <c r="I251" s="35" t="str">
        <f>'FE-Services'!M17</f>
        <v>✅ Pass (không đổi)</v>
      </c>
    </row>
    <row r="252" ht="15.75" customHeight="1">
      <c r="A252" s="27" t="s">
        <v>1685</v>
      </c>
      <c r="B252" s="28" t="s">
        <v>1686</v>
      </c>
      <c r="C252" s="28" t="s">
        <v>1710</v>
      </c>
      <c r="D252" s="28" t="s">
        <v>299</v>
      </c>
      <c r="E252" s="30" t="s">
        <v>25</v>
      </c>
      <c r="F252" s="41" t="s">
        <v>56</v>
      </c>
      <c r="G252" s="39" t="str">
        <f>'FE-Services'!J18</f>
        <v>Pass</v>
      </c>
      <c r="H252" s="40" t="str">
        <f>'FE-Services'!K18</f>
        <v/>
      </c>
      <c r="I252" s="35" t="str">
        <f>'FE-Services'!M18</f>
        <v>✅ Pass (không đổi)</v>
      </c>
    </row>
    <row r="253" ht="15.75" customHeight="1">
      <c r="A253" s="18" t="s">
        <v>1693</v>
      </c>
      <c r="B253" s="21" t="s">
        <v>1721</v>
      </c>
      <c r="C253" s="21" t="s">
        <v>1722</v>
      </c>
      <c r="D253" s="21" t="s">
        <v>174</v>
      </c>
      <c r="E253" s="23" t="s">
        <v>15</v>
      </c>
      <c r="F253" s="21" t="s">
        <v>55</v>
      </c>
      <c r="G253" s="33" t="str">
        <f>'FE-Contexts'!J6</f>
        <v>Pass</v>
      </c>
      <c r="H253" s="34" t="str">
        <f>'FE-Contexts'!K6</f>
        <v/>
      </c>
      <c r="I253" s="35" t="str">
        <f>'FE-Contexts'!M6</f>
        <v>✅ Pass (không đổi)</v>
      </c>
    </row>
    <row r="254" ht="15.75" customHeight="1">
      <c r="A254" s="27" t="s">
        <v>1699</v>
      </c>
      <c r="B254" s="28" t="s">
        <v>1721</v>
      </c>
      <c r="C254" s="28" t="s">
        <v>1722</v>
      </c>
      <c r="D254" s="28" t="s">
        <v>174</v>
      </c>
      <c r="E254" s="23" t="s">
        <v>15</v>
      </c>
      <c r="F254" s="28" t="s">
        <v>55</v>
      </c>
      <c r="G254" s="39" t="str">
        <f>'FE-Contexts'!J7</f>
        <v>Pass</v>
      </c>
      <c r="H254" s="40" t="str">
        <f>'FE-Contexts'!K7</f>
        <v/>
      </c>
      <c r="I254" s="35" t="str">
        <f>'FE-Contexts'!M7</f>
        <v>✅ Pass (không đổi)</v>
      </c>
    </row>
    <row r="255" ht="15.75" customHeight="1">
      <c r="A255" s="18" t="s">
        <v>1705</v>
      </c>
      <c r="B255" s="21" t="s">
        <v>1721</v>
      </c>
      <c r="C255" s="21" t="s">
        <v>1727</v>
      </c>
      <c r="D255" s="21" t="s">
        <v>69</v>
      </c>
      <c r="E255" s="23" t="s">
        <v>15</v>
      </c>
      <c r="F255" s="21" t="s">
        <v>55</v>
      </c>
      <c r="G255" s="33" t="str">
        <f>'FE-Contexts'!J9</f>
        <v>Pass</v>
      </c>
      <c r="H255" s="34" t="str">
        <f>'FE-Contexts'!K9</f>
        <v/>
      </c>
      <c r="I255" s="35" t="str">
        <f>'FE-Contexts'!M9</f>
        <v>✅ Pass (không đổi)</v>
      </c>
    </row>
    <row r="256" ht="15.75" customHeight="1">
      <c r="A256" s="27" t="s">
        <v>1711</v>
      </c>
      <c r="B256" s="28" t="s">
        <v>1721</v>
      </c>
      <c r="C256" s="28" t="s">
        <v>1727</v>
      </c>
      <c r="D256" s="28" t="s">
        <v>1713</v>
      </c>
      <c r="E256" s="23" t="s">
        <v>15</v>
      </c>
      <c r="F256" s="28" t="s">
        <v>55</v>
      </c>
      <c r="G256" s="39" t="str">
        <f>'FE-Contexts'!J10</f>
        <v>Pass</v>
      </c>
      <c r="H256" s="40" t="str">
        <f>'FE-Contexts'!K10</f>
        <v/>
      </c>
      <c r="I256" s="35" t="str">
        <f>'FE-Contexts'!M10</f>
        <v>✅ Pass (không đổi)</v>
      </c>
    </row>
    <row r="257" ht="15.75" customHeight="1">
      <c r="A257" s="18" t="s">
        <v>1718</v>
      </c>
      <c r="B257" s="21" t="s">
        <v>1721</v>
      </c>
      <c r="C257" s="21" t="s">
        <v>1741</v>
      </c>
      <c r="D257" s="21" t="s">
        <v>1720</v>
      </c>
      <c r="E257" s="32" t="s">
        <v>32</v>
      </c>
      <c r="F257" s="21" t="s">
        <v>55</v>
      </c>
      <c r="G257" s="33" t="str">
        <f>'FE-Contexts'!J12</f>
        <v>Pass</v>
      </c>
      <c r="H257" s="34" t="str">
        <f>'FE-Contexts'!K12</f>
        <v/>
      </c>
      <c r="I257" s="35" t="str">
        <f>'FE-Contexts'!M12</f>
        <v>✅ Pass (không đổi)</v>
      </c>
    </row>
    <row r="258" ht="15.75" customHeight="1">
      <c r="A258" s="27" t="s">
        <v>1731</v>
      </c>
      <c r="B258" s="28" t="s">
        <v>1721</v>
      </c>
      <c r="C258" s="28" t="s">
        <v>1755</v>
      </c>
      <c r="D258" s="28" t="s">
        <v>69</v>
      </c>
      <c r="E258" s="23" t="s">
        <v>15</v>
      </c>
      <c r="F258" s="28" t="s">
        <v>55</v>
      </c>
      <c r="G258" s="39" t="str">
        <f>'FE-Contexts'!J17</f>
        <v>Pass</v>
      </c>
      <c r="H258" s="40" t="str">
        <f>'FE-Contexts'!K17</f>
        <v/>
      </c>
      <c r="I258" s="35" t="str">
        <f>'FE-Contexts'!M17</f>
        <v>✅ Pass (không đổi)</v>
      </c>
    </row>
    <row r="259" ht="15.75" customHeight="1">
      <c r="A259" s="18" t="s">
        <v>1742</v>
      </c>
      <c r="B259" s="21" t="s">
        <v>1721</v>
      </c>
      <c r="C259" s="21" t="s">
        <v>1755</v>
      </c>
      <c r="D259" s="21" t="s">
        <v>1745</v>
      </c>
      <c r="E259" s="23" t="s">
        <v>15</v>
      </c>
      <c r="F259" s="25" t="s">
        <v>56</v>
      </c>
      <c r="G259" s="33" t="str">
        <f>'FE-Contexts'!J18</f>
        <v>Pass</v>
      </c>
      <c r="H259" s="34" t="str">
        <f>'FE-Contexts'!K18</f>
        <v/>
      </c>
      <c r="I259" s="35" t="str">
        <f>'FE-Contexts'!M18</f>
        <v>✅ Pass (không đổi)</v>
      </c>
    </row>
    <row r="260" ht="15.75" customHeight="1">
      <c r="A260" s="27" t="s">
        <v>1754</v>
      </c>
      <c r="B260" s="28" t="s">
        <v>1721</v>
      </c>
      <c r="C260" s="28" t="s">
        <v>1755</v>
      </c>
      <c r="D260" s="28" t="s">
        <v>69</v>
      </c>
      <c r="E260" s="30" t="s">
        <v>25</v>
      </c>
      <c r="F260" s="41" t="s">
        <v>56</v>
      </c>
      <c r="G260" s="39" t="str">
        <f>'FE-Contexts'!J19</f>
        <v>Pass</v>
      </c>
      <c r="H260" s="40" t="str">
        <f>'FE-Contexts'!K19</f>
        <v/>
      </c>
      <c r="I260" s="35" t="str">
        <f>'FE-Contexts'!M19</f>
        <v>⚠ FIX MỘT PHẦN
CartContext.jsx:36-53 giữ nguyên guestCart khi merge lỗi (đúng) nhưng KHÔNG setError() nên người dùng không thấy lỗi.</v>
      </c>
    </row>
    <row r="261" ht="15.75" customHeight="1">
      <c r="A261" s="18" t="s">
        <v>1730</v>
      </c>
      <c r="B261" s="21" t="s">
        <v>1779</v>
      </c>
      <c r="C261" s="21" t="s">
        <v>1781</v>
      </c>
      <c r="D261" s="21" t="s">
        <v>183</v>
      </c>
      <c r="E261" s="23" t="s">
        <v>15</v>
      </c>
      <c r="F261" s="25" t="s">
        <v>56</v>
      </c>
      <c r="G261" s="33" t="str">
        <f>'FE-Components'!J6</f>
        <v>Pass</v>
      </c>
      <c r="H261" s="34" t="str">
        <f>'FE-Components'!K6</f>
        <v/>
      </c>
      <c r="I261" s="35" t="str">
        <f>'FE-Components'!M6</f>
        <v>✅ Pass (không đổi)</v>
      </c>
    </row>
    <row r="262" ht="15.75" customHeight="1">
      <c r="A262" s="27" t="s">
        <v>1744</v>
      </c>
      <c r="B262" s="28" t="s">
        <v>1779</v>
      </c>
      <c r="C262" s="28" t="s">
        <v>1781</v>
      </c>
      <c r="D262" s="28" t="s">
        <v>1748</v>
      </c>
      <c r="E262" s="23" t="s">
        <v>15</v>
      </c>
      <c r="F262" s="41" t="s">
        <v>56</v>
      </c>
      <c r="G262" s="39" t="str">
        <f>'FE-Components'!J7</f>
        <v>Pass</v>
      </c>
      <c r="H262" s="40" t="str">
        <f>'FE-Components'!K7</f>
        <v/>
      </c>
      <c r="I262" s="35" t="str">
        <f>'FE-Components'!M7</f>
        <v>✅ Pass (không đổi)</v>
      </c>
    </row>
    <row r="263" ht="15.75" customHeight="1">
      <c r="A263" s="18" t="s">
        <v>1760</v>
      </c>
      <c r="B263" s="21" t="s">
        <v>1779</v>
      </c>
      <c r="C263" s="21" t="s">
        <v>1793</v>
      </c>
      <c r="D263" s="21" t="s">
        <v>69</v>
      </c>
      <c r="E263" s="23" t="s">
        <v>15</v>
      </c>
      <c r="F263" s="25" t="s">
        <v>56</v>
      </c>
      <c r="G263" s="33" t="str">
        <f>'FE-Components'!J9</f>
        <v>Pass</v>
      </c>
      <c r="H263" s="34" t="str">
        <f>'FE-Components'!K9</f>
        <v/>
      </c>
      <c r="I263" s="35" t="str">
        <f>'FE-Components'!M9</f>
        <v>✅ Pass (không đổi)</v>
      </c>
    </row>
    <row r="264" ht="15.75" customHeight="1">
      <c r="A264" s="27" t="s">
        <v>1765</v>
      </c>
      <c r="B264" s="28" t="s">
        <v>1779</v>
      </c>
      <c r="C264" s="28" t="s">
        <v>1793</v>
      </c>
      <c r="D264" s="28" t="s">
        <v>1767</v>
      </c>
      <c r="E264" s="23" t="s">
        <v>15</v>
      </c>
      <c r="F264" s="41" t="s">
        <v>56</v>
      </c>
      <c r="G264" s="39" t="str">
        <f>'FE-Components'!J10</f>
        <v>Blocked</v>
      </c>
      <c r="H264" s="40" t="str">
        <f>'FE-Components'!K10</f>
        <v/>
      </c>
      <c r="I264" s="35" t="str">
        <f>'FE-Components'!M10</f>
        <v>❌ CHƯA FIX
Suy luận từ ORD-09/GH-08 (BE vẫn chưa chặn giá hết hạn) — banner cảnh báo phía FE nhiều khả năng vẫn chưa tồn tại; CHƯA xác minh trực tiếp mã FE cho case này, cần kiểm tra lại Checkout component.</v>
      </c>
    </row>
    <row r="265" ht="15.75" customHeight="1">
      <c r="A265" s="18" t="s">
        <v>1774</v>
      </c>
      <c r="B265" s="21" t="s">
        <v>1779</v>
      </c>
      <c r="C265" s="21" t="s">
        <v>1793</v>
      </c>
      <c r="D265" s="21" t="s">
        <v>1776</v>
      </c>
      <c r="E265" s="23" t="s">
        <v>15</v>
      </c>
      <c r="F265" s="21" t="s">
        <v>55</v>
      </c>
      <c r="G265" s="33" t="str">
        <f>'FE-Components'!J11</f>
        <v>Pass</v>
      </c>
      <c r="H265" s="34" t="str">
        <f>'FE-Components'!K11</f>
        <v/>
      </c>
      <c r="I265" s="35" t="str">
        <f>'FE-Components'!M11</f>
        <v>⚠ FIX MỘT PHẦN
Cart.jsx:323-342 đã hiện khối 'Yêu cầu báo giá đặc biệt' khi &gt;=100M, nhưng nút 'Đặt Hàng &amp; Xem Hóa Đơn' (426-433) vẫn hiện song song — khách vẫn bấm đặt hàng thẳng được.</v>
      </c>
    </row>
    <row r="266" ht="15.75" customHeight="1">
      <c r="A266" s="27" t="s">
        <v>1782</v>
      </c>
      <c r="B266" s="28" t="s">
        <v>1779</v>
      </c>
      <c r="C266" s="28" t="s">
        <v>1793</v>
      </c>
      <c r="D266" s="28" t="s">
        <v>1784</v>
      </c>
      <c r="E266" s="23" t="s">
        <v>15</v>
      </c>
      <c r="F266" s="28" t="s">
        <v>55</v>
      </c>
      <c r="G266" s="39" t="str">
        <f>'FE-Components'!J12</f>
        <v>Blocked</v>
      </c>
      <c r="H266" s="40" t="str">
        <f>'FE-Components'!K12</f>
        <v/>
      </c>
      <c r="I266" s="35" t="str">
        <f>'FE-Components'!M12</f>
        <v>❌ CHƯA FIX
Checkout.jsx:379 countdown chỉ là bộ đếm 5s auto-redirect SAU khi thanh toán xong, không phải bộ đếm hết hạn QR 15 phút. Màn QR (878-960) không có countdown/trạng thái hết hạn.</v>
      </c>
    </row>
    <row r="267" ht="15.75" customHeight="1">
      <c r="A267" s="18" t="s">
        <v>1792</v>
      </c>
      <c r="B267" s="21" t="s">
        <v>1779</v>
      </c>
      <c r="C267" s="21" t="s">
        <v>1830</v>
      </c>
      <c r="D267" s="21" t="s">
        <v>1795</v>
      </c>
      <c r="E267" s="23" t="s">
        <v>15</v>
      </c>
      <c r="F267" s="25" t="s">
        <v>56</v>
      </c>
      <c r="G267" s="33" t="str">
        <f>'FE-Components'!J14</f>
        <v>Fail</v>
      </c>
      <c r="H267" s="60" t="s">
        <v>1799</v>
      </c>
      <c r="I267" s="35" t="str">
        <f>'FE-Components'!M14</f>
        <v>❌ CHƯA FIX
PhoneVerificationModal.jsx:29-52 chỉ check rỗng, không có regex định dạng — SĐT sai định dạng vẫn lọt qua và gọi API.</v>
      </c>
    </row>
    <row r="268" ht="15.75" customHeight="1">
      <c r="A268" s="27" t="s">
        <v>1801</v>
      </c>
      <c r="B268" s="28" t="s">
        <v>1779</v>
      </c>
      <c r="C268" s="28" t="s">
        <v>1830</v>
      </c>
      <c r="D268" s="28" t="s">
        <v>256</v>
      </c>
      <c r="E268" s="30" t="s">
        <v>32</v>
      </c>
      <c r="F268" s="28" t="s">
        <v>55</v>
      </c>
      <c r="G268" s="39" t="str">
        <f>'FE-Components'!J15</f>
        <v>Pass</v>
      </c>
      <c r="H268" s="40" t="str">
        <f>'FE-Components'!K15</f>
        <v/>
      </c>
      <c r="I268" s="35" t="str">
        <f>'FE-Components'!M15</f>
        <v>✅ Pass (không đổi)</v>
      </c>
    </row>
    <row r="269" ht="15.75" customHeight="1">
      <c r="A269" s="18" t="s">
        <v>1810</v>
      </c>
      <c r="B269" s="21" t="s">
        <v>1779</v>
      </c>
      <c r="C269" s="21" t="s">
        <v>1830</v>
      </c>
      <c r="D269" s="21" t="s">
        <v>1814</v>
      </c>
      <c r="E269" s="32" t="s">
        <v>32</v>
      </c>
      <c r="F269" s="21" t="s">
        <v>55</v>
      </c>
      <c r="G269" s="33" t="str">
        <f>'FE-Components'!J16</f>
        <v>Pass</v>
      </c>
      <c r="H269" s="34" t="str">
        <f>'FE-Components'!K16</f>
        <v/>
      </c>
      <c r="I269" s="35" t="str">
        <f>'FE-Components'!M16</f>
        <v>✅ Pass (không đổi)</v>
      </c>
    </row>
    <row r="270" ht="15.75" customHeight="1">
      <c r="A270" s="27" t="s">
        <v>1822</v>
      </c>
      <c r="B270" s="28" t="s">
        <v>1779</v>
      </c>
      <c r="C270" s="28" t="s">
        <v>1830</v>
      </c>
      <c r="D270" s="28" t="s">
        <v>1622</v>
      </c>
      <c r="E270" s="30" t="s">
        <v>25</v>
      </c>
      <c r="F270" s="28" t="s">
        <v>55</v>
      </c>
      <c r="G270" s="39" t="str">
        <f>'FE-Components'!J17</f>
        <v>Pass</v>
      </c>
      <c r="H270" s="40" t="str">
        <f>'FE-Components'!K17</f>
        <v/>
      </c>
      <c r="I270" s="35" t="str">
        <f>'FE-Components'!M17</f>
        <v>✅ Pass (không đổi)</v>
      </c>
    </row>
    <row r="271" ht="15.75" customHeight="1">
      <c r="A271" s="18" t="s">
        <v>1842</v>
      </c>
      <c r="B271" s="21" t="s">
        <v>1779</v>
      </c>
      <c r="C271" s="21" t="s">
        <v>1866</v>
      </c>
      <c r="D271" s="21" t="s">
        <v>1844</v>
      </c>
      <c r="E271" s="32" t="s">
        <v>25</v>
      </c>
      <c r="F271" s="21" t="s">
        <v>55</v>
      </c>
      <c r="G271" s="33" t="str">
        <f>'FE-Components'!J22</f>
        <v>Pass</v>
      </c>
      <c r="H271" s="34" t="str">
        <f>'FE-Components'!K22</f>
        <v/>
      </c>
      <c r="I271" s="35" t="str">
        <f>'FE-Components'!M22</f>
        <v>✅ Pass (không đổi)</v>
      </c>
    </row>
    <row r="272" ht="15.75" customHeight="1">
      <c r="A272" s="27" t="s">
        <v>1855</v>
      </c>
      <c r="B272" s="28" t="s">
        <v>1779</v>
      </c>
      <c r="C272" s="28" t="s">
        <v>1866</v>
      </c>
      <c r="D272" s="28" t="s">
        <v>183</v>
      </c>
      <c r="E272" s="23" t="s">
        <v>15</v>
      </c>
      <c r="F272" s="41" t="s">
        <v>56</v>
      </c>
      <c r="G272" s="39" t="str">
        <f>'FE-Components'!J23</f>
        <v>Pass</v>
      </c>
      <c r="H272" s="40" t="str">
        <f>'FE-Components'!K23</f>
        <v/>
      </c>
      <c r="I272" s="35" t="str">
        <f>'FE-Components'!M23</f>
        <v>✅ Pass (không đổi)</v>
      </c>
    </row>
    <row r="273" ht="15.75" customHeight="1">
      <c r="A273" s="18" t="s">
        <v>1869</v>
      </c>
      <c r="B273" s="21" t="s">
        <v>1779</v>
      </c>
      <c r="C273" s="21" t="s">
        <v>1866</v>
      </c>
      <c r="D273" s="21" t="s">
        <v>1871</v>
      </c>
      <c r="E273" s="32" t="s">
        <v>25</v>
      </c>
      <c r="F273" s="21" t="s">
        <v>55</v>
      </c>
      <c r="G273" s="33" t="str">
        <f>'FE-Components'!J24</f>
        <v>Pass</v>
      </c>
      <c r="H273" s="34" t="str">
        <f>'FE-Components'!K24</f>
        <v/>
      </c>
      <c r="I273" s="35" t="str">
        <f>'FE-Components'!M24</f>
        <v>✅ Pass (không đổi)</v>
      </c>
    </row>
    <row r="274" ht="15.75" customHeight="1">
      <c r="A274" s="27" t="s">
        <v>1807</v>
      </c>
      <c r="B274" s="28" t="s">
        <v>1892</v>
      </c>
      <c r="C274" s="28" t="s">
        <v>1893</v>
      </c>
      <c r="D274" s="28" t="s">
        <v>1809</v>
      </c>
      <c r="E274" s="23" t="s">
        <v>15</v>
      </c>
      <c r="F274" s="28" t="s">
        <v>55</v>
      </c>
      <c r="G274" s="39" t="str">
        <f>InventoryReservationService!J6</f>
        <v>Pass</v>
      </c>
      <c r="H274" s="40" t="str">
        <f>InventoryReservationService!K6</f>
        <v/>
      </c>
      <c r="I274" s="35" t="str">
        <f>InventoryReservationService!M6</f>
        <v>✅ Pass (không đổi)</v>
      </c>
    </row>
    <row r="275" ht="15.75" customHeight="1">
      <c r="A275" s="18" t="s">
        <v>1819</v>
      </c>
      <c r="B275" s="21" t="s">
        <v>1892</v>
      </c>
      <c r="C275" s="21" t="s">
        <v>1893</v>
      </c>
      <c r="D275" s="21" t="s">
        <v>1821</v>
      </c>
      <c r="E275" s="23" t="s">
        <v>15</v>
      </c>
      <c r="F275" s="21" t="s">
        <v>55</v>
      </c>
      <c r="G275" s="33" t="str">
        <f>InventoryReservationService!J7</f>
        <v>Pass</v>
      </c>
      <c r="H275" s="34" t="str">
        <f>InventoryReservationService!K7</f>
        <v/>
      </c>
      <c r="I275" s="35" t="str">
        <f>InventoryReservationService!M7</f>
        <v>✅ Pass (không đổi)</v>
      </c>
    </row>
    <row r="276" ht="15.75" customHeight="1">
      <c r="A276" s="27" t="s">
        <v>1831</v>
      </c>
      <c r="B276" s="28" t="s">
        <v>1892</v>
      </c>
      <c r="C276" s="28" t="s">
        <v>1893</v>
      </c>
      <c r="D276" s="28" t="s">
        <v>695</v>
      </c>
      <c r="E276" s="23" t="s">
        <v>15</v>
      </c>
      <c r="F276" s="28" t="s">
        <v>55</v>
      </c>
      <c r="G276" s="39" t="str">
        <f>InventoryReservationService!J8</f>
        <v>Pass</v>
      </c>
      <c r="H276" s="40" t="str">
        <f>InventoryReservationService!K8</f>
        <v/>
      </c>
      <c r="I276" s="35" t="str">
        <f>InventoryReservationService!M8</f>
        <v>✅ Pass (không đổi)</v>
      </c>
    </row>
    <row r="277" ht="15.75" customHeight="1">
      <c r="A277" s="18" t="s">
        <v>1836</v>
      </c>
      <c r="B277" s="21" t="s">
        <v>1892</v>
      </c>
      <c r="C277" s="21" t="s">
        <v>1893</v>
      </c>
      <c r="D277" s="21" t="s">
        <v>986</v>
      </c>
      <c r="E277" s="23" t="s">
        <v>15</v>
      </c>
      <c r="F277" s="25" t="s">
        <v>56</v>
      </c>
      <c r="G277" s="33" t="str">
        <f>InventoryReservationService!J9</f>
        <v>Pass</v>
      </c>
      <c r="H277" s="34" t="str">
        <f>InventoryReservationService!K9</f>
        <v/>
      </c>
      <c r="I277" s="35" t="str">
        <f>InventoryReservationService!M9</f>
        <v>✅ Pass (không đổi)</v>
      </c>
    </row>
    <row r="278" ht="15.75" customHeight="1">
      <c r="A278" s="27" t="s">
        <v>1845</v>
      </c>
      <c r="B278" s="28" t="s">
        <v>1892</v>
      </c>
      <c r="C278" s="28" t="s">
        <v>1893</v>
      </c>
      <c r="D278" s="28" t="s">
        <v>1849</v>
      </c>
      <c r="E278" s="23" t="s">
        <v>15</v>
      </c>
      <c r="F278" s="41" t="s">
        <v>56</v>
      </c>
      <c r="G278" s="39" t="str">
        <f>InventoryReservationService!J10</f>
        <v>Pass</v>
      </c>
      <c r="H278" s="40" t="str">
        <f>InventoryReservationService!K10</f>
        <v/>
      </c>
      <c r="I278" s="35" t="str">
        <f>InventoryReservationService!M10</f>
        <v>✅ Pass (không đổi)</v>
      </c>
    </row>
    <row r="279" ht="15.75" customHeight="1">
      <c r="A279" s="18" t="s">
        <v>1856</v>
      </c>
      <c r="B279" s="21" t="s">
        <v>1892</v>
      </c>
      <c r="C279" s="21" t="s">
        <v>1893</v>
      </c>
      <c r="D279" s="21" t="s">
        <v>1859</v>
      </c>
      <c r="E279" s="23" t="s">
        <v>15</v>
      </c>
      <c r="F279" s="21" t="s">
        <v>55</v>
      </c>
      <c r="G279" s="33" t="str">
        <f>InventoryReservationService!J11</f>
        <v>Pass</v>
      </c>
      <c r="H279" s="34" t="str">
        <f>InventoryReservationService!K11</f>
        <v/>
      </c>
      <c r="I279" s="35" t="str">
        <f>InventoryReservationService!M11</f>
        <v>✅ Pass (không đổi)</v>
      </c>
    </row>
    <row r="280" ht="15.75" customHeight="1">
      <c r="A280" s="27" t="s">
        <v>1873</v>
      </c>
      <c r="B280" s="28" t="s">
        <v>1892</v>
      </c>
      <c r="C280" s="28" t="s">
        <v>1941</v>
      </c>
      <c r="D280" s="28" t="s">
        <v>1877</v>
      </c>
      <c r="E280" s="23" t="s">
        <v>15</v>
      </c>
      <c r="F280" s="28" t="s">
        <v>55</v>
      </c>
      <c r="G280" s="39" t="str">
        <f>InventoryReservationService!J13</f>
        <v>Pass</v>
      </c>
      <c r="H280" s="40" t="str">
        <f>InventoryReservationService!K13</f>
        <v/>
      </c>
      <c r="I280" s="35" t="str">
        <f>InventoryReservationService!M13</f>
        <v>✅ Pass (không đổi)</v>
      </c>
    </row>
    <row r="281" ht="15.75" customHeight="1">
      <c r="A281" s="18" t="s">
        <v>1881</v>
      </c>
      <c r="B281" s="21" t="s">
        <v>1892</v>
      </c>
      <c r="C281" s="21" t="s">
        <v>1941</v>
      </c>
      <c r="D281" s="21" t="s">
        <v>1883</v>
      </c>
      <c r="E281" s="23" t="s">
        <v>15</v>
      </c>
      <c r="F281" s="21" t="s">
        <v>55</v>
      </c>
      <c r="G281" s="33" t="str">
        <f>InventoryReservationService!J14</f>
        <v>Pass</v>
      </c>
      <c r="H281" s="34" t="str">
        <f>InventoryReservationService!K14</f>
        <v/>
      </c>
      <c r="I281" s="35" t="str">
        <f>InventoryReservationService!M14</f>
        <v>✅ Pass (không đổi)</v>
      </c>
    </row>
    <row r="282" ht="15.75" customHeight="1">
      <c r="A282" s="27" t="s">
        <v>1887</v>
      </c>
      <c r="B282" s="28" t="s">
        <v>1892</v>
      </c>
      <c r="C282" s="28" t="s">
        <v>1941</v>
      </c>
      <c r="D282" s="28" t="s">
        <v>1889</v>
      </c>
      <c r="E282" s="23" t="s">
        <v>15</v>
      </c>
      <c r="F282" s="41" t="s">
        <v>56</v>
      </c>
      <c r="G282" s="39" t="str">
        <f>InventoryReservationService!J15</f>
        <v>Pass</v>
      </c>
      <c r="H282" s="40" t="str">
        <f>InventoryReservationService!K15</f>
        <v/>
      </c>
      <c r="I282" s="35" t="str">
        <f>InventoryReservationService!M15</f>
        <v>✅ Pass (không đổi)</v>
      </c>
    </row>
    <row r="283" ht="15.75" customHeight="1">
      <c r="A283" s="18" t="s">
        <v>1894</v>
      </c>
      <c r="B283" s="21" t="s">
        <v>1892</v>
      </c>
      <c r="C283" s="21" t="s">
        <v>1941</v>
      </c>
      <c r="D283" s="21" t="s">
        <v>1896</v>
      </c>
      <c r="E283" s="23" t="s">
        <v>15</v>
      </c>
      <c r="F283" s="21" t="s">
        <v>55</v>
      </c>
      <c r="G283" s="33" t="str">
        <f>InventoryReservationService!J16</f>
        <v>Pass</v>
      </c>
      <c r="H283" s="34" t="str">
        <f>InventoryReservationService!K16</f>
        <v/>
      </c>
      <c r="I283" s="35" t="str">
        <f>InventoryReservationService!M16</f>
        <v>✅ Pass (không đổi)</v>
      </c>
    </row>
    <row r="284" ht="15.75" customHeight="1">
      <c r="A284" s="27" t="s">
        <v>1901</v>
      </c>
      <c r="B284" s="28" t="s">
        <v>1892</v>
      </c>
      <c r="C284" s="28" t="s">
        <v>1984</v>
      </c>
      <c r="D284" s="28" t="s">
        <v>1903</v>
      </c>
      <c r="E284" s="23" t="s">
        <v>15</v>
      </c>
      <c r="F284" s="28" t="s">
        <v>55</v>
      </c>
      <c r="G284" s="39" t="str">
        <f>InventoryReservationService!J18</f>
        <v>Pass</v>
      </c>
      <c r="H284" s="40" t="str">
        <f>InventoryReservationService!K18</f>
        <v/>
      </c>
      <c r="I284" s="35" t="str">
        <f>InventoryReservationService!M18</f>
        <v>✅ Pass (không đổi)</v>
      </c>
    </row>
    <row r="285" ht="15.75" customHeight="1">
      <c r="A285" s="18" t="s">
        <v>1908</v>
      </c>
      <c r="B285" s="21" t="s">
        <v>1892</v>
      </c>
      <c r="C285" s="21" t="s">
        <v>1984</v>
      </c>
      <c r="D285" s="21" t="s">
        <v>986</v>
      </c>
      <c r="E285" s="23" t="s">
        <v>15</v>
      </c>
      <c r="F285" s="25" t="s">
        <v>56</v>
      </c>
      <c r="G285" s="33" t="str">
        <f>InventoryReservationService!J19</f>
        <v>Pass</v>
      </c>
      <c r="H285" s="34" t="str">
        <f>InventoryReservationService!K19</f>
        <v/>
      </c>
      <c r="I285" s="35" t="str">
        <f>InventoryReservationService!M19</f>
        <v>✅ Pass (không đổi)</v>
      </c>
    </row>
    <row r="286" ht="15.75" customHeight="1">
      <c r="A286" s="27" t="s">
        <v>1912</v>
      </c>
      <c r="B286" s="28" t="s">
        <v>1892</v>
      </c>
      <c r="C286" s="28" t="s">
        <v>1984</v>
      </c>
      <c r="D286" s="28" t="s">
        <v>1477</v>
      </c>
      <c r="E286" s="23" t="s">
        <v>15</v>
      </c>
      <c r="F286" s="41" t="s">
        <v>56</v>
      </c>
      <c r="G286" s="39" t="str">
        <f>InventoryReservationService!J20</f>
        <v>Pass</v>
      </c>
      <c r="H286" s="40" t="str">
        <f>InventoryReservationService!K20</f>
        <v/>
      </c>
      <c r="I286" s="35" t="str">
        <f>InventoryReservationService!M20</f>
        <v>✅ Pass (không đổi)</v>
      </c>
    </row>
    <row r="287" ht="15.75" customHeight="1">
      <c r="A287" s="18" t="s">
        <v>1934</v>
      </c>
      <c r="B287" s="21" t="s">
        <v>1892</v>
      </c>
      <c r="C287" s="21" t="s">
        <v>1985</v>
      </c>
      <c r="D287" s="21" t="s">
        <v>695</v>
      </c>
      <c r="E287" s="23" t="s">
        <v>15</v>
      </c>
      <c r="F287" s="21" t="s">
        <v>55</v>
      </c>
      <c r="G287" s="33" t="str">
        <f>InventoryReservationService!J25</f>
        <v>Pass</v>
      </c>
      <c r="H287" s="34" t="str">
        <f>InventoryReservationService!K25</f>
        <v/>
      </c>
      <c r="I287" s="35" t="str">
        <f>InventoryReservationService!M25</f>
        <v>✅ Pass (không đổi)</v>
      </c>
    </row>
    <row r="288" ht="15.75" customHeight="1">
      <c r="A288" s="27" t="s">
        <v>1946</v>
      </c>
      <c r="B288" s="28" t="s">
        <v>1892</v>
      </c>
      <c r="C288" s="28" t="s">
        <v>1985</v>
      </c>
      <c r="D288" s="28" t="s">
        <v>1015</v>
      </c>
      <c r="E288" s="23" t="s">
        <v>15</v>
      </c>
      <c r="F288" s="28" t="s">
        <v>55</v>
      </c>
      <c r="G288" s="39" t="str">
        <f>InventoryReservationService!J26</f>
        <v>Pass</v>
      </c>
      <c r="H288" s="40" t="str">
        <f>InventoryReservationService!K26</f>
        <v/>
      </c>
      <c r="I288" s="35" t="str">
        <f>InventoryReservationService!M26</f>
        <v>✅ Pass (không đổi)</v>
      </c>
    </row>
    <row r="289" ht="15.75" customHeight="1">
      <c r="A289" s="18" t="s">
        <v>1915</v>
      </c>
      <c r="B289" s="21" t="s">
        <v>1987</v>
      </c>
      <c r="C289" s="21" t="s">
        <v>1988</v>
      </c>
      <c r="D289" s="21" t="s">
        <v>370</v>
      </c>
      <c r="E289" s="23" t="s">
        <v>15</v>
      </c>
      <c r="F289" s="21" t="s">
        <v>55</v>
      </c>
      <c r="G289" s="33" t="str">
        <f>DiscountTierService!J6</f>
        <v>Pass</v>
      </c>
      <c r="H289" s="34" t="str">
        <f>DiscountTierService!K6</f>
        <v/>
      </c>
      <c r="I289" s="35" t="str">
        <f>DiscountTierService!M6</f>
        <v>✅ Pass (không đổi)</v>
      </c>
    </row>
    <row r="290" ht="15.75" customHeight="1">
      <c r="A290" s="27" t="s">
        <v>1923</v>
      </c>
      <c r="B290" s="28" t="s">
        <v>1987</v>
      </c>
      <c r="C290" s="28" t="s">
        <v>1988</v>
      </c>
      <c r="D290" s="28" t="s">
        <v>370</v>
      </c>
      <c r="E290" s="23" t="s">
        <v>15</v>
      </c>
      <c r="F290" s="28" t="s">
        <v>55</v>
      </c>
      <c r="G290" s="39" t="str">
        <f>DiscountTierService!J7</f>
        <v>Pass</v>
      </c>
      <c r="H290" s="40" t="str">
        <f>DiscountTierService!K7</f>
        <v/>
      </c>
      <c r="I290" s="35" t="str">
        <f>DiscountTierService!M7</f>
        <v>✅ Pass (không đổi)</v>
      </c>
    </row>
    <row r="291" ht="15.75" customHeight="1">
      <c r="A291" s="18" t="s">
        <v>1928</v>
      </c>
      <c r="B291" s="21" t="s">
        <v>1987</v>
      </c>
      <c r="C291" s="21" t="s">
        <v>1988</v>
      </c>
      <c r="D291" s="21" t="s">
        <v>1931</v>
      </c>
      <c r="E291" s="23" t="s">
        <v>15</v>
      </c>
      <c r="F291" s="21" t="s">
        <v>55</v>
      </c>
      <c r="G291" s="33" t="str">
        <f>DiscountTierService!J8</f>
        <v>Pass</v>
      </c>
      <c r="H291" s="34" t="str">
        <f>DiscountTierService!K8</f>
        <v/>
      </c>
      <c r="I291" s="35" t="str">
        <f>DiscountTierService!M8</f>
        <v>✅ Pass (không đổi)</v>
      </c>
    </row>
    <row r="292" ht="15.75" customHeight="1">
      <c r="A292" s="27" t="s">
        <v>1940</v>
      </c>
      <c r="B292" s="28" t="s">
        <v>1987</v>
      </c>
      <c r="C292" s="28" t="s">
        <v>1988</v>
      </c>
      <c r="D292" s="28" t="s">
        <v>1943</v>
      </c>
      <c r="E292" s="23" t="s">
        <v>15</v>
      </c>
      <c r="F292" s="28" t="s">
        <v>55</v>
      </c>
      <c r="G292" s="39" t="str">
        <f>DiscountTierService!J9</f>
        <v>Pass</v>
      </c>
      <c r="H292" s="40" t="str">
        <f>DiscountTierService!K9</f>
        <v/>
      </c>
      <c r="I292" s="35" t="str">
        <f>DiscountTierService!M9</f>
        <v>✅ Pass (không đổi)</v>
      </c>
    </row>
    <row r="293" ht="15.75" customHeight="1">
      <c r="A293" s="18" t="s">
        <v>1949</v>
      </c>
      <c r="B293" s="21" t="s">
        <v>1987</v>
      </c>
      <c r="C293" s="21" t="s">
        <v>1988</v>
      </c>
      <c r="D293" s="21" t="s">
        <v>1953</v>
      </c>
      <c r="E293" s="32" t="s">
        <v>25</v>
      </c>
      <c r="F293" s="21" t="s">
        <v>55</v>
      </c>
      <c r="G293" s="33" t="str">
        <f>DiscountTierService!J10</f>
        <v>Pass</v>
      </c>
      <c r="H293" s="34" t="str">
        <f>DiscountTierService!K10</f>
        <v/>
      </c>
      <c r="I293" s="35" t="str">
        <f>DiscountTierService!M10</f>
        <v>✅ Pass (không đổi)</v>
      </c>
    </row>
    <row r="294" ht="15.75" customHeight="1">
      <c r="A294" s="27" t="s">
        <v>1958</v>
      </c>
      <c r="B294" s="28" t="s">
        <v>1987</v>
      </c>
      <c r="C294" s="28" t="s">
        <v>1988</v>
      </c>
      <c r="D294" s="28" t="s">
        <v>1960</v>
      </c>
      <c r="E294" s="23" t="s">
        <v>15</v>
      </c>
      <c r="F294" s="28" t="s">
        <v>55</v>
      </c>
      <c r="G294" s="39" t="str">
        <f>DiscountTierService!J11</f>
        <v>Pass</v>
      </c>
      <c r="H294" s="40" t="str">
        <f>DiscountTierService!K11</f>
        <v/>
      </c>
      <c r="I294" s="35" t="str">
        <f>DiscountTierService!M11</f>
        <v>✅ Pass (không đổi)</v>
      </c>
    </row>
    <row r="295" ht="15.75" customHeight="1">
      <c r="A295" s="18" t="s">
        <v>1965</v>
      </c>
      <c r="B295" s="21" t="s">
        <v>1987</v>
      </c>
      <c r="C295" s="21" t="s">
        <v>1627</v>
      </c>
      <c r="D295" s="21" t="s">
        <v>1967</v>
      </c>
      <c r="E295" s="23" t="s">
        <v>15</v>
      </c>
      <c r="F295" s="25" t="s">
        <v>56</v>
      </c>
      <c r="G295" s="33" t="str">
        <f>DiscountTierService!J13</f>
        <v>Pass</v>
      </c>
      <c r="H295" s="34" t="str">
        <f>DiscountTierService!K13</f>
        <v/>
      </c>
      <c r="I295" s="35" t="str">
        <f>DiscountTierService!M13</f>
        <v>✅ ĐÃ FIX
DiscountTierService.cs:36,114-124 EnsureNoOverlapAsync throw khi khoảng giá trị chồng lấn.</v>
      </c>
    </row>
    <row r="296" ht="15.75" customHeight="1">
      <c r="A296" s="27" t="s">
        <v>1972</v>
      </c>
      <c r="B296" s="28" t="s">
        <v>1987</v>
      </c>
      <c r="C296" s="28" t="s">
        <v>1627</v>
      </c>
      <c r="D296" s="28" t="s">
        <v>1974</v>
      </c>
      <c r="E296" s="30" t="s">
        <v>25</v>
      </c>
      <c r="F296" s="41" t="s">
        <v>56</v>
      </c>
      <c r="G296" s="39" t="str">
        <f>DiscountTierService!J14</f>
        <v>Pass</v>
      </c>
      <c r="H296" s="40" t="str">
        <f>DiscountTierService!K14</f>
        <v/>
      </c>
      <c r="I296" s="35" t="str">
        <f>DiscountTierService!M14</f>
        <v>✅ Pass (không đổi)</v>
      </c>
    </row>
    <row r="297" ht="15.75" customHeight="1">
      <c r="A297" s="18" t="s">
        <v>1978</v>
      </c>
      <c r="B297" s="21" t="s">
        <v>1987</v>
      </c>
      <c r="C297" s="21" t="s">
        <v>1627</v>
      </c>
      <c r="D297" s="21" t="s">
        <v>1980</v>
      </c>
      <c r="E297" s="23" t="s">
        <v>15</v>
      </c>
      <c r="F297" s="21" t="s">
        <v>55</v>
      </c>
      <c r="G297" s="33" t="str">
        <f>DiscountTierService!J15</f>
        <v>Pass</v>
      </c>
      <c r="H297" s="34" t="str">
        <f>DiscountTierService!K15</f>
        <v/>
      </c>
      <c r="I297" s="35" t="str">
        <f>DiscountTierService!M15</f>
        <v>✅ Pass (không đổi)</v>
      </c>
    </row>
    <row r="298" ht="15.75" customHeight="1">
      <c r="A298" s="27" t="s">
        <v>1990</v>
      </c>
      <c r="B298" s="28" t="s">
        <v>2029</v>
      </c>
      <c r="C298" s="28" t="s">
        <v>2030</v>
      </c>
      <c r="D298" s="28" t="s">
        <v>1992</v>
      </c>
      <c r="E298" s="23" t="s">
        <v>15</v>
      </c>
      <c r="F298" s="28" t="s">
        <v>55</v>
      </c>
      <c r="G298" s="39" t="str">
        <f>SystemConfigService!J6</f>
        <v>Pass</v>
      </c>
      <c r="H298" s="40" t="str">
        <f>SystemConfigService!K6</f>
        <v/>
      </c>
      <c r="I298" s="35" t="str">
        <f>SystemConfigService!M6</f>
        <v>✅ Pass (không đổi)</v>
      </c>
    </row>
    <row r="299" ht="15.75" customHeight="1">
      <c r="A299" s="18" t="s">
        <v>1996</v>
      </c>
      <c r="B299" s="21" t="s">
        <v>2029</v>
      </c>
      <c r="C299" s="21" t="s">
        <v>2030</v>
      </c>
      <c r="D299" s="21" t="s">
        <v>1371</v>
      </c>
      <c r="E299" s="32" t="s">
        <v>25</v>
      </c>
      <c r="F299" s="25" t="s">
        <v>56</v>
      </c>
      <c r="G299" s="33" t="str">
        <f>SystemConfigService!J7</f>
        <v>Pass</v>
      </c>
      <c r="H299" s="34" t="str">
        <f>SystemConfigService!K7</f>
        <v/>
      </c>
      <c r="I299" s="35" t="str">
        <f>SystemConfigService!M7</f>
        <v>✅ Pass (không đổi)</v>
      </c>
    </row>
    <row r="300" ht="15.75" customHeight="1">
      <c r="A300" s="27" t="s">
        <v>2002</v>
      </c>
      <c r="B300" s="28" t="s">
        <v>2029</v>
      </c>
      <c r="C300" s="28" t="s">
        <v>2038</v>
      </c>
      <c r="D300" s="28" t="s">
        <v>2004</v>
      </c>
      <c r="E300" s="23" t="s">
        <v>15</v>
      </c>
      <c r="F300" s="28" t="s">
        <v>55</v>
      </c>
      <c r="G300" s="39" t="str">
        <f>SystemConfigService!J9</f>
        <v>Pass</v>
      </c>
      <c r="H300" s="40" t="str">
        <f>SystemConfigService!K9</f>
        <v/>
      </c>
      <c r="I300" s="35" t="str">
        <f>SystemConfigService!M9</f>
        <v>✅ Pass (không đổi)</v>
      </c>
    </row>
    <row r="301" ht="15.75" customHeight="1">
      <c r="A301" s="18" t="s">
        <v>2008</v>
      </c>
      <c r="B301" s="21" t="s">
        <v>2029</v>
      </c>
      <c r="C301" s="21" t="s">
        <v>2038</v>
      </c>
      <c r="D301" s="21" t="s">
        <v>2010</v>
      </c>
      <c r="E301" s="23" t="s">
        <v>15</v>
      </c>
      <c r="F301" s="25" t="s">
        <v>56</v>
      </c>
      <c r="G301" s="33" t="str">
        <f>SystemConfigService!J10</f>
        <v>Pass</v>
      </c>
      <c r="H301" s="34" t="str">
        <f>SystemConfigService!K10</f>
        <v/>
      </c>
      <c r="I301" s="35" t="str">
        <f>SystemConfigService!M10</f>
        <v>✅ ĐÃ FIX
SystemConfigService.cs:95-96 throw nếu EffectiveDate &lt; UtcNow (chặn hồi tố).</v>
      </c>
    </row>
    <row r="302" ht="15.75" customHeight="1">
      <c r="A302" s="27" t="s">
        <v>2015</v>
      </c>
      <c r="B302" s="28" t="s">
        <v>2029</v>
      </c>
      <c r="C302" s="28" t="s">
        <v>2038</v>
      </c>
      <c r="D302" s="28" t="s">
        <v>2017</v>
      </c>
      <c r="E302" s="23" t="s">
        <v>15</v>
      </c>
      <c r="F302" s="41" t="s">
        <v>56</v>
      </c>
      <c r="G302" s="39" t="str">
        <f>SystemConfigService!J11</f>
        <v>Pass</v>
      </c>
      <c r="H302" s="40" t="str">
        <f>SystemConfigService!K11</f>
        <v/>
      </c>
      <c r="I302" s="35" t="str">
        <f>SystemConfigService!M11</f>
        <v>✅ Pass (không đổi)</v>
      </c>
    </row>
    <row r="303" ht="15.75" customHeight="1">
      <c r="A303" s="18" t="s">
        <v>2021</v>
      </c>
      <c r="B303" s="21" t="s">
        <v>2029</v>
      </c>
      <c r="C303" s="21" t="s">
        <v>2038</v>
      </c>
      <c r="D303" s="21" t="s">
        <v>2023</v>
      </c>
      <c r="E303" s="32" t="s">
        <v>25</v>
      </c>
      <c r="F303" s="21" t="s">
        <v>55</v>
      </c>
      <c r="G303" s="33" t="str">
        <f>SystemConfigService!J12</f>
        <v>Pass</v>
      </c>
      <c r="H303" s="34" t="str">
        <f>SystemConfigService!K12</f>
        <v/>
      </c>
      <c r="I303" s="35" t="str">
        <f>SystemConfigService!M12</f>
        <v>✅ Pass (không đổi)</v>
      </c>
    </row>
    <row r="304" ht="15.75" customHeight="1">
      <c r="A304" s="27" t="s">
        <v>2031</v>
      </c>
      <c r="B304" s="28" t="s">
        <v>2062</v>
      </c>
      <c r="C304" s="28" t="s">
        <v>2064</v>
      </c>
      <c r="D304" s="28" t="s">
        <v>2033</v>
      </c>
      <c r="E304" s="23" t="s">
        <v>15</v>
      </c>
      <c r="F304" s="28" t="s">
        <v>55</v>
      </c>
      <c r="G304" s="39" t="str">
        <f>AdminUserService!J6</f>
        <v>Pass</v>
      </c>
      <c r="H304" s="40" t="str">
        <f>AdminUserService!K6</f>
        <v/>
      </c>
      <c r="I304" s="35" t="str">
        <f>AdminUserService!M6</f>
        <v>✅ Pass (không đổi)</v>
      </c>
    </row>
    <row r="305" ht="15.75" customHeight="1">
      <c r="A305" s="18" t="s">
        <v>2039</v>
      </c>
      <c r="B305" s="21" t="s">
        <v>2062</v>
      </c>
      <c r="C305" s="21" t="s">
        <v>2064</v>
      </c>
      <c r="D305" s="21" t="s">
        <v>2044</v>
      </c>
      <c r="E305" s="23" t="s">
        <v>15</v>
      </c>
      <c r="F305" s="25" t="s">
        <v>56</v>
      </c>
      <c r="G305" s="33" t="str">
        <f>AdminUserService!J7</f>
        <v>Pass</v>
      </c>
      <c r="H305" s="34" t="str">
        <f>AdminUserService!K7</f>
        <v/>
      </c>
      <c r="I305" s="35" t="str">
        <f>AdminUserService!M7</f>
        <v>✅ Pass (không đổi)</v>
      </c>
    </row>
    <row r="306" ht="15.75" customHeight="1">
      <c r="A306" s="27" t="s">
        <v>2051</v>
      </c>
      <c r="B306" s="28" t="s">
        <v>2062</v>
      </c>
      <c r="C306" s="28" t="s">
        <v>2064</v>
      </c>
      <c r="D306" s="28" t="s">
        <v>2017</v>
      </c>
      <c r="E306" s="23" t="s">
        <v>15</v>
      </c>
      <c r="F306" s="28" t="s">
        <v>55</v>
      </c>
      <c r="G306" s="39" t="str">
        <f>AdminUserService!J8</f>
        <v>Pass</v>
      </c>
      <c r="H306" s="40" t="str">
        <f>AdminUserService!K8</f>
        <v/>
      </c>
      <c r="I306" s="35" t="str">
        <f>AdminUserService!M8</f>
        <v>✅ Pass (không đổi)</v>
      </c>
    </row>
    <row r="307" ht="15.75" customHeight="1">
      <c r="A307" s="18" t="s">
        <v>2063</v>
      </c>
      <c r="B307" s="21" t="s">
        <v>2062</v>
      </c>
      <c r="C307" s="21" t="s">
        <v>2064</v>
      </c>
      <c r="D307" s="21" t="s">
        <v>1038</v>
      </c>
      <c r="E307" s="23" t="s">
        <v>15</v>
      </c>
      <c r="F307" s="25" t="s">
        <v>56</v>
      </c>
      <c r="G307" s="33" t="str">
        <f>AdminUserService!J9</f>
        <v>Pass</v>
      </c>
      <c r="H307" s="34" t="str">
        <f>AdminUserService!K9</f>
        <v/>
      </c>
      <c r="I307" s="35" t="str">
        <f>AdminUserService!M9</f>
        <v>✅ Pass (không đổi)</v>
      </c>
    </row>
    <row r="308" ht="15.75" customHeight="1">
      <c r="A308" s="27" t="s">
        <v>2074</v>
      </c>
      <c r="B308" s="28" t="s">
        <v>2062</v>
      </c>
      <c r="C308" s="28" t="s">
        <v>2064</v>
      </c>
      <c r="D308" s="28" t="s">
        <v>2077</v>
      </c>
      <c r="E308" s="23" t="s">
        <v>15</v>
      </c>
      <c r="F308" s="41" t="s">
        <v>56</v>
      </c>
      <c r="G308" s="39" t="str">
        <f>AdminUserService!J10</f>
        <v>Pass</v>
      </c>
      <c r="H308" s="40" t="str">
        <f>AdminUserService!K10</f>
        <v/>
      </c>
      <c r="I308" s="35" t="str">
        <f>AdminUserService!M10</f>
        <v>✅ ĐÃ FIX
AdminUserService.cs:145-152 check còn khách gán cho NV trước khi đổi role, throw nếu còn.</v>
      </c>
    </row>
    <row r="309" ht="15.75" customHeight="1">
      <c r="A309" s="18" t="s">
        <v>2090</v>
      </c>
      <c r="B309" s="21" t="s">
        <v>2062</v>
      </c>
      <c r="C309" s="21" t="s">
        <v>2114</v>
      </c>
      <c r="D309" s="21" t="s">
        <v>160</v>
      </c>
      <c r="E309" s="23" t="s">
        <v>15</v>
      </c>
      <c r="F309" s="21" t="s">
        <v>55</v>
      </c>
      <c r="G309" s="33" t="str">
        <f>AdminUserService!J12</f>
        <v>Pass</v>
      </c>
      <c r="H309" s="34" t="str">
        <f>AdminUserService!K12</f>
        <v/>
      </c>
      <c r="I309" s="35" t="str">
        <f>AdminUserService!M12</f>
        <v>✅ Pass (không đổi)</v>
      </c>
    </row>
    <row r="310" ht="15.75" customHeight="1">
      <c r="A310" s="27" t="s">
        <v>2100</v>
      </c>
      <c r="B310" s="28" t="s">
        <v>2062</v>
      </c>
      <c r="C310" s="28" t="s">
        <v>2114</v>
      </c>
      <c r="D310" s="28" t="s">
        <v>2104</v>
      </c>
      <c r="E310" s="23" t="s">
        <v>15</v>
      </c>
      <c r="F310" s="41" t="s">
        <v>56</v>
      </c>
      <c r="G310" s="39" t="str">
        <f>AdminUserService!J13</f>
        <v>Pass</v>
      </c>
      <c r="H310" s="40" t="str">
        <f>AdminUserService!K13</f>
        <v/>
      </c>
      <c r="I310" s="35" t="str">
        <f>AdminUserService!M13</f>
        <v>✅ ĐÃ FIX
AdminUserService.cs:209-216 đếm NV Sales active còn lại, chặn vô hiệu hoá người cuối cùng.</v>
      </c>
    </row>
    <row r="311" ht="15.75" customHeight="1">
      <c r="A311" s="18" t="s">
        <v>2109</v>
      </c>
      <c r="B311" s="21" t="s">
        <v>2062</v>
      </c>
      <c r="C311" s="21" t="s">
        <v>2114</v>
      </c>
      <c r="D311" s="21" t="s">
        <v>1056</v>
      </c>
      <c r="E311" s="32" t="s">
        <v>32</v>
      </c>
      <c r="F311" s="21" t="s">
        <v>55</v>
      </c>
      <c r="G311" s="33" t="str">
        <f>AdminUserService!J14</f>
        <v>Pass</v>
      </c>
      <c r="H311" s="34" t="str">
        <f>AdminUserService!K14</f>
        <v/>
      </c>
      <c r="I311" s="35" t="str">
        <f>AdminUserService!M14</f>
        <v>✅ Pass (không đổi)</v>
      </c>
    </row>
    <row r="312" ht="15.75" customHeight="1">
      <c r="A312" s="27" t="s">
        <v>2115</v>
      </c>
      <c r="B312" s="28" t="s">
        <v>2062</v>
      </c>
      <c r="C312" s="28" t="s">
        <v>2114</v>
      </c>
      <c r="D312" s="28" t="s">
        <v>2117</v>
      </c>
      <c r="E312" s="30" t="s">
        <v>32</v>
      </c>
      <c r="F312" s="41" t="s">
        <v>56</v>
      </c>
      <c r="G312" s="39" t="str">
        <f>AdminUserService!J15</f>
        <v>Pass</v>
      </c>
      <c r="H312" s="40" t="str">
        <f>AdminUserService!K15</f>
        <v/>
      </c>
      <c r="I312" s="35" t="str">
        <f>AdminUserService!M15</f>
        <v>✅ Pass (không đổi)</v>
      </c>
    </row>
    <row r="313" ht="15.75" customHeight="1">
      <c r="A313" s="18" t="s">
        <v>2042</v>
      </c>
      <c r="B313" s="21" t="s">
        <v>2121</v>
      </c>
      <c r="C313" s="21" t="s">
        <v>2122</v>
      </c>
      <c r="D313" s="21" t="s">
        <v>774</v>
      </c>
      <c r="E313" s="23" t="s">
        <v>15</v>
      </c>
      <c r="F313" s="21" t="s">
        <v>55</v>
      </c>
      <c r="G313" s="33" t="str">
        <f>VehicleService!J6</f>
        <v>Pass</v>
      </c>
      <c r="H313" s="34" t="str">
        <f>VehicleService!K6</f>
        <v/>
      </c>
      <c r="I313" s="35" t="str">
        <f>VehicleService!M6</f>
        <v>✅ Pass (không đổi)</v>
      </c>
    </row>
    <row r="314" ht="15.75" customHeight="1">
      <c r="A314" s="27" t="s">
        <v>2053</v>
      </c>
      <c r="B314" s="28" t="s">
        <v>2121</v>
      </c>
      <c r="C314" s="28" t="s">
        <v>2122</v>
      </c>
      <c r="D314" s="28" t="s">
        <v>2057</v>
      </c>
      <c r="E314" s="30" t="s">
        <v>32</v>
      </c>
      <c r="F314" s="28" t="s">
        <v>55</v>
      </c>
      <c r="G314" s="39" t="str">
        <f>VehicleService!J7</f>
        <v>Pass</v>
      </c>
      <c r="H314" s="40" t="str">
        <f>VehicleService!K7</f>
        <v/>
      </c>
      <c r="I314" s="35" t="str">
        <f>VehicleService!M7</f>
        <v>✅ Pass (không đổi)</v>
      </c>
    </row>
    <row r="315" ht="15.75" customHeight="1">
      <c r="A315" s="18" t="s">
        <v>2066</v>
      </c>
      <c r="B315" s="21" t="s">
        <v>2121</v>
      </c>
      <c r="C315" s="21" t="s">
        <v>2122</v>
      </c>
      <c r="D315" s="21" t="s">
        <v>2071</v>
      </c>
      <c r="E315" s="32" t="s">
        <v>25</v>
      </c>
      <c r="F315" s="25" t="s">
        <v>56</v>
      </c>
      <c r="G315" s="33" t="str">
        <f>VehicleService!J8</f>
        <v>Pass</v>
      </c>
      <c r="H315" s="34" t="str">
        <f>VehicleService!K8</f>
        <v/>
      </c>
      <c r="I315" s="35" t="str">
        <f>VehicleService!M8</f>
        <v>✅ ĐÃ FIX
VehicleService.cs:44-46 check trùng biển số, throw nếu trùng.</v>
      </c>
    </row>
    <row r="316" ht="15.75" customHeight="1">
      <c r="A316" s="27" t="s">
        <v>2081</v>
      </c>
      <c r="B316" s="28" t="s">
        <v>2121</v>
      </c>
      <c r="C316" s="28" t="s">
        <v>2122</v>
      </c>
      <c r="D316" s="28" t="s">
        <v>2084</v>
      </c>
      <c r="E316" s="23" t="s">
        <v>15</v>
      </c>
      <c r="F316" s="28" t="s">
        <v>55</v>
      </c>
      <c r="G316" s="39" t="str">
        <f>VehicleService!J9</f>
        <v>Pass</v>
      </c>
      <c r="H316" s="40" t="str">
        <f>VehicleService!K9</f>
        <v/>
      </c>
      <c r="I316" s="35" t="str">
        <f>VehicleService!M9</f>
        <v>✅ Pass (không đổi)</v>
      </c>
    </row>
    <row r="317" ht="15.75" customHeight="1">
      <c r="A317" s="18" t="s">
        <v>2092</v>
      </c>
      <c r="B317" s="21" t="s">
        <v>2121</v>
      </c>
      <c r="C317" s="21" t="s">
        <v>2122</v>
      </c>
      <c r="D317" s="21" t="s">
        <v>2095</v>
      </c>
      <c r="E317" s="32" t="s">
        <v>25</v>
      </c>
      <c r="F317" s="25" t="s">
        <v>56</v>
      </c>
      <c r="G317" s="33" t="str">
        <f>VehicleService!J10</f>
        <v>Pass</v>
      </c>
      <c r="H317" s="34" t="str">
        <f>VehicleService!K10</f>
        <v/>
      </c>
      <c r="I317" s="35" t="str">
        <f>VehicleService!M10</f>
        <v>✅ ĐÃ FIX
VehicleService.cs:91-102 khi chuyển sang Maintenance, check Orders có chuyến trong tương lai chưa giao, chặn nếu có.</v>
      </c>
    </row>
    <row r="318" ht="15.75" customHeight="1">
      <c r="A318" s="27" t="s">
        <v>2125</v>
      </c>
      <c r="B318" s="28" t="s">
        <v>2132</v>
      </c>
      <c r="C318" s="28" t="s">
        <v>2133</v>
      </c>
      <c r="D318" s="28" t="s">
        <v>538</v>
      </c>
      <c r="E318" s="23" t="s">
        <v>15</v>
      </c>
      <c r="F318" s="28" t="s">
        <v>55</v>
      </c>
      <c r="G318" s="39" t="str">
        <f>WebhookLogService!J6</f>
        <v>Pass</v>
      </c>
      <c r="H318" s="40" t="str">
        <f>WebhookLogService!K6</f>
        <v/>
      </c>
      <c r="I318" s="35" t="str">
        <f>WebhookLogService!M6</f>
        <v>✅ Pass (không đổi)</v>
      </c>
    </row>
    <row r="319" ht="15.75" customHeight="1">
      <c r="A319" s="18" t="s">
        <v>2130</v>
      </c>
      <c r="B319" s="21" t="s">
        <v>2132</v>
      </c>
      <c r="C319" s="21" t="s">
        <v>2133</v>
      </c>
      <c r="D319" s="21" t="s">
        <v>576</v>
      </c>
      <c r="E319" s="23" t="s">
        <v>15</v>
      </c>
      <c r="F319" s="21" t="s">
        <v>55</v>
      </c>
      <c r="G319" s="33" t="str">
        <f>WebhookLogService!J7</f>
        <v>Pass</v>
      </c>
      <c r="H319" s="34" t="str">
        <f>WebhookLogService!K7</f>
        <v/>
      </c>
      <c r="I319" s="35" t="str">
        <f>WebhookLogService!M7</f>
        <v>✅ Pass (không đổi)</v>
      </c>
    </row>
    <row r="320" ht="15.75" customHeight="1">
      <c r="A320" s="27" t="s">
        <v>2137</v>
      </c>
      <c r="B320" s="28" t="s">
        <v>2132</v>
      </c>
      <c r="C320" s="28" t="s">
        <v>2133</v>
      </c>
      <c r="D320" s="28" t="s">
        <v>2139</v>
      </c>
      <c r="E320" s="23" t="s">
        <v>15</v>
      </c>
      <c r="F320" s="28" t="s">
        <v>55</v>
      </c>
      <c r="G320" s="39" t="str">
        <f>WebhookLogService!J8</f>
        <v>Pass</v>
      </c>
      <c r="H320" s="40" t="str">
        <f>WebhookLogService!K8</f>
        <v/>
      </c>
      <c r="I320" s="35" t="str">
        <f>WebhookLogService!M8</f>
        <v>✅ Pass (không đổi)</v>
      </c>
    </row>
    <row r="321" ht="15.75" customHeight="1">
      <c r="A321" s="18" t="s">
        <v>2143</v>
      </c>
      <c r="B321" s="21" t="s">
        <v>2132</v>
      </c>
      <c r="C321" s="21" t="s">
        <v>2133</v>
      </c>
      <c r="D321" s="21" t="s">
        <v>2145</v>
      </c>
      <c r="E321" s="32" t="s">
        <v>25</v>
      </c>
      <c r="F321" s="21" t="s">
        <v>55</v>
      </c>
      <c r="G321" s="33" t="str">
        <f>WebhookLogService!J9</f>
        <v>Pass</v>
      </c>
      <c r="H321" s="34" t="str">
        <f>WebhookLogService!K9</f>
        <v/>
      </c>
      <c r="I321" s="35" t="str">
        <f>WebhookLogService!M9</f>
        <v>✅ Pass (không đổi)</v>
      </c>
    </row>
    <row r="322" ht="15.75" customHeight="1">
      <c r="A322" s="27" t="s">
        <v>2150</v>
      </c>
      <c r="B322" s="28" t="s">
        <v>2132</v>
      </c>
      <c r="C322" s="28" t="s">
        <v>2166</v>
      </c>
      <c r="D322" s="28" t="s">
        <v>2152</v>
      </c>
      <c r="E322" s="23" t="s">
        <v>15</v>
      </c>
      <c r="F322" s="28" t="s">
        <v>55</v>
      </c>
      <c r="G322" s="39" t="str">
        <f>WebhookLogService!J11</f>
        <v>Pass</v>
      </c>
      <c r="H322" s="40" t="str">
        <f>WebhookLogService!K11</f>
        <v/>
      </c>
      <c r="I322" s="35" t="str">
        <f>WebhookLogService!M11</f>
        <v>✅ Pass (không đổi)</v>
      </c>
    </row>
    <row r="323" ht="15.75" customHeight="1">
      <c r="A323" s="18" t="s">
        <v>2156</v>
      </c>
      <c r="B323" s="21" t="s">
        <v>2132</v>
      </c>
      <c r="C323" s="21" t="s">
        <v>2166</v>
      </c>
      <c r="D323" s="21" t="s">
        <v>576</v>
      </c>
      <c r="E323" s="23" t="s">
        <v>15</v>
      </c>
      <c r="F323" s="25" t="s">
        <v>56</v>
      </c>
      <c r="G323" s="33" t="str">
        <f>WebhookLogService!J12</f>
        <v>Pass</v>
      </c>
      <c r="H323" s="34" t="str">
        <f>WebhookLogService!K12</f>
        <v/>
      </c>
      <c r="I323" s="35" t="str">
        <f>WebhookLogService!M12</f>
        <v>✅ Pass (không đổi)</v>
      </c>
    </row>
    <row r="324" ht="15.75" customHeight="1">
      <c r="A324" s="27" t="s">
        <v>2161</v>
      </c>
      <c r="B324" s="28" t="s">
        <v>2132</v>
      </c>
      <c r="C324" s="28" t="s">
        <v>2166</v>
      </c>
      <c r="D324" s="28" t="s">
        <v>2163</v>
      </c>
      <c r="E324" s="23" t="s">
        <v>15</v>
      </c>
      <c r="F324" s="41" t="s">
        <v>56</v>
      </c>
      <c r="G324" s="39" t="str">
        <f>WebhookLogService!J13</f>
        <v>Pass</v>
      </c>
      <c r="H324" s="40" t="str">
        <f>WebhookLogService!K13</f>
        <v/>
      </c>
      <c r="I324" s="35" t="str">
        <f>WebhookLogService!M13</f>
        <v>✅ Pass (không đổi)</v>
      </c>
    </row>
    <row r="325" ht="15.75" customHeight="1">
      <c r="A325" s="18" t="s">
        <v>2169</v>
      </c>
      <c r="B325" s="21" t="s">
        <v>2170</v>
      </c>
      <c r="C325" s="21" t="s">
        <v>2171</v>
      </c>
      <c r="D325" s="21" t="s">
        <v>2017</v>
      </c>
      <c r="E325" s="23" t="s">
        <v>15</v>
      </c>
      <c r="F325" s="21" t="s">
        <v>55</v>
      </c>
      <c r="G325" s="33" t="str">
        <f>AuditLogService!J6</f>
        <v>Pass</v>
      </c>
      <c r="H325" s="34" t="str">
        <f>AuditLogService!K6</f>
        <v/>
      </c>
      <c r="I325" s="35" t="str">
        <f>AuditLogService!M6</f>
        <v>✅ Pass (không đổi)</v>
      </c>
    </row>
    <row r="326" ht="15.75" customHeight="1">
      <c r="A326" s="27" t="s">
        <v>2176</v>
      </c>
      <c r="B326" s="28" t="s">
        <v>2170</v>
      </c>
      <c r="C326" s="28" t="s">
        <v>2171</v>
      </c>
      <c r="D326" s="28" t="s">
        <v>2177</v>
      </c>
      <c r="E326" s="30" t="s">
        <v>25</v>
      </c>
      <c r="F326" s="41" t="s">
        <v>56</v>
      </c>
      <c r="G326" s="39" t="str">
        <f>AuditLogService!J7</f>
        <v>Pass</v>
      </c>
      <c r="H326" s="40" t="str">
        <f>AuditLogService!K7</f>
        <v/>
      </c>
      <c r="I326" s="35" t="str">
        <f>AuditLogService!M7</f>
        <v>✅ Pass (không đổi)</v>
      </c>
    </row>
    <row r="327" ht="15.75" customHeight="1">
      <c r="A327" s="18" t="s">
        <v>2182</v>
      </c>
      <c r="B327" s="21" t="s">
        <v>2170</v>
      </c>
      <c r="C327" s="21" t="s">
        <v>2171</v>
      </c>
      <c r="D327" s="21" t="s">
        <v>2183</v>
      </c>
      <c r="E327" s="23" t="s">
        <v>15</v>
      </c>
      <c r="F327" s="25" t="s">
        <v>56</v>
      </c>
      <c r="G327" s="33" t="str">
        <f>AuditLogService!J8</f>
        <v>Pass</v>
      </c>
      <c r="H327" s="34" t="str">
        <f>AuditLogService!K8</f>
        <v/>
      </c>
      <c r="I327" s="35" t="str">
        <f>AuditLogService!M8</f>
        <v>✅ Pass (không đổi)</v>
      </c>
    </row>
    <row r="328" ht="15.75" customHeight="1">
      <c r="A328" s="27" t="s">
        <v>2188</v>
      </c>
      <c r="B328" s="28" t="s">
        <v>2170</v>
      </c>
      <c r="C328" s="28" t="s">
        <v>2171</v>
      </c>
      <c r="D328" s="28" t="s">
        <v>2190</v>
      </c>
      <c r="E328" s="23" t="s">
        <v>15</v>
      </c>
      <c r="F328" s="28" t="s">
        <v>55</v>
      </c>
      <c r="G328" s="39" t="str">
        <f>AuditLogService!J9</f>
        <v>Pass</v>
      </c>
      <c r="H328" s="40" t="str">
        <f>AuditLogService!K9</f>
        <v/>
      </c>
      <c r="I328" s="35" t="str">
        <f>AuditLogService!M9</f>
        <v>✅ ĐÃ FIX
SensitiveDataRedactor.cs mask PII (phone/MST dạng 0912***678), redact hoàn toàn secret/token; đã wire vào AuditLogService.cs:41-42.</v>
      </c>
    </row>
    <row r="329" ht="15.75" customHeight="1">
      <c r="A329" s="18" t="s">
        <v>2196</v>
      </c>
      <c r="B329" s="21" t="s">
        <v>2170</v>
      </c>
      <c r="C329" s="21" t="s">
        <v>2198</v>
      </c>
      <c r="D329" s="21" t="s">
        <v>2023</v>
      </c>
      <c r="E329" s="32" t="s">
        <v>25</v>
      </c>
      <c r="F329" s="21" t="s">
        <v>55</v>
      </c>
      <c r="G329" s="33" t="str">
        <f>AuditLogService!J11</f>
        <v>Pass</v>
      </c>
      <c r="H329" s="34" t="str">
        <f>AuditLogService!K11</f>
        <v/>
      </c>
      <c r="I329" s="35" t="str">
        <f>AuditLogService!M11</f>
        <v>✅ Pass (không đổi)</v>
      </c>
    </row>
    <row r="330" ht="15.75" customHeight="1">
      <c r="A330" s="27" t="s">
        <v>2202</v>
      </c>
      <c r="B330" s="28" t="s">
        <v>2170</v>
      </c>
      <c r="C330" s="28" t="s">
        <v>2198</v>
      </c>
      <c r="D330" s="28" t="s">
        <v>2023</v>
      </c>
      <c r="E330" s="30" t="s">
        <v>25</v>
      </c>
      <c r="F330" s="28" t="s">
        <v>55</v>
      </c>
      <c r="G330" s="39" t="str">
        <f>AuditLogService!J12</f>
        <v>Pass</v>
      </c>
      <c r="H330" s="40" t="str">
        <f>AuditLogService!K12</f>
        <v/>
      </c>
      <c r="I330" s="35" t="str">
        <f>AuditLogService!M12</f>
        <v>✅ Pass (không đổi)</v>
      </c>
    </row>
    <row r="331" ht="15.75" customHeight="1">
      <c r="A331" s="18" t="s">
        <v>2207</v>
      </c>
      <c r="B331" s="21" t="s">
        <v>2170</v>
      </c>
      <c r="C331" s="21" t="s">
        <v>2198</v>
      </c>
      <c r="D331" s="21" t="s">
        <v>2210</v>
      </c>
      <c r="E331" s="23" t="s">
        <v>15</v>
      </c>
      <c r="F331" s="25" t="s">
        <v>56</v>
      </c>
      <c r="G331" s="33" t="str">
        <f>AuditLogService!J13</f>
        <v>Pass</v>
      </c>
      <c r="H331" s="34" t="str">
        <f>AuditLogService!K13</f>
        <v/>
      </c>
      <c r="I331" s="35" t="str">
        <f>AuditLogService!M13</f>
        <v>🔒 CẦN L3 (không phải bug)
ExportCsvAsync (AuditLogService.cs:79) không nhận callerRole, nhưng [Authorize] ở AuditLogController.cs:11 đã chặn. Có test L3: VietTien.IntegrationTests/RoleGateTests.cs:114-134 (L1_AUD_07_...).</v>
      </c>
    </row>
    <row r="332" ht="15.75" customHeight="1">
      <c r="A332" s="27" t="s">
        <v>2215</v>
      </c>
      <c r="B332" s="28" t="s">
        <v>2216</v>
      </c>
      <c r="C332" s="28" t="s">
        <v>2217</v>
      </c>
      <c r="D332" s="28" t="s">
        <v>2218</v>
      </c>
      <c r="E332" s="23" t="s">
        <v>15</v>
      </c>
      <c r="F332" s="28" t="s">
        <v>55</v>
      </c>
      <c r="G332" s="39" t="str">
        <f>MarketingPostService!J6</f>
        <v>Pass</v>
      </c>
      <c r="H332" s="40" t="str">
        <f>MarketingPostService!K6</f>
        <v/>
      </c>
      <c r="I332" s="35" t="str">
        <f>MarketingPostService!M6</f>
        <v>✅ Pass (không đổi)</v>
      </c>
    </row>
    <row r="333" ht="15.75" customHeight="1">
      <c r="A333" s="18" t="s">
        <v>2221</v>
      </c>
      <c r="B333" s="21" t="s">
        <v>2216</v>
      </c>
      <c r="C333" s="21" t="s">
        <v>2217</v>
      </c>
      <c r="D333" s="21" t="s">
        <v>2218</v>
      </c>
      <c r="E333" s="23" t="s">
        <v>15</v>
      </c>
      <c r="F333" s="21" t="s">
        <v>55</v>
      </c>
      <c r="G333" s="33" t="str">
        <f>MarketingPostService!J7</f>
        <v>Pass</v>
      </c>
      <c r="H333" s="34" t="str">
        <f>MarketingPostService!K7</f>
        <v/>
      </c>
      <c r="I333" s="35" t="str">
        <f>MarketingPostService!M7</f>
        <v>✅ Pass (không đổi)</v>
      </c>
    </row>
    <row r="334" ht="15.75" customHeight="1">
      <c r="A334" s="27" t="s">
        <v>2225</v>
      </c>
      <c r="B334" s="28" t="s">
        <v>2216</v>
      </c>
      <c r="C334" s="28" t="s">
        <v>2217</v>
      </c>
      <c r="D334" s="28" t="s">
        <v>2227</v>
      </c>
      <c r="E334" s="23" t="s">
        <v>15</v>
      </c>
      <c r="F334" s="41" t="s">
        <v>56</v>
      </c>
      <c r="G334" s="39" t="str">
        <f>MarketingPostService!J8</f>
        <v>Pass</v>
      </c>
      <c r="H334" s="40" t="str">
        <f>MarketingPostService!K8</f>
        <v/>
      </c>
      <c r="I334" s="35" t="str">
        <f>MarketingPostService!M8</f>
        <v>🔒 CẦN L3 (không phải bug)
MakeDecisionAsync (184-266) tự nó không check role, nhưng [Authorize(Roles="SalesManager,SaleManager,Admin,CEO")] ở Controller đã chặn hẳn Sales Staff gọi endpoint này (kể cả tự duyệt bài của chính mình) — đã có test L3 xác nhận: VietTien.IntegrationTests/RoleGateTests.cs:136-157 (L1_MKT_03_MakeDecision_SalesStaffRole_Forbidden).</v>
      </c>
    </row>
    <row r="335" ht="15.75" customHeight="1">
      <c r="A335" s="18" t="s">
        <v>2231</v>
      </c>
      <c r="B335" s="21" t="s">
        <v>2216</v>
      </c>
      <c r="C335" s="21" t="s">
        <v>2217</v>
      </c>
      <c r="D335" s="21" t="s">
        <v>2232</v>
      </c>
      <c r="E335" s="23" t="s">
        <v>15</v>
      </c>
      <c r="F335" s="25" t="s">
        <v>56</v>
      </c>
      <c r="G335" s="33" t="str">
        <f>MarketingPostService!J9</f>
        <v>Pass</v>
      </c>
      <c r="H335" s="34" t="str">
        <f>MarketingPostService!K9</f>
        <v/>
      </c>
      <c r="I335" s="35" t="str">
        <f>MarketingPostService!M9</f>
        <v>✅ ĐÃ FIX
MarketingPostService.cs:276-277 throw nếu Status != Approved trước khi gọi webhook.</v>
      </c>
    </row>
    <row r="336" ht="15.75" customHeight="1">
      <c r="A336" s="27" t="s">
        <v>2237</v>
      </c>
      <c r="B336" s="28" t="s">
        <v>2216</v>
      </c>
      <c r="C336" s="28" t="s">
        <v>2217</v>
      </c>
      <c r="D336" s="28" t="s">
        <v>2218</v>
      </c>
      <c r="E336" s="23" t="s">
        <v>15</v>
      </c>
      <c r="F336" s="28" t="s">
        <v>55</v>
      </c>
      <c r="G336" s="39" t="str">
        <f>MarketingPostService!J10</f>
        <v>Pass</v>
      </c>
      <c r="H336" s="40" t="str">
        <f>MarketingPostService!K10</f>
        <v/>
      </c>
      <c r="I336" s="35" t="str">
        <f>MarketingPostService!M10</f>
        <v>✅ Pass (không đổi)</v>
      </c>
    </row>
    <row r="337" ht="15.75" customHeight="1">
      <c r="A337" s="18" t="s">
        <v>2243</v>
      </c>
      <c r="B337" s="21" t="s">
        <v>2216</v>
      </c>
      <c r="C337" s="21" t="s">
        <v>2217</v>
      </c>
      <c r="D337" s="21" t="s">
        <v>2218</v>
      </c>
      <c r="E337" s="32" t="s">
        <v>25</v>
      </c>
      <c r="F337" s="21" t="s">
        <v>55</v>
      </c>
      <c r="G337" s="33" t="str">
        <f>MarketingPostService!J11</f>
        <v>Pass</v>
      </c>
      <c r="H337" s="34" t="str">
        <f>MarketingPostService!K11</f>
        <v/>
      </c>
      <c r="I337" s="35" t="str">
        <f>MarketingPostService!M11</f>
        <v>✅ Pass (không đổi)</v>
      </c>
    </row>
    <row r="338" ht="15.75" customHeight="1">
      <c r="A338" s="27" t="s">
        <v>2249</v>
      </c>
      <c r="B338" s="28" t="s">
        <v>2216</v>
      </c>
      <c r="C338" s="28" t="s">
        <v>2217</v>
      </c>
      <c r="D338" s="28" t="s">
        <v>2218</v>
      </c>
      <c r="E338" s="23" t="s">
        <v>15</v>
      </c>
      <c r="F338" s="41" t="s">
        <v>56</v>
      </c>
      <c r="G338" s="39" t="str">
        <f>MarketingPostService!J12</f>
        <v>Pass</v>
      </c>
      <c r="H338" s="40" t="str">
        <f>MarketingPostService!K12</f>
        <v/>
      </c>
      <c r="I338" s="35" t="str">
        <f>MarketingPostService!M12</f>
        <v>✅ Pass (không đổi)</v>
      </c>
    </row>
    <row r="339" ht="15.75" customHeight="1">
      <c r="A339" s="18" t="s">
        <v>2254</v>
      </c>
      <c r="B339" s="21" t="s">
        <v>2216</v>
      </c>
      <c r="C339" s="21" t="s">
        <v>2255</v>
      </c>
      <c r="D339" s="21" t="s">
        <v>2257</v>
      </c>
      <c r="E339" s="23" t="s">
        <v>15</v>
      </c>
      <c r="F339" s="21" t="s">
        <v>55</v>
      </c>
      <c r="G339" s="33" t="str">
        <f>MarketingPostService!J14</f>
        <v>Pass</v>
      </c>
      <c r="H339" s="34" t="str">
        <f>MarketingPostService!K14</f>
        <v/>
      </c>
      <c r="I339" s="35" t="str">
        <f>MarketingPostService!M14</f>
        <v>✅ Pass (không đổi)</v>
      </c>
    </row>
    <row r="340" ht="15.75" customHeight="1">
      <c r="A340" s="27" t="s">
        <v>2263</v>
      </c>
      <c r="B340" s="28" t="s">
        <v>2216</v>
      </c>
      <c r="C340" s="28" t="s">
        <v>2255</v>
      </c>
      <c r="D340" s="28" t="s">
        <v>2264</v>
      </c>
      <c r="E340" s="23" t="s">
        <v>15</v>
      </c>
      <c r="F340" s="28" t="s">
        <v>55</v>
      </c>
      <c r="G340" s="39" t="str">
        <f>MarketingPostService!J15</f>
        <v>Pass</v>
      </c>
      <c r="H340" s="40" t="str">
        <f>MarketingPostService!K15</f>
        <v/>
      </c>
      <c r="I340" s="35" t="str">
        <f>MarketingPostService!M15</f>
        <v>✅ Pass (không đổi)</v>
      </c>
    </row>
    <row r="341" ht="15.75" customHeight="1">
      <c r="A341" s="18" t="s">
        <v>2271</v>
      </c>
      <c r="B341" s="21" t="s">
        <v>2216</v>
      </c>
      <c r="C341" s="21" t="s">
        <v>2255</v>
      </c>
      <c r="D341" s="21" t="s">
        <v>2273</v>
      </c>
      <c r="E341" s="23" t="s">
        <v>15</v>
      </c>
      <c r="F341" s="21" t="s">
        <v>55</v>
      </c>
      <c r="G341" s="33" t="str">
        <f>MarketingPostService!J16</f>
        <v>Pass</v>
      </c>
      <c r="H341" s="34" t="str">
        <f>MarketingPostService!K16</f>
        <v/>
      </c>
      <c r="I341" s="35" t="str">
        <f>MarketingPostService!M16</f>
        <v>✅ Pass (không đổi)</v>
      </c>
    </row>
    <row r="342" ht="15.75" customHeight="1">
      <c r="A342" s="27" t="s">
        <v>2278</v>
      </c>
      <c r="B342" s="28" t="s">
        <v>2216</v>
      </c>
      <c r="C342" s="28" t="s">
        <v>2255</v>
      </c>
      <c r="D342" s="28" t="s">
        <v>2279</v>
      </c>
      <c r="E342" s="23" t="s">
        <v>15</v>
      </c>
      <c r="F342" s="41" t="s">
        <v>56</v>
      </c>
      <c r="G342" s="39" t="str">
        <f>MarketingPostService!J17</f>
        <v>Pass</v>
      </c>
      <c r="H342" s="40" t="str">
        <f>MarketingPostService!K17</f>
        <v/>
      </c>
      <c r="I342" s="35" t="str">
        <f>MarketingPostService!M17</f>
        <v>✅ Pass (không đổi)</v>
      </c>
    </row>
    <row r="343" ht="15.75" customHeight="1">
      <c r="A343" s="18" t="s">
        <v>2289</v>
      </c>
      <c r="B343" s="21" t="s">
        <v>2216</v>
      </c>
      <c r="C343" s="21" t="s">
        <v>2255</v>
      </c>
      <c r="D343" s="21" t="s">
        <v>2291</v>
      </c>
      <c r="E343" s="32" t="s">
        <v>25</v>
      </c>
      <c r="F343" s="25" t="s">
        <v>56</v>
      </c>
      <c r="G343" s="33" t="str">
        <f>MarketingPostService!J18</f>
        <v>Pass</v>
      </c>
      <c r="H343" s="34" t="str">
        <f>MarketingPostService!K18</f>
        <v/>
      </c>
      <c r="I343" s="35" t="str">
        <f>MarketingPostService!M18</f>
        <v>✅ ĐÃ FIX
HandleMakeWebhookCallbackAsync (306-307) bỏ qua callback nếu Status != Posting.</v>
      </c>
    </row>
    <row r="344" ht="15.75" customHeight="1">
      <c r="A344" s="27" t="s">
        <v>2296</v>
      </c>
      <c r="B344" s="28" t="s">
        <v>2216</v>
      </c>
      <c r="C344" s="28" t="s">
        <v>2255</v>
      </c>
      <c r="D344" s="28" t="s">
        <v>2299</v>
      </c>
      <c r="E344" s="23" t="s">
        <v>15</v>
      </c>
      <c r="F344" s="28" t="s">
        <v>55</v>
      </c>
      <c r="G344" s="39" t="str">
        <f>MarketingPostService!J19</f>
        <v>Pass</v>
      </c>
      <c r="H344" s="40" t="str">
        <f>MarketingPostService!K19</f>
        <v/>
      </c>
      <c r="I344" s="35" t="str">
        <f>MarketingPostService!M19</f>
        <v>✅ Pass (không đổi)</v>
      </c>
    </row>
    <row r="345" ht="15.75" customHeight="1">
      <c r="A345" s="18" t="s">
        <v>2310</v>
      </c>
      <c r="B345" s="21" t="s">
        <v>2216</v>
      </c>
      <c r="C345" s="21" t="s">
        <v>2315</v>
      </c>
      <c r="D345" s="21" t="s">
        <v>2316</v>
      </c>
      <c r="E345" s="23" t="s">
        <v>15</v>
      </c>
      <c r="F345" s="25" t="s">
        <v>56</v>
      </c>
      <c r="G345" s="33" t="str">
        <f>MarketingPostService!J24</f>
        <v>Pass</v>
      </c>
      <c r="H345" s="34" t="str">
        <f>MarketingPostService!K24</f>
        <v/>
      </c>
      <c r="I345" s="35" t="str">
        <f>MarketingPostService!M24</f>
        <v>✅ Pass (không đổi)</v>
      </c>
    </row>
    <row r="346" ht="15.75" customHeight="1">
      <c r="A346" s="27" t="s">
        <v>2280</v>
      </c>
      <c r="B346" s="28" t="s">
        <v>2322</v>
      </c>
      <c r="C346" s="28" t="s">
        <v>2323</v>
      </c>
      <c r="D346" s="28" t="s">
        <v>2282</v>
      </c>
      <c r="E346" s="23" t="s">
        <v>15</v>
      </c>
      <c r="F346" s="28" t="s">
        <v>55</v>
      </c>
      <c r="G346" s="39" t="str">
        <f>DashboardKpiServices!J6</f>
        <v>Pass</v>
      </c>
      <c r="H346" s="40" t="str">
        <f>DashboardKpiServices!K6</f>
        <v/>
      </c>
      <c r="I346" s="35" t="str">
        <f>DashboardKpiServices!M6</f>
        <v>✅ Pass (không đổi)</v>
      </c>
    </row>
    <row r="347" ht="15.75" customHeight="1">
      <c r="A347" s="18" t="s">
        <v>2293</v>
      </c>
      <c r="B347" s="21" t="s">
        <v>2322</v>
      </c>
      <c r="C347" s="21" t="s">
        <v>2323</v>
      </c>
      <c r="D347" s="21" t="s">
        <v>2210</v>
      </c>
      <c r="E347" s="23" t="s">
        <v>15</v>
      </c>
      <c r="F347" s="25" t="s">
        <v>56</v>
      </c>
      <c r="G347" s="33" t="str">
        <f>DashboardKpiServices!J7</f>
        <v>Pass</v>
      </c>
      <c r="H347" s="34" t="str">
        <f>DashboardKpiServices!K7</f>
        <v/>
      </c>
      <c r="I347" s="35" t="str">
        <f>DashboardKpiServices!M7</f>
        <v>✅ ĐÃ FIX
SalesStaffDashboardService.GetDashboardAsync giờ nhận callerId (ISalesStaffDashboardService.cs:8).</v>
      </c>
    </row>
    <row r="348" ht="15.75" customHeight="1">
      <c r="A348" s="27" t="s">
        <v>2308</v>
      </c>
      <c r="B348" s="28" t="s">
        <v>2322</v>
      </c>
      <c r="C348" s="28" t="s">
        <v>2323</v>
      </c>
      <c r="D348" s="28" t="s">
        <v>1056</v>
      </c>
      <c r="E348" s="23" t="s">
        <v>15</v>
      </c>
      <c r="F348" s="28" t="s">
        <v>55</v>
      </c>
      <c r="G348" s="39" t="str">
        <f>DashboardKpiServices!J8</f>
        <v>Pass</v>
      </c>
      <c r="H348" s="40" t="str">
        <f>DashboardKpiServices!K8</f>
        <v/>
      </c>
      <c r="I348" s="35" t="str">
        <f>DashboardKpiServices!M8</f>
        <v>✅ Pass (không đổi)</v>
      </c>
    </row>
    <row r="349" ht="15.75" customHeight="1">
      <c r="A349" s="18" t="s">
        <v>2317</v>
      </c>
      <c r="B349" s="21" t="s">
        <v>2322</v>
      </c>
      <c r="C349" s="21" t="s">
        <v>2323</v>
      </c>
      <c r="D349" s="21" t="s">
        <v>1056</v>
      </c>
      <c r="E349" s="23" t="s">
        <v>15</v>
      </c>
      <c r="F349" s="21" t="s">
        <v>55</v>
      </c>
      <c r="G349" s="33" t="str">
        <f>DashboardKpiServices!J9</f>
        <v>Pass</v>
      </c>
      <c r="H349" s="34" t="str">
        <f>DashboardKpiServices!K9</f>
        <v/>
      </c>
      <c r="I349" s="35" t="str">
        <f>DashboardKpiServices!M9</f>
        <v>✅ Pass (không đổi)</v>
      </c>
    </row>
    <row r="350" ht="15.75" customHeight="1">
      <c r="A350" s="27" t="s">
        <v>2325</v>
      </c>
      <c r="B350" s="28" t="s">
        <v>2322</v>
      </c>
      <c r="C350" s="28" t="s">
        <v>2323</v>
      </c>
      <c r="D350" s="28" t="s">
        <v>2210</v>
      </c>
      <c r="E350" s="23" t="s">
        <v>15</v>
      </c>
      <c r="F350" s="41" t="s">
        <v>56</v>
      </c>
      <c r="G350" s="39" t="str">
        <f>DashboardKpiServices!J10</f>
        <v>Pass</v>
      </c>
      <c r="H350" s="40" t="str">
        <f>DashboardKpiServices!K10</f>
        <v/>
      </c>
      <c r="I350" s="35" t="str">
        <f>DashboardKpiServices!M10</f>
        <v>🔒 CẦN L3 (không phải bug)
SalesManagerDashboardService.GetDashboardAsync(from,to) không nhận caller/role, nhưng [Authorize] ở Controller đã chặn Customer/Warehouse. Có test L3: VietTien.IntegrationTests/RoleGateTests.cs:181-211 (L1_DASH_05_...).</v>
      </c>
    </row>
    <row r="351" ht="15.75" customHeight="1">
      <c r="A351" s="18" t="s">
        <v>2336</v>
      </c>
      <c r="B351" s="21" t="s">
        <v>2322</v>
      </c>
      <c r="C351" s="21" t="s">
        <v>2352</v>
      </c>
      <c r="D351" s="21" t="s">
        <v>2338</v>
      </c>
      <c r="E351" s="23" t="s">
        <v>15</v>
      </c>
      <c r="F351" s="21" t="s">
        <v>55</v>
      </c>
      <c r="G351" s="33" t="str">
        <f>DashboardKpiServices!J12</f>
        <v>Pass</v>
      </c>
      <c r="H351" s="34" t="str">
        <f>DashboardKpiServices!K12</f>
        <v/>
      </c>
      <c r="I351" s="35" t="str">
        <f>DashboardKpiServices!M12</f>
        <v>✅ Pass (không đổi)</v>
      </c>
    </row>
    <row r="352" ht="15.75" customHeight="1">
      <c r="A352" s="27" t="s">
        <v>2342</v>
      </c>
      <c r="B352" s="28" t="s">
        <v>2322</v>
      </c>
      <c r="C352" s="28" t="s">
        <v>2352</v>
      </c>
      <c r="D352" s="28" t="s">
        <v>1056</v>
      </c>
      <c r="E352" s="23" t="s">
        <v>15</v>
      </c>
      <c r="F352" s="28" t="s">
        <v>55</v>
      </c>
      <c r="G352" s="39" t="str">
        <f>DashboardKpiServices!J13</f>
        <v>Pass</v>
      </c>
      <c r="H352" s="40" t="str">
        <f>DashboardKpiServices!K13</f>
        <v/>
      </c>
      <c r="I352" s="35" t="str">
        <f>DashboardKpiServices!M13</f>
        <v>✅ Pass (không đổi)</v>
      </c>
    </row>
    <row r="353" ht="15.75" customHeight="1">
      <c r="A353" s="18" t="s">
        <v>2347</v>
      </c>
      <c r="B353" s="21" t="s">
        <v>2322</v>
      </c>
      <c r="C353" s="21" t="s">
        <v>2352</v>
      </c>
      <c r="D353" s="21" t="s">
        <v>1056</v>
      </c>
      <c r="E353" s="32" t="s">
        <v>25</v>
      </c>
      <c r="F353" s="21" t="s">
        <v>55</v>
      </c>
      <c r="G353" s="33" t="str">
        <f>DashboardKpiServices!J14</f>
        <v>Pass</v>
      </c>
      <c r="H353" s="34" t="str">
        <f>DashboardKpiServices!K14</f>
        <v/>
      </c>
      <c r="I353" s="35" t="str">
        <f>DashboardKpiServices!M14</f>
        <v>✅ Pass (không đổi)</v>
      </c>
    </row>
    <row r="354" ht="15.75" customHeight="1">
      <c r="A354" s="27" t="s">
        <v>2354</v>
      </c>
      <c r="B354" s="28" t="s">
        <v>2355</v>
      </c>
      <c r="C354" s="28" t="s">
        <v>2356</v>
      </c>
      <c r="D354" s="28" t="s">
        <v>2357</v>
      </c>
      <c r="E354" s="23" t="s">
        <v>15</v>
      </c>
      <c r="F354" s="28" t="s">
        <v>55</v>
      </c>
      <c r="G354" s="39" t="str">
        <f>JobRunService!J6</f>
        <v>Pass</v>
      </c>
      <c r="H354" s="40" t="str">
        <f>JobRunService!K6</f>
        <v/>
      </c>
      <c r="I354" s="35" t="str">
        <f>JobRunService!M6</f>
        <v>✅ Pass (không đổi)</v>
      </c>
    </row>
    <row r="355" ht="15.75" customHeight="1">
      <c r="A355" s="18" t="s">
        <v>2359</v>
      </c>
      <c r="B355" s="21" t="s">
        <v>2355</v>
      </c>
      <c r="C355" s="21" t="s">
        <v>2356</v>
      </c>
      <c r="D355" s="21" t="s">
        <v>2360</v>
      </c>
      <c r="E355" s="23" t="s">
        <v>15</v>
      </c>
      <c r="F355" s="25" t="s">
        <v>56</v>
      </c>
      <c r="G355" s="33" t="str">
        <f>JobRunService!J7</f>
        <v>Pass</v>
      </c>
      <c r="H355" s="34" t="str">
        <f>JobRunService!K7</f>
        <v/>
      </c>
      <c r="I355" s="35" t="str">
        <f>JobRunService!M7</f>
        <v>✅ Pass (không đổi)</v>
      </c>
    </row>
    <row r="356" ht="15.75" customHeight="1">
      <c r="A356" s="27" t="s">
        <v>2363</v>
      </c>
      <c r="B356" s="28" t="s">
        <v>2355</v>
      </c>
      <c r="C356" s="28" t="s">
        <v>2356</v>
      </c>
      <c r="D356" s="28" t="s">
        <v>2365</v>
      </c>
      <c r="E356" s="23" t="s">
        <v>15</v>
      </c>
      <c r="F356" s="41" t="s">
        <v>56</v>
      </c>
      <c r="G356" s="39" t="str">
        <f>JobRunService!J8</f>
        <v>Blocked</v>
      </c>
      <c r="H356" s="40" t="str">
        <f>JobRunService!K8</f>
        <v/>
      </c>
      <c r="I356" s="35" t="str">
        <f>JobRunService!M8</f>
        <v>❌ CHƯA FIX
JobRunService.cs:22-55 RunTrackedAsync chỉ try/catch đánh dấu Failed, không có retryCount/max-retry/cảnh báo.</v>
      </c>
    </row>
    <row r="357" ht="15.75" customHeight="1">
      <c r="A357" s="18" t="s">
        <v>2367</v>
      </c>
      <c r="B357" s="21" t="s">
        <v>2355</v>
      </c>
      <c r="C357" s="21" t="s">
        <v>2356</v>
      </c>
      <c r="D357" s="21" t="s">
        <v>2368</v>
      </c>
      <c r="E357" s="23" t="s">
        <v>15</v>
      </c>
      <c r="F357" s="25" t="s">
        <v>56</v>
      </c>
      <c r="G357" s="33" t="str">
        <f>JobRunService!J9</f>
        <v>Pass</v>
      </c>
      <c r="H357" s="34" t="str">
        <f>JobRunService!K9</f>
        <v/>
      </c>
      <c r="I357" s="35" t="str">
        <f>JobRunService!M9</f>
        <v>✅ Pass (không đổi)</v>
      </c>
    </row>
    <row r="358" ht="15.75" customHeight="1">
      <c r="A358" s="27" t="s">
        <v>2373</v>
      </c>
      <c r="B358" s="28" t="s">
        <v>2355</v>
      </c>
      <c r="C358" s="28" t="s">
        <v>2374</v>
      </c>
      <c r="D358" s="28" t="s">
        <v>2375</v>
      </c>
      <c r="E358" s="30" t="s">
        <v>25</v>
      </c>
      <c r="F358" s="28" t="s">
        <v>55</v>
      </c>
      <c r="G358" s="39" t="str">
        <f>JobRunService!J11</f>
        <v>Pass</v>
      </c>
      <c r="H358" s="40" t="str">
        <f>JobRunService!K11</f>
        <v/>
      </c>
      <c r="I358" s="35" t="str">
        <f>JobRunService!M11</f>
        <v>✅ Pass (không đổi)</v>
      </c>
    </row>
    <row r="359" ht="15.75" customHeight="1">
      <c r="A359" s="18" t="s">
        <v>2380</v>
      </c>
      <c r="B359" s="21" t="s">
        <v>2355</v>
      </c>
      <c r="C359" s="21" t="s">
        <v>2374</v>
      </c>
      <c r="D359" s="21" t="s">
        <v>2381</v>
      </c>
      <c r="E359" s="23" t="s">
        <v>15</v>
      </c>
      <c r="F359" s="21" t="s">
        <v>55</v>
      </c>
      <c r="G359" s="33" t="str">
        <f>JobRunService!J12</f>
        <v>Pass</v>
      </c>
      <c r="H359" s="34" t="str">
        <f>JobRunService!K12</f>
        <v/>
      </c>
      <c r="I359" s="35" t="str">
        <f>JobRunService!M12</f>
        <v>✅ Pass (không đổi)</v>
      </c>
    </row>
    <row r="360" ht="15.75" customHeight="1">
      <c r="A360" s="27" t="s">
        <v>2386</v>
      </c>
      <c r="B360" s="28" t="s">
        <v>2355</v>
      </c>
      <c r="C360" s="28" t="s">
        <v>2374</v>
      </c>
      <c r="D360" s="28" t="s">
        <v>2389</v>
      </c>
      <c r="E360" s="30" t="s">
        <v>25</v>
      </c>
      <c r="F360" s="28" t="s">
        <v>55</v>
      </c>
      <c r="G360" s="39" t="str">
        <f>JobRunService!J13</f>
        <v>Pass</v>
      </c>
      <c r="H360" s="40" t="str">
        <f>JobRunService!K13</f>
        <v/>
      </c>
      <c r="I360" s="35" t="str">
        <f>JobRunService!M13</f>
        <v>✅ Pass (không đổi)</v>
      </c>
    </row>
    <row r="361" ht="15.75" customHeight="1">
      <c r="A361" s="18" t="s">
        <v>2391</v>
      </c>
      <c r="B361" s="21" t="s">
        <v>2392</v>
      </c>
      <c r="C361" s="21" t="s">
        <v>2394</v>
      </c>
      <c r="D361" s="21" t="s">
        <v>1784</v>
      </c>
      <c r="E361" s="23" t="s">
        <v>15</v>
      </c>
      <c r="F361" s="21" t="s">
        <v>55</v>
      </c>
      <c r="G361" s="33" t="str">
        <f>ScheduledJobs!J6</f>
        <v>Pass</v>
      </c>
      <c r="H361" s="34" t="str">
        <f>ScheduledJobs!K6</f>
        <v/>
      </c>
      <c r="I361" s="35" t="str">
        <f>ScheduledJobs!M6</f>
        <v>✅ Pass (không đổi)</v>
      </c>
    </row>
    <row r="362" ht="15.75" customHeight="1">
      <c r="A362" s="27" t="s">
        <v>2399</v>
      </c>
      <c r="B362" s="28" t="s">
        <v>2392</v>
      </c>
      <c r="C362" s="28" t="s">
        <v>2394</v>
      </c>
      <c r="D362" s="28" t="s">
        <v>2400</v>
      </c>
      <c r="E362" s="23" t="s">
        <v>15</v>
      </c>
      <c r="F362" s="28" t="s">
        <v>55</v>
      </c>
      <c r="G362" s="39" t="str">
        <f>ScheduledJobs!J7</f>
        <v>Pass</v>
      </c>
      <c r="H362" s="40" t="str">
        <f>ScheduledJobs!K7</f>
        <v/>
      </c>
      <c r="I362" s="35" t="str">
        <f>ScheduledJobs!M7</f>
        <v>✅ Pass (không đổi)</v>
      </c>
    </row>
    <row r="363" ht="15.75" customHeight="1">
      <c r="A363" s="18" t="s">
        <v>2405</v>
      </c>
      <c r="B363" s="21" t="s">
        <v>2392</v>
      </c>
      <c r="C363" s="21" t="s">
        <v>2394</v>
      </c>
      <c r="D363" s="21" t="s">
        <v>1883</v>
      </c>
      <c r="E363" s="23" t="s">
        <v>15</v>
      </c>
      <c r="F363" s="21" t="s">
        <v>55</v>
      </c>
      <c r="G363" s="33" t="str">
        <f>ScheduledJobs!J8</f>
        <v>Pass</v>
      </c>
      <c r="H363" s="34" t="str">
        <f>ScheduledJobs!K8</f>
        <v/>
      </c>
      <c r="I363" s="35" t="str">
        <f>ScheduledJobs!M8</f>
        <v>✅ Pass (không đổi)</v>
      </c>
    </row>
    <row r="364" ht="15.75" customHeight="1">
      <c r="A364" s="27" t="s">
        <v>2407</v>
      </c>
      <c r="B364" s="28" t="s">
        <v>2392</v>
      </c>
      <c r="C364" s="28" t="s">
        <v>2394</v>
      </c>
      <c r="D364" s="28" t="s">
        <v>1477</v>
      </c>
      <c r="E364" s="23" t="s">
        <v>15</v>
      </c>
      <c r="F364" s="41" t="s">
        <v>56</v>
      </c>
      <c r="G364" s="39" t="str">
        <f>ScheduledJobs!J9</f>
        <v>Pass</v>
      </c>
      <c r="H364" s="40" t="str">
        <f>ScheduledJobs!K9</f>
        <v/>
      </c>
      <c r="I364" s="35" t="str">
        <f>ScheduledJobs!M9</f>
        <v>✅ Pass (không đổi)</v>
      </c>
    </row>
    <row r="365" ht="15.75" customHeight="1">
      <c r="A365" s="18" t="s">
        <v>2410</v>
      </c>
      <c r="B365" s="21" t="s">
        <v>2392</v>
      </c>
      <c r="C365" s="21" t="s">
        <v>2411</v>
      </c>
      <c r="D365" s="21" t="s">
        <v>2412</v>
      </c>
      <c r="E365" s="23" t="s">
        <v>15</v>
      </c>
      <c r="F365" s="21" t="s">
        <v>55</v>
      </c>
      <c r="G365" s="33" t="str">
        <f>ScheduledJobs!J11</f>
        <v>Pass</v>
      </c>
      <c r="H365" s="34" t="str">
        <f>ScheduledJobs!K11</f>
        <v/>
      </c>
      <c r="I365" s="35" t="str">
        <f>ScheduledJobs!M11</f>
        <v>✅ Pass (không đổi)</v>
      </c>
    </row>
    <row r="366" ht="15.75" customHeight="1">
      <c r="A366" s="27" t="s">
        <v>2413</v>
      </c>
      <c r="B366" s="28" t="s">
        <v>2392</v>
      </c>
      <c r="C366" s="28" t="s">
        <v>2411</v>
      </c>
      <c r="D366" s="28" t="s">
        <v>2412</v>
      </c>
      <c r="E366" s="23" t="s">
        <v>15</v>
      </c>
      <c r="F366" s="28" t="s">
        <v>55</v>
      </c>
      <c r="G366" s="39" t="str">
        <f>ScheduledJobs!J12</f>
        <v>Pass</v>
      </c>
      <c r="H366" s="40" t="str">
        <f>ScheduledJobs!K12</f>
        <v/>
      </c>
      <c r="I366" s="35" t="str">
        <f>ScheduledJobs!M12</f>
        <v>✅ Pass (không đổi)</v>
      </c>
    </row>
    <row r="367" ht="15.75" customHeight="1">
      <c r="A367" s="18" t="s">
        <v>2416</v>
      </c>
      <c r="B367" s="21" t="s">
        <v>2392</v>
      </c>
      <c r="C367" s="21" t="s">
        <v>2411</v>
      </c>
      <c r="D367" s="21" t="s">
        <v>2419</v>
      </c>
      <c r="E367" s="23" t="s">
        <v>15</v>
      </c>
      <c r="F367" s="21" t="s">
        <v>55</v>
      </c>
      <c r="G367" s="33" t="str">
        <f>ScheduledJobs!J13</f>
        <v>Pass</v>
      </c>
      <c r="H367" s="34" t="str">
        <f>ScheduledJobs!K13</f>
        <v/>
      </c>
      <c r="I367" s="35" t="str">
        <f>ScheduledJobs!M13</f>
        <v>✅ Pass (không đổi)</v>
      </c>
    </row>
    <row r="368" ht="15.75" customHeight="1">
      <c r="A368" s="27" t="s">
        <v>2421</v>
      </c>
      <c r="B368" s="28" t="s">
        <v>2392</v>
      </c>
      <c r="C368" s="28" t="s">
        <v>2411</v>
      </c>
      <c r="D368" s="28" t="s">
        <v>2423</v>
      </c>
      <c r="E368" s="23" t="s">
        <v>15</v>
      </c>
      <c r="F368" s="41" t="s">
        <v>56</v>
      </c>
      <c r="G368" s="39" t="str">
        <f>ScheduledJobs!J14</f>
        <v>Pass</v>
      </c>
      <c r="H368" s="40" t="str">
        <f>ScheduledJobs!K14</f>
        <v/>
      </c>
      <c r="I368" s="35" t="str">
        <f>ScheduledJobs!M14</f>
        <v>✅ Pass (không đổi)</v>
      </c>
    </row>
    <row r="369" ht="15.75" customHeight="1">
      <c r="A369" s="18" t="s">
        <v>2427</v>
      </c>
      <c r="B369" s="21" t="s">
        <v>2392</v>
      </c>
      <c r="C369" s="21" t="s">
        <v>2428</v>
      </c>
      <c r="D369" s="21" t="s">
        <v>2291</v>
      </c>
      <c r="E369" s="23" t="s">
        <v>15</v>
      </c>
      <c r="F369" s="21" t="s">
        <v>55</v>
      </c>
      <c r="G369" s="33" t="str">
        <f>ScheduledJobs!J16</f>
        <v>Pass</v>
      </c>
      <c r="H369" s="34" t="str">
        <f>ScheduledJobs!K16</f>
        <v/>
      </c>
      <c r="I369" s="35" t="str">
        <f>ScheduledJobs!M16</f>
        <v>✅ Pass (không đổi)</v>
      </c>
    </row>
    <row r="370" ht="15.75" customHeight="1">
      <c r="A370" s="27" t="s">
        <v>2433</v>
      </c>
      <c r="B370" s="28" t="s">
        <v>2392</v>
      </c>
      <c r="C370" s="28" t="s">
        <v>2428</v>
      </c>
      <c r="D370" s="28" t="s">
        <v>576</v>
      </c>
      <c r="E370" s="23" t="s">
        <v>15</v>
      </c>
      <c r="F370" s="41" t="s">
        <v>56</v>
      </c>
      <c r="G370" s="39" t="str">
        <f>ScheduledJobs!J17</f>
        <v>Pass</v>
      </c>
      <c r="H370" s="40" t="str">
        <f>ScheduledJobs!K17</f>
        <v/>
      </c>
      <c r="I370" s="35" t="str">
        <f>ScheduledJobs!M17</f>
        <v>✅ Pass (không đổi)</v>
      </c>
    </row>
    <row r="371" ht="15.75" customHeight="1">
      <c r="A371" s="18" t="s">
        <v>2439</v>
      </c>
      <c r="B371" s="21" t="s">
        <v>2392</v>
      </c>
      <c r="C371" s="21" t="s">
        <v>2440</v>
      </c>
      <c r="D371" s="21" t="s">
        <v>2441</v>
      </c>
      <c r="E371" s="23" t="s">
        <v>15</v>
      </c>
      <c r="F371" s="21" t="s">
        <v>55</v>
      </c>
      <c r="G371" s="33" t="str">
        <f>ScheduledJobs!J19</f>
        <v>Fail</v>
      </c>
      <c r="H371" s="60" t="s">
        <v>2445</v>
      </c>
      <c r="I371" s="35" t="str">
        <f>ScheduledJobs!M19</f>
        <v>❌ CHƯA FIX
LowStockAlertJob.cs:45 dùng '&gt; ReorderThreshold' nên bằng ngưỡng vẫn bị cảnh báo (lẽ ra không) — lỗi off-by-one vẫn còn, lặp lại ở dòng 84 cho vật tư.</v>
      </c>
    </row>
    <row r="372" ht="15.75" customHeight="1">
      <c r="A372" s="27" t="s">
        <v>2447</v>
      </c>
      <c r="B372" s="28" t="s">
        <v>2392</v>
      </c>
      <c r="C372" s="28" t="s">
        <v>2440</v>
      </c>
      <c r="D372" s="28" t="s">
        <v>2448</v>
      </c>
      <c r="E372" s="23" t="s">
        <v>15</v>
      </c>
      <c r="F372" s="41" t="s">
        <v>56</v>
      </c>
      <c r="G372" s="39" t="str">
        <f>ScheduledJobs!J20</f>
        <v>Pass</v>
      </c>
      <c r="H372" s="40" t="str">
        <f>ScheduledJobs!K20</f>
        <v/>
      </c>
      <c r="I372" s="35" t="str">
        <f>ScheduledJobs!M20</f>
        <v>✅ Pass (không đổi)</v>
      </c>
    </row>
    <row r="373" ht="15.75" customHeight="1">
      <c r="A373" s="18" t="s">
        <v>2453</v>
      </c>
      <c r="B373" s="21" t="s">
        <v>2392</v>
      </c>
      <c r="C373" s="21" t="s">
        <v>2440</v>
      </c>
      <c r="D373" s="21" t="s">
        <v>2455</v>
      </c>
      <c r="E373" s="32" t="s">
        <v>25</v>
      </c>
      <c r="F373" s="21" t="s">
        <v>55</v>
      </c>
      <c r="G373" s="33" t="str">
        <f>ScheduledJobs!J21</f>
        <v>Pass</v>
      </c>
      <c r="H373" s="34" t="str">
        <f>ScheduledJobs!K21</f>
        <v/>
      </c>
      <c r="I373" s="35" t="str">
        <f>ScheduledJobs!M21</f>
        <v>✅ Pass (không đổi)</v>
      </c>
    </row>
    <row r="374" ht="15.75" customHeight="1">
      <c r="A374" s="27" t="s">
        <v>2462</v>
      </c>
      <c r="B374" s="28" t="s">
        <v>2392</v>
      </c>
      <c r="C374" s="28" t="s">
        <v>2465</v>
      </c>
      <c r="D374" s="28" t="s">
        <v>2218</v>
      </c>
      <c r="E374" s="23" t="s">
        <v>15</v>
      </c>
      <c r="F374" s="28" t="s">
        <v>55</v>
      </c>
      <c r="G374" s="39" t="str">
        <f>ScheduledJobs!J23</f>
        <v>Pass</v>
      </c>
      <c r="H374" s="40" t="str">
        <f>ScheduledJobs!K23</f>
        <v/>
      </c>
      <c r="I374" s="35" t="str">
        <f>ScheduledJobs!M23</f>
        <v>✅ Pass (không đổi)</v>
      </c>
    </row>
    <row r="375" ht="15.75" customHeight="1">
      <c r="A375" s="18" t="s">
        <v>2473</v>
      </c>
      <c r="B375" s="21" t="s">
        <v>2392</v>
      </c>
      <c r="C375" s="21" t="s">
        <v>2465</v>
      </c>
      <c r="D375" s="21" t="s">
        <v>2279</v>
      </c>
      <c r="E375" s="23" t="s">
        <v>15</v>
      </c>
      <c r="F375" s="25" t="s">
        <v>56</v>
      </c>
      <c r="G375" s="33" t="str">
        <f>ScheduledJobs!J24</f>
        <v>Pass</v>
      </c>
      <c r="H375" s="34" t="str">
        <f>ScheduledJobs!K24</f>
        <v/>
      </c>
      <c r="I375" s="35" t="str">
        <f>ScheduledJobs!M24</f>
        <v>✅ Pass (không đổi)</v>
      </c>
    </row>
    <row r="376" ht="15.75" customHeight="1">
      <c r="A376" s="27" t="s">
        <v>2482</v>
      </c>
      <c r="B376" s="28" t="s">
        <v>2392</v>
      </c>
      <c r="C376" s="28" t="s">
        <v>2465</v>
      </c>
      <c r="D376" s="28" t="s">
        <v>2139</v>
      </c>
      <c r="E376" s="23" t="s">
        <v>15</v>
      </c>
      <c r="F376" s="41" t="s">
        <v>56</v>
      </c>
      <c r="G376" s="39" t="str">
        <f>ScheduledJobs!J25</f>
        <v>Pass</v>
      </c>
      <c r="H376" s="40" t="str">
        <f>ScheduledJobs!K25</f>
        <v/>
      </c>
      <c r="I376" s="35" t="str">
        <f>ScheduledJobs!M25</f>
        <v>✅ Pass (không đổi)</v>
      </c>
    </row>
    <row r="377" ht="15.75" customHeight="1">
      <c r="A377" s="18" t="s">
        <v>2456</v>
      </c>
      <c r="B377" s="21" t="s">
        <v>2499</v>
      </c>
      <c r="C377" s="21" t="s">
        <v>2500</v>
      </c>
      <c r="D377" s="21" t="s">
        <v>2460</v>
      </c>
      <c r="E377" s="32" t="s">
        <v>25</v>
      </c>
      <c r="F377" s="21" t="s">
        <v>55</v>
      </c>
      <c r="G377" s="33" t="str">
        <f>ExternalIntegrations!J6</f>
        <v>Pass</v>
      </c>
      <c r="H377" s="34" t="str">
        <f>ExternalIntegrations!K6</f>
        <v/>
      </c>
      <c r="I377" s="35" t="str">
        <f>ExternalIntegrations!M6</f>
        <v>✅ Pass (không đổi)</v>
      </c>
    </row>
    <row r="378" ht="15.75" customHeight="1">
      <c r="A378" s="27" t="s">
        <v>2470</v>
      </c>
      <c r="B378" s="28" t="s">
        <v>2499</v>
      </c>
      <c r="C378" s="28" t="s">
        <v>2500</v>
      </c>
      <c r="D378" s="28" t="s">
        <v>2474</v>
      </c>
      <c r="E378" s="23" t="s">
        <v>15</v>
      </c>
      <c r="F378" s="41" t="s">
        <v>56</v>
      </c>
      <c r="G378" s="39" t="str">
        <f>ExternalIntegrations!J7</f>
        <v>Pass</v>
      </c>
      <c r="H378" s="40" t="str">
        <f>ExternalIntegrations!K7</f>
        <v/>
      </c>
      <c r="I378" s="35" t="str">
        <f>ExternalIntegrations!M7</f>
        <v>✅ Pass (không đổi)</v>
      </c>
    </row>
    <row r="379" ht="15.75" customHeight="1">
      <c r="A379" s="18" t="s">
        <v>2483</v>
      </c>
      <c r="B379" s="21" t="s">
        <v>2499</v>
      </c>
      <c r="C379" s="21" t="s">
        <v>2500</v>
      </c>
      <c r="D379" s="21" t="s">
        <v>1681</v>
      </c>
      <c r="E379" s="32" t="s">
        <v>25</v>
      </c>
      <c r="F379" s="21" t="s">
        <v>55</v>
      </c>
      <c r="G379" s="33" t="str">
        <f>ExternalIntegrations!J8</f>
        <v>Pass</v>
      </c>
      <c r="H379" s="34" t="str">
        <f>ExternalIntegrations!K8</f>
        <v/>
      </c>
      <c r="I379" s="35" t="str">
        <f>ExternalIntegrations!M8</f>
        <v>✅ Pass (không đổi)</v>
      </c>
    </row>
    <row r="380" ht="15.75" customHeight="1">
      <c r="A380" s="27" t="s">
        <v>2492</v>
      </c>
      <c r="B380" s="28" t="s">
        <v>2499</v>
      </c>
      <c r="C380" s="28" t="s">
        <v>2500</v>
      </c>
      <c r="D380" s="28" t="s">
        <v>2495</v>
      </c>
      <c r="E380" s="23" t="s">
        <v>15</v>
      </c>
      <c r="F380" s="41" t="s">
        <v>56</v>
      </c>
      <c r="G380" s="39" t="str">
        <f>ExternalIntegrations!J9</f>
        <v>Pass</v>
      </c>
      <c r="H380" s="40" t="str">
        <f>ExternalIntegrations!K9</f>
        <v/>
      </c>
      <c r="I380" s="35" t="str">
        <f>ExternalIntegrations!M9</f>
        <v>✅ Pass (không đổi)</v>
      </c>
    </row>
    <row r="381" ht="15.75" customHeight="1">
      <c r="A381" s="18" t="s">
        <v>2506</v>
      </c>
      <c r="B381" s="21" t="s">
        <v>2499</v>
      </c>
      <c r="C381" s="21" t="s">
        <v>2541</v>
      </c>
      <c r="D381" s="21" t="s">
        <v>1188</v>
      </c>
      <c r="E381" s="32" t="s">
        <v>32</v>
      </c>
      <c r="F381" s="21" t="s">
        <v>55</v>
      </c>
      <c r="G381" s="33" t="str">
        <f>ExternalIntegrations!J11</f>
        <v>Pass</v>
      </c>
      <c r="H381" s="34" t="str">
        <f>ExternalIntegrations!K11</f>
        <v/>
      </c>
      <c r="I381" s="35" t="str">
        <f>ExternalIntegrations!M11</f>
        <v>✅ Pass (không đổi)</v>
      </c>
    </row>
    <row r="382" ht="15.75" customHeight="1">
      <c r="A382" s="27" t="s">
        <v>2516</v>
      </c>
      <c r="B382" s="28" t="s">
        <v>2499</v>
      </c>
      <c r="C382" s="28" t="s">
        <v>2541</v>
      </c>
      <c r="D382" s="28" t="s">
        <v>1188</v>
      </c>
      <c r="E382" s="23" t="s">
        <v>15</v>
      </c>
      <c r="F382" s="41" t="s">
        <v>56</v>
      </c>
      <c r="G382" s="39" t="str">
        <f>ExternalIntegrations!J12</f>
        <v>Pass</v>
      </c>
      <c r="H382" s="40" t="str">
        <f>ExternalIntegrations!K12</f>
        <v/>
      </c>
      <c r="I382" s="35" t="str">
        <f>ExternalIntegrations!M12</f>
        <v>✅ Pass (không đổi)</v>
      </c>
    </row>
    <row r="383" ht="15.75" customHeight="1">
      <c r="A383" s="18" t="s">
        <v>2525</v>
      </c>
      <c r="B383" s="21" t="s">
        <v>2499</v>
      </c>
      <c r="C383" s="21" t="s">
        <v>2541</v>
      </c>
      <c r="D383" s="21" t="s">
        <v>2257</v>
      </c>
      <c r="E383" s="32" t="s">
        <v>25</v>
      </c>
      <c r="F383" s="21" t="s">
        <v>55</v>
      </c>
      <c r="G383" s="33" t="str">
        <f>ExternalIntegrations!J13</f>
        <v>Pass</v>
      </c>
      <c r="H383" s="34" t="str">
        <f>ExternalIntegrations!K13</f>
        <v/>
      </c>
      <c r="I383" s="35" t="str">
        <f>ExternalIntegrations!M13</f>
        <v>✅ Pass (không đổi)</v>
      </c>
    </row>
    <row r="384" ht="15.75" customHeight="1">
      <c r="A384" s="27" t="s">
        <v>2532</v>
      </c>
      <c r="B384" s="28" t="s">
        <v>2499</v>
      </c>
      <c r="C384" s="28" t="s">
        <v>2541</v>
      </c>
      <c r="D384" s="28" t="s">
        <v>2534</v>
      </c>
      <c r="E384" s="30" t="s">
        <v>25</v>
      </c>
      <c r="F384" s="41" t="s">
        <v>56</v>
      </c>
      <c r="G384" s="39" t="str">
        <f>ExternalIntegrations!J14</f>
        <v>Pass</v>
      </c>
      <c r="H384" s="40" t="str">
        <f>ExternalIntegrations!K14</f>
        <v/>
      </c>
      <c r="I384" s="35" t="str">
        <f>ExternalIntegrations!M14</f>
        <v>✅ Pass (không đổi)</v>
      </c>
    </row>
    <row r="385" ht="15.75" customHeight="1">
      <c r="A385" s="18" t="s">
        <v>2546</v>
      </c>
      <c r="B385" s="21" t="s">
        <v>2547</v>
      </c>
      <c r="C385" s="21" t="s">
        <v>2548</v>
      </c>
      <c r="D385" s="21" t="s">
        <v>913</v>
      </c>
      <c r="E385" s="23" t="s">
        <v>15</v>
      </c>
      <c r="F385" s="25" t="s">
        <v>56</v>
      </c>
      <c r="G385" s="33" t="str">
        <f>RegressionFixes!J6</f>
        <v>Pass</v>
      </c>
      <c r="H385" s="34" t="str">
        <f>RegressionFixes!K6</f>
        <v/>
      </c>
      <c r="I385" s="35" t="str">
        <f>RegressionFixes!M6</f>
        <v>✅ ĐÃ FIX  [🟢 ĐÃ FIX (07/08/2026, xác nhận qua L2 integration test thật)]
GH-12 đã fix: InventoryService.AdjustInventoryAsync nay ghi StockTransaction (TransactionType.StockAdjustment) cho mỗi lần điều chỉnh tồn — comment cũ về không ghi audit (dòng 126-127) đã được thay thế. Xác nhận PASS qua L2-TRF-04 chạy thật.</v>
      </c>
    </row>
    <row r="386" ht="15.75" customHeight="1">
      <c r="A386" s="27" t="s">
        <v>2549</v>
      </c>
      <c r="B386" s="28" t="s">
        <v>2547</v>
      </c>
      <c r="C386" s="28" t="s">
        <v>2548</v>
      </c>
      <c r="D386" s="28" t="s">
        <v>528</v>
      </c>
      <c r="E386" s="23" t="s">
        <v>15</v>
      </c>
      <c r="F386" s="41" t="s">
        <v>56</v>
      </c>
      <c r="G386" s="39" t="str">
        <f>RegressionFixes!J7</f>
        <v>Pass</v>
      </c>
      <c r="H386" s="40" t="str">
        <f>RegressionFixes!K7</f>
        <v/>
      </c>
      <c r="I386" s="35" t="str">
        <f>RegressionFixes!M7</f>
        <v>✅ Pass (không đổi)</v>
      </c>
    </row>
    <row r="387" ht="15.75" customHeight="1">
      <c r="A387" s="18" t="s">
        <v>2550</v>
      </c>
      <c r="B387" s="21" t="s">
        <v>2547</v>
      </c>
      <c r="C387" s="21" t="s">
        <v>2548</v>
      </c>
      <c r="D387" s="21" t="s">
        <v>2551</v>
      </c>
      <c r="E387" s="23" t="s">
        <v>15</v>
      </c>
      <c r="F387" s="25" t="s">
        <v>56</v>
      </c>
      <c r="G387" s="33" t="str">
        <f>RegressionFixes!J8</f>
        <v>Pass</v>
      </c>
      <c r="H387" s="34" t="str">
        <f>RegressionFixes!K8</f>
        <v/>
      </c>
      <c r="I387" s="35" t="str">
        <f>RegressionFixes!M8</f>
        <v>✅ ĐÃ FIX
StockTransferService.cs:287,304-309 ReceiveAsync nhận Guid staffId, throw nếu AssignedWarehouseId khác DestinationWarehouseId.</v>
      </c>
    </row>
    <row r="388" ht="15.75" customHeight="1">
      <c r="A388" s="27" t="s">
        <v>2552</v>
      </c>
      <c r="B388" s="28" t="s">
        <v>2547</v>
      </c>
      <c r="C388" s="28" t="s">
        <v>2548</v>
      </c>
      <c r="D388" s="28" t="s">
        <v>868</v>
      </c>
      <c r="E388" s="23" t="s">
        <v>15</v>
      </c>
      <c r="F388" s="41" t="s">
        <v>56</v>
      </c>
      <c r="G388" s="39" t="str">
        <f>RegressionFixes!J9</f>
        <v>Pass</v>
      </c>
      <c r="H388" s="40" t="str">
        <f>RegressionFixes!K9</f>
        <v/>
      </c>
      <c r="I388" s="35" t="str">
        <f>RegressionFixes!M9</f>
        <v>✅ Pass (không đổi)</v>
      </c>
    </row>
    <row r="389" ht="15.75" customHeight="1">
      <c r="A389" s="18" t="s">
        <v>2553</v>
      </c>
      <c r="B389" s="21" t="s">
        <v>2547</v>
      </c>
      <c r="C389" s="21" t="s">
        <v>2554</v>
      </c>
      <c r="D389" s="21" t="s">
        <v>2555</v>
      </c>
      <c r="E389" s="23" t="s">
        <v>15</v>
      </c>
      <c r="F389" s="21" t="s">
        <v>55</v>
      </c>
      <c r="G389" s="33" t="str">
        <f>RegressionFixes!J11</f>
        <v>Pass</v>
      </c>
      <c r="H389" s="34" t="str">
        <f>RegressionFixes!K11</f>
        <v/>
      </c>
      <c r="I389" s="35" t="str">
        <f>RegressionFixes!M11</f>
        <v>✅ Pass (không đổi)</v>
      </c>
    </row>
    <row r="390" ht="15.75" customHeight="1">
      <c r="A390" s="27" t="s">
        <v>2556</v>
      </c>
      <c r="B390" s="28" t="s">
        <v>2547</v>
      </c>
      <c r="C390" s="28" t="s">
        <v>2554</v>
      </c>
      <c r="D390" s="28" t="s">
        <v>2557</v>
      </c>
      <c r="E390" s="23" t="s">
        <v>15</v>
      </c>
      <c r="F390" s="41" t="s">
        <v>56</v>
      </c>
      <c r="G390" s="39" t="str">
        <f>RegressionFixes!J12</f>
        <v>Pass</v>
      </c>
      <c r="H390" s="40" t="str">
        <f>RegressionFixes!K12</f>
        <v/>
      </c>
      <c r="I390" s="35" t="str">
        <f>RegressionFixes!M12</f>
        <v>✅ ĐÃ FIX
OrderService.cs:1788-1793 RequestCancelOrderAsync throw cho cả InDelivery và Delivered (validStatuses check) ở tầng service/unit test.</v>
      </c>
    </row>
    <row r="391" ht="15.75" customHeight="1">
      <c r="A391" s="18" t="s">
        <v>2558</v>
      </c>
      <c r="B391" s="21" t="s">
        <v>2547</v>
      </c>
      <c r="C391" s="21" t="s">
        <v>2554</v>
      </c>
      <c r="D391" s="21" t="s">
        <v>2559</v>
      </c>
      <c r="E391" s="23" t="s">
        <v>15</v>
      </c>
      <c r="F391" s="25" t="s">
        <v>56</v>
      </c>
      <c r="G391" s="33" t="str">
        <f>RegressionFixes!J13</f>
        <v>Pass</v>
      </c>
      <c r="H391" s="34" t="str">
        <f>RegressionFixes!K13</f>
        <v/>
      </c>
      <c r="I391" s="35" t="str">
        <f>RegressionFixes!M13</f>
        <v>✅ ĐÃ FIX
Giống L1-ORD-13 — OrderService.cs:296-297.</v>
      </c>
    </row>
    <row r="392" ht="15.75" customHeight="1">
      <c r="A392" s="27" t="s">
        <v>2560</v>
      </c>
      <c r="B392" s="28" t="s">
        <v>2547</v>
      </c>
      <c r="C392" s="28" t="s">
        <v>2554</v>
      </c>
      <c r="D392" s="28" t="s">
        <v>2210</v>
      </c>
      <c r="E392" s="23" t="s">
        <v>15</v>
      </c>
      <c r="F392" s="41" t="s">
        <v>56</v>
      </c>
      <c r="G392" s="39" t="str">
        <f>RegressionFixes!J14</f>
        <v>Pass</v>
      </c>
      <c r="H392" s="40" t="str">
        <f>RegressionFixes!K14</f>
        <v/>
      </c>
      <c r="I392" s="35" t="str">
        <f>RegressionFixes!M14</f>
        <v>✅ Pass (không đổi)</v>
      </c>
    </row>
    <row r="393" ht="15.75" customHeight="1">
      <c r="A393" s="18" t="s">
        <v>2561</v>
      </c>
      <c r="B393" s="21" t="s">
        <v>2547</v>
      </c>
      <c r="C393" s="21" t="s">
        <v>2562</v>
      </c>
      <c r="D393" s="21" t="s">
        <v>2563</v>
      </c>
      <c r="E393" s="23" t="s">
        <v>15</v>
      </c>
      <c r="F393" s="25" t="s">
        <v>56</v>
      </c>
      <c r="G393" s="33" t="str">
        <f>RegressionFixes!J16</f>
        <v>Pass</v>
      </c>
      <c r="H393" s="34" t="str">
        <f>RegressionFixes!K16</f>
        <v/>
      </c>
      <c r="I393" s="35" t="str">
        <f>RegressionFixes!M16</f>
        <v>✅ Pass (không đổi)</v>
      </c>
    </row>
    <row r="394" ht="15.75" customHeight="1">
      <c r="A394" s="27" t="s">
        <v>2564</v>
      </c>
      <c r="B394" s="28" t="s">
        <v>2547</v>
      </c>
      <c r="C394" s="28" t="s">
        <v>2562</v>
      </c>
      <c r="D394" s="28" t="s">
        <v>1283</v>
      </c>
      <c r="E394" s="23" t="s">
        <v>15</v>
      </c>
      <c r="F394" s="28" t="s">
        <v>55</v>
      </c>
      <c r="G394" s="39" t="str">
        <f>RegressionFixes!J17</f>
        <v>Pass</v>
      </c>
      <c r="H394" s="40" t="str">
        <f>RegressionFixes!K17</f>
        <v/>
      </c>
      <c r="I394" s="35" t="str">
        <f>RegressionFixes!M17</f>
        <v>✅ Pass (không đổi)</v>
      </c>
    </row>
    <row r="395" ht="15.75" customHeight="1">
      <c r="A395" s="18" t="s">
        <v>2565</v>
      </c>
      <c r="B395" s="21" t="s">
        <v>2547</v>
      </c>
      <c r="C395" s="21" t="s">
        <v>2562</v>
      </c>
      <c r="D395" s="21" t="s">
        <v>1559</v>
      </c>
      <c r="E395" s="32" t="s">
        <v>32</v>
      </c>
      <c r="F395" s="21" t="s">
        <v>55</v>
      </c>
      <c r="G395" s="33" t="str">
        <f>RegressionFixes!J18</f>
        <v>Pass</v>
      </c>
      <c r="H395" s="34" t="str">
        <f>RegressionFixes!K18</f>
        <v/>
      </c>
      <c r="I395" s="35" t="str">
        <f>RegressionFixes!M18</f>
        <v>✅ Pass (không đổi)</v>
      </c>
    </row>
    <row r="396" ht="15.75" customHeight="1">
      <c r="A396" s="27" t="s">
        <v>2566</v>
      </c>
      <c r="B396" s="28" t="s">
        <v>2547</v>
      </c>
      <c r="C396" s="28" t="s">
        <v>2562</v>
      </c>
      <c r="D396" s="28" t="s">
        <v>2567</v>
      </c>
      <c r="E396" s="23" t="s">
        <v>15</v>
      </c>
      <c r="F396" s="41" t="s">
        <v>56</v>
      </c>
      <c r="G396" s="39" t="str">
        <f>RegressionFixes!J19</f>
        <v>Pass</v>
      </c>
      <c r="H396" s="40" t="str">
        <f>RegressionFixes!K19</f>
        <v/>
      </c>
      <c r="I396" s="35" t="str">
        <f>RegressionFixes!M19</f>
        <v>✅ Pass (không đổi)</v>
      </c>
    </row>
    <row r="397" ht="15.75" customHeight="1">
      <c r="I397" s="6"/>
    </row>
    <row r="398" ht="15.75" customHeight="1">
      <c r="I398" s="6"/>
    </row>
    <row r="399" ht="15.75" customHeight="1">
      <c r="I399" s="6"/>
    </row>
    <row r="400" ht="15.75" customHeight="1">
      <c r="I400" s="6"/>
    </row>
    <row r="401" ht="15.75" customHeight="1">
      <c r="I401" s="6"/>
    </row>
    <row r="402" ht="15.75" customHeight="1">
      <c r="I402" s="6"/>
    </row>
    <row r="403" ht="15.75" customHeight="1">
      <c r="I403" s="6"/>
    </row>
    <row r="404" ht="15.75" customHeight="1">
      <c r="I404" s="6"/>
    </row>
    <row r="405" ht="15.75" customHeight="1">
      <c r="I405" s="6"/>
    </row>
    <row r="406" ht="15.75" customHeight="1">
      <c r="I406" s="6"/>
    </row>
    <row r="407" ht="15.75" customHeight="1">
      <c r="I407" s="6"/>
    </row>
    <row r="408" ht="15.75" customHeight="1">
      <c r="I408" s="6"/>
    </row>
    <row r="409" ht="15.75" customHeight="1">
      <c r="I409" s="6"/>
    </row>
    <row r="410" ht="15.75" customHeight="1">
      <c r="I410" s="6"/>
    </row>
    <row r="411" ht="15.75" customHeight="1">
      <c r="I411" s="6"/>
    </row>
    <row r="412" ht="15.75" customHeight="1">
      <c r="I412" s="6"/>
    </row>
    <row r="413" ht="15.75" customHeight="1">
      <c r="I413" s="6"/>
    </row>
    <row r="414" ht="15.75" customHeight="1">
      <c r="I414" s="6"/>
    </row>
    <row r="415" ht="15.75" customHeight="1">
      <c r="I415" s="6"/>
    </row>
    <row r="416" ht="15.75" customHeight="1">
      <c r="I416" s="6"/>
    </row>
    <row r="417" ht="15.75" customHeight="1">
      <c r="I417" s="6"/>
    </row>
    <row r="418" ht="15.75" customHeight="1">
      <c r="I418" s="6"/>
    </row>
    <row r="419" ht="15.75" customHeight="1">
      <c r="I419" s="6"/>
    </row>
    <row r="420" ht="15.75" customHeight="1">
      <c r="I420" s="6"/>
    </row>
    <row r="421" ht="15.75" customHeight="1">
      <c r="I421" s="6"/>
    </row>
    <row r="422" ht="15.75" customHeight="1">
      <c r="I422" s="6"/>
    </row>
    <row r="423" ht="15.75" customHeight="1">
      <c r="I423" s="6"/>
    </row>
    <row r="424" ht="15.75" customHeight="1">
      <c r="I424" s="6"/>
    </row>
    <row r="425" ht="15.75" customHeight="1">
      <c r="I425" s="6"/>
    </row>
    <row r="426" ht="15.75" customHeight="1">
      <c r="I426" s="6"/>
    </row>
    <row r="427" ht="15.75" customHeight="1">
      <c r="I427" s="6"/>
    </row>
    <row r="428" ht="15.75" customHeight="1">
      <c r="I428" s="6"/>
    </row>
    <row r="429" ht="15.75" customHeight="1">
      <c r="I429" s="6"/>
    </row>
    <row r="430" ht="15.75" customHeight="1">
      <c r="I430" s="6"/>
    </row>
    <row r="431" ht="15.75" customHeight="1">
      <c r="I431" s="6"/>
    </row>
    <row r="432" ht="15.75" customHeight="1">
      <c r="I432" s="6"/>
    </row>
    <row r="433" ht="15.75" customHeight="1">
      <c r="I433" s="6"/>
    </row>
    <row r="434" ht="15.75" customHeight="1">
      <c r="I434" s="6"/>
    </row>
    <row r="435" ht="15.75" customHeight="1">
      <c r="I435" s="6"/>
    </row>
    <row r="436" ht="15.75" customHeight="1">
      <c r="I436" s="6"/>
    </row>
    <row r="437" ht="15.75" customHeight="1">
      <c r="I437" s="6"/>
    </row>
    <row r="438" ht="15.75" customHeight="1">
      <c r="I438" s="6"/>
    </row>
    <row r="439" ht="15.75" customHeight="1">
      <c r="I439" s="6"/>
    </row>
    <row r="440" ht="15.75" customHeight="1">
      <c r="I440" s="6"/>
    </row>
    <row r="441" ht="15.75" customHeight="1">
      <c r="I441" s="6"/>
    </row>
    <row r="442" ht="15.75" customHeight="1">
      <c r="I442" s="6"/>
    </row>
    <row r="443" ht="15.75" customHeight="1">
      <c r="I443" s="6"/>
    </row>
    <row r="444" ht="15.75" customHeight="1">
      <c r="I444" s="6"/>
    </row>
    <row r="445" ht="15.75" customHeight="1">
      <c r="I445" s="6"/>
    </row>
    <row r="446" ht="15.75" customHeight="1">
      <c r="I446" s="6"/>
    </row>
    <row r="447" ht="15.75" customHeight="1">
      <c r="I447" s="6"/>
    </row>
    <row r="448" ht="15.75" customHeight="1">
      <c r="I448" s="6"/>
    </row>
    <row r="449" ht="15.75" customHeight="1">
      <c r="I449" s="6"/>
    </row>
    <row r="450" ht="15.75" customHeight="1">
      <c r="I450" s="6"/>
    </row>
    <row r="451" ht="15.75" customHeight="1">
      <c r="I451" s="6"/>
    </row>
    <row r="452" ht="15.75" customHeight="1">
      <c r="I452" s="6"/>
    </row>
    <row r="453" ht="15.75" customHeight="1">
      <c r="I453" s="6"/>
    </row>
    <row r="454" ht="15.75" customHeight="1">
      <c r="I454" s="6"/>
    </row>
    <row r="455" ht="15.75" customHeight="1">
      <c r="I455" s="6"/>
    </row>
    <row r="456" ht="15.75" customHeight="1">
      <c r="I456" s="6"/>
    </row>
    <row r="457" ht="15.75" customHeight="1">
      <c r="I457" s="6"/>
    </row>
    <row r="458" ht="15.75" customHeight="1">
      <c r="I458" s="6"/>
    </row>
    <row r="459" ht="15.75" customHeight="1">
      <c r="I459" s="6"/>
    </row>
    <row r="460" ht="15.75" customHeight="1">
      <c r="I460" s="6"/>
    </row>
    <row r="461" ht="15.75" customHeight="1">
      <c r="I461" s="6"/>
    </row>
    <row r="462" ht="15.75" customHeight="1">
      <c r="I462" s="6"/>
    </row>
    <row r="463" ht="15.75" customHeight="1">
      <c r="I463" s="6"/>
    </row>
    <row r="464" ht="15.75" customHeight="1">
      <c r="I464" s="6"/>
    </row>
    <row r="465" ht="15.75" customHeight="1">
      <c r="I465" s="6"/>
    </row>
    <row r="466" ht="15.75" customHeight="1">
      <c r="I466" s="6"/>
    </row>
    <row r="467" ht="15.75" customHeight="1">
      <c r="I467" s="6"/>
    </row>
    <row r="468" ht="15.75" customHeight="1">
      <c r="I468" s="6"/>
    </row>
    <row r="469" ht="15.75" customHeight="1">
      <c r="I469" s="6"/>
    </row>
    <row r="470" ht="15.75" customHeight="1">
      <c r="I470" s="6"/>
    </row>
    <row r="471" ht="15.75" customHeight="1">
      <c r="I471" s="6"/>
    </row>
    <row r="472" ht="15.75" customHeight="1">
      <c r="I472" s="6"/>
    </row>
    <row r="473" ht="15.75" customHeight="1">
      <c r="I473" s="6"/>
    </row>
    <row r="474" ht="15.75" customHeight="1">
      <c r="I474" s="6"/>
    </row>
    <row r="475" ht="15.75" customHeight="1">
      <c r="I475" s="6"/>
    </row>
    <row r="476" ht="15.75" customHeight="1">
      <c r="I476" s="6"/>
    </row>
    <row r="477" ht="15.75" customHeight="1">
      <c r="I477" s="6"/>
    </row>
    <row r="478" ht="15.75" customHeight="1">
      <c r="I478" s="6"/>
    </row>
    <row r="479" ht="15.75" customHeight="1">
      <c r="I479" s="6"/>
    </row>
    <row r="480" ht="15.75" customHeight="1">
      <c r="I480" s="6"/>
    </row>
    <row r="481" ht="15.75" customHeight="1">
      <c r="I481" s="6"/>
    </row>
    <row r="482" ht="15.75" customHeight="1">
      <c r="I482" s="6"/>
    </row>
    <row r="483" ht="15.75" customHeight="1">
      <c r="I483" s="6"/>
    </row>
    <row r="484" ht="15.75" customHeight="1">
      <c r="I484" s="6"/>
    </row>
    <row r="485" ht="15.75" customHeight="1">
      <c r="I485" s="6"/>
    </row>
    <row r="486" ht="15.75" customHeight="1">
      <c r="I486" s="6"/>
    </row>
    <row r="487" ht="15.75" customHeight="1">
      <c r="I487" s="6"/>
    </row>
    <row r="488" ht="15.75" customHeight="1">
      <c r="I488" s="6"/>
    </row>
    <row r="489" ht="15.75" customHeight="1">
      <c r="I489" s="6"/>
    </row>
    <row r="490" ht="15.75" customHeight="1">
      <c r="I490" s="6"/>
    </row>
    <row r="491" ht="15.75" customHeight="1">
      <c r="I491" s="6"/>
    </row>
    <row r="492" ht="15.75" customHeight="1">
      <c r="I492" s="6"/>
    </row>
    <row r="493" ht="15.75" customHeight="1">
      <c r="I493" s="6"/>
    </row>
    <row r="494" ht="15.75" customHeight="1">
      <c r="I494" s="6"/>
    </row>
    <row r="495" ht="15.75" customHeight="1">
      <c r="I495" s="6"/>
    </row>
    <row r="496" ht="15.75" customHeight="1">
      <c r="I496" s="6"/>
    </row>
    <row r="497" ht="15.75" customHeight="1">
      <c r="I497" s="6"/>
    </row>
    <row r="498" ht="15.75" customHeight="1">
      <c r="I498" s="6"/>
    </row>
    <row r="499" ht="15.75" customHeight="1">
      <c r="I499" s="6"/>
    </row>
    <row r="500" ht="15.75" customHeight="1">
      <c r="I500" s="6"/>
    </row>
    <row r="501" ht="15.75" customHeight="1">
      <c r="I501" s="6"/>
    </row>
    <row r="502" ht="15.75" customHeight="1">
      <c r="I502" s="6"/>
    </row>
    <row r="503" ht="15.75" customHeight="1">
      <c r="I503" s="6"/>
    </row>
    <row r="504" ht="15.75" customHeight="1">
      <c r="I504" s="6"/>
    </row>
    <row r="505" ht="15.75" customHeight="1">
      <c r="I505" s="6"/>
    </row>
    <row r="506" ht="15.75" customHeight="1">
      <c r="I506" s="6"/>
    </row>
    <row r="507" ht="15.75" customHeight="1">
      <c r="I507" s="6"/>
    </row>
    <row r="508" ht="15.75" customHeight="1">
      <c r="I508" s="6"/>
    </row>
    <row r="509" ht="15.75" customHeight="1">
      <c r="I509" s="6"/>
    </row>
    <row r="510" ht="15.75" customHeight="1">
      <c r="I510" s="6"/>
    </row>
    <row r="511" ht="15.75" customHeight="1">
      <c r="I511" s="6"/>
    </row>
    <row r="512" ht="15.75" customHeight="1">
      <c r="I512" s="6"/>
    </row>
    <row r="513" ht="15.75" customHeight="1">
      <c r="I513" s="6"/>
    </row>
    <row r="514" ht="15.75" customHeight="1">
      <c r="I514" s="6"/>
    </row>
    <row r="515" ht="15.75" customHeight="1">
      <c r="I515" s="6"/>
    </row>
    <row r="516" ht="15.75" customHeight="1">
      <c r="I516" s="6"/>
    </row>
    <row r="517" ht="15.75" customHeight="1">
      <c r="I517" s="6"/>
    </row>
    <row r="518" ht="15.75" customHeight="1">
      <c r="I518" s="6"/>
    </row>
    <row r="519" ht="15.75" customHeight="1">
      <c r="I519" s="6"/>
    </row>
    <row r="520" ht="15.75" customHeight="1">
      <c r="I520" s="6"/>
    </row>
    <row r="521" ht="15.75" customHeight="1">
      <c r="I521" s="6"/>
    </row>
    <row r="522" ht="15.75" customHeight="1">
      <c r="I522" s="6"/>
    </row>
    <row r="523" ht="15.75" customHeight="1">
      <c r="I523" s="6"/>
    </row>
    <row r="524" ht="15.75" customHeight="1">
      <c r="I524" s="6"/>
    </row>
    <row r="525" ht="15.75" customHeight="1">
      <c r="I525" s="6"/>
    </row>
    <row r="526" ht="15.75" customHeight="1">
      <c r="I526" s="6"/>
    </row>
    <row r="527" ht="15.75" customHeight="1">
      <c r="I527" s="6"/>
    </row>
    <row r="528" ht="15.75" customHeight="1">
      <c r="I528" s="6"/>
    </row>
    <row r="529" ht="15.75" customHeight="1">
      <c r="I529" s="6"/>
    </row>
    <row r="530" ht="15.75" customHeight="1">
      <c r="I530" s="6"/>
    </row>
    <row r="531" ht="15.75" customHeight="1">
      <c r="I531" s="6"/>
    </row>
    <row r="532" ht="15.75" customHeight="1">
      <c r="I532" s="6"/>
    </row>
    <row r="533" ht="15.75" customHeight="1">
      <c r="I533" s="6"/>
    </row>
    <row r="534" ht="15.75" customHeight="1">
      <c r="I534" s="6"/>
    </row>
    <row r="535" ht="15.75" customHeight="1">
      <c r="I535" s="6"/>
    </row>
    <row r="536" ht="15.75" customHeight="1">
      <c r="I536" s="6"/>
    </row>
    <row r="537" ht="15.75" customHeight="1">
      <c r="I537" s="6"/>
    </row>
    <row r="538" ht="15.75" customHeight="1">
      <c r="I538" s="6"/>
    </row>
    <row r="539" ht="15.75" customHeight="1">
      <c r="I539" s="6"/>
    </row>
    <row r="540" ht="15.75" customHeight="1">
      <c r="I540" s="6"/>
    </row>
    <row r="541" ht="15.75" customHeight="1">
      <c r="I541" s="6"/>
    </row>
    <row r="542" ht="15.75" customHeight="1">
      <c r="I542" s="6"/>
    </row>
    <row r="543" ht="15.75" customHeight="1">
      <c r="I543" s="6"/>
    </row>
    <row r="544" ht="15.75" customHeight="1">
      <c r="I544" s="6"/>
    </row>
    <row r="545" ht="15.75" customHeight="1">
      <c r="I545" s="6"/>
    </row>
    <row r="546" ht="15.75" customHeight="1">
      <c r="I546" s="6"/>
    </row>
    <row r="547" ht="15.75" customHeight="1">
      <c r="I547" s="6"/>
    </row>
    <row r="548" ht="15.75" customHeight="1">
      <c r="I548" s="6"/>
    </row>
    <row r="549" ht="15.75" customHeight="1">
      <c r="I549" s="6"/>
    </row>
    <row r="550" ht="15.75" customHeight="1">
      <c r="I550" s="6"/>
    </row>
    <row r="551" ht="15.75" customHeight="1">
      <c r="I551" s="6"/>
    </row>
    <row r="552" ht="15.75" customHeight="1">
      <c r="I552" s="6"/>
    </row>
    <row r="553" ht="15.75" customHeight="1">
      <c r="I553" s="6"/>
    </row>
    <row r="554" ht="15.75" customHeight="1">
      <c r="I554" s="6"/>
    </row>
    <row r="555" ht="15.75" customHeight="1">
      <c r="I555" s="6"/>
    </row>
    <row r="556" ht="15.75" customHeight="1">
      <c r="I556" s="6"/>
    </row>
    <row r="557" ht="15.75" customHeight="1">
      <c r="I557" s="6"/>
    </row>
    <row r="558" ht="15.75" customHeight="1">
      <c r="I558" s="6"/>
    </row>
    <row r="559" ht="15.75" customHeight="1">
      <c r="I559" s="6"/>
    </row>
    <row r="560" ht="15.75" customHeight="1">
      <c r="I560" s="6"/>
    </row>
    <row r="561" ht="15.75" customHeight="1">
      <c r="I561" s="6"/>
    </row>
    <row r="562" ht="15.75" customHeight="1">
      <c r="I562" s="6"/>
    </row>
    <row r="563" ht="15.75" customHeight="1">
      <c r="I563" s="6"/>
    </row>
    <row r="564" ht="15.75" customHeight="1">
      <c r="I564" s="6"/>
    </row>
    <row r="565" ht="15.75" customHeight="1">
      <c r="I565" s="6"/>
    </row>
    <row r="566" ht="15.75" customHeight="1">
      <c r="I566" s="6"/>
    </row>
    <row r="567" ht="15.75" customHeight="1">
      <c r="I567" s="6"/>
    </row>
    <row r="568" ht="15.75" customHeight="1">
      <c r="I568" s="6"/>
    </row>
    <row r="569" ht="15.75" customHeight="1">
      <c r="I569" s="6"/>
    </row>
    <row r="570" ht="15.75" customHeight="1">
      <c r="I570" s="6"/>
    </row>
    <row r="571" ht="15.75" customHeight="1">
      <c r="I571" s="6"/>
    </row>
    <row r="572" ht="15.75" customHeight="1">
      <c r="I572" s="6"/>
    </row>
    <row r="573" ht="15.75" customHeight="1">
      <c r="I573" s="6"/>
    </row>
    <row r="574" ht="15.75" customHeight="1">
      <c r="I574" s="6"/>
    </row>
    <row r="575" ht="15.75" customHeight="1">
      <c r="I575" s="6"/>
    </row>
    <row r="576" ht="15.75" customHeight="1">
      <c r="I576" s="6"/>
    </row>
    <row r="577" ht="15.75" customHeight="1">
      <c r="I577" s="6"/>
    </row>
    <row r="578" ht="15.75" customHeight="1">
      <c r="I578" s="6"/>
    </row>
    <row r="579" ht="15.75" customHeight="1">
      <c r="I579" s="6"/>
    </row>
    <row r="580" ht="15.75" customHeight="1">
      <c r="I580" s="6"/>
    </row>
    <row r="581" ht="15.75" customHeight="1">
      <c r="I581" s="6"/>
    </row>
    <row r="582" ht="15.75" customHeight="1">
      <c r="I582" s="6"/>
    </row>
    <row r="583" ht="15.75" customHeight="1">
      <c r="I583" s="6"/>
    </row>
    <row r="584" ht="15.75" customHeight="1">
      <c r="I584" s="6"/>
    </row>
    <row r="585" ht="15.75" customHeight="1">
      <c r="I585" s="6"/>
    </row>
    <row r="586" ht="15.75" customHeight="1">
      <c r="I586" s="6"/>
    </row>
    <row r="587" ht="15.75" customHeight="1">
      <c r="I587" s="6"/>
    </row>
    <row r="588" ht="15.75" customHeight="1">
      <c r="I588" s="6"/>
    </row>
    <row r="589" ht="15.75" customHeight="1">
      <c r="I589" s="6"/>
    </row>
    <row r="590" ht="15.75" customHeight="1">
      <c r="I590" s="6"/>
    </row>
    <row r="591" ht="15.75" customHeight="1">
      <c r="I591" s="6"/>
    </row>
    <row r="592" ht="15.75" customHeight="1">
      <c r="I592" s="6"/>
    </row>
    <row r="593" ht="15.75" customHeight="1">
      <c r="I593" s="6"/>
    </row>
    <row r="594" ht="15.75" customHeight="1">
      <c r="I594" s="6"/>
    </row>
    <row r="595" ht="15.75" customHeight="1">
      <c r="I595" s="6"/>
    </row>
    <row r="596" ht="15.75" customHeight="1">
      <c r="I596" s="6"/>
    </row>
    <row r="597" ht="15.75" customHeight="1">
      <c r="I597" s="6"/>
    </row>
    <row r="598" ht="15.75" customHeight="1">
      <c r="I598" s="6"/>
    </row>
    <row r="599" ht="15.75" customHeight="1">
      <c r="I599" s="6"/>
    </row>
    <row r="600" ht="15.75" customHeight="1">
      <c r="I600" s="6"/>
    </row>
    <row r="601" ht="15.75" customHeight="1">
      <c r="I601" s="6"/>
    </row>
    <row r="602" ht="15.75" customHeight="1">
      <c r="I602" s="6"/>
    </row>
    <row r="603" ht="15.75" customHeight="1">
      <c r="I603" s="6"/>
    </row>
    <row r="604" ht="15.75" customHeight="1">
      <c r="I604" s="6"/>
    </row>
    <row r="605" ht="15.75" customHeight="1">
      <c r="I605" s="6"/>
    </row>
    <row r="606" ht="15.75" customHeight="1">
      <c r="I606" s="6"/>
    </row>
    <row r="607" ht="15.75" customHeight="1">
      <c r="I607" s="6"/>
    </row>
    <row r="608" ht="15.75" customHeight="1">
      <c r="I608" s="6"/>
    </row>
    <row r="609" ht="15.75" customHeight="1">
      <c r="I609" s="6"/>
    </row>
    <row r="610" ht="15.75" customHeight="1">
      <c r="I610" s="6"/>
    </row>
    <row r="611" ht="15.75" customHeight="1">
      <c r="I611" s="6"/>
    </row>
    <row r="612" ht="15.75" customHeight="1">
      <c r="I612" s="6"/>
    </row>
    <row r="613" ht="15.75" customHeight="1">
      <c r="I613" s="6"/>
    </row>
    <row r="614" ht="15.75" customHeight="1">
      <c r="I614" s="6"/>
    </row>
    <row r="615" ht="15.75" customHeight="1">
      <c r="I615" s="6"/>
    </row>
    <row r="616" ht="15.75" customHeight="1">
      <c r="I616" s="6"/>
    </row>
    <row r="617" ht="15.75" customHeight="1">
      <c r="I617" s="6"/>
    </row>
    <row r="618" ht="15.75" customHeight="1">
      <c r="I618" s="6"/>
    </row>
    <row r="619" ht="15.75" customHeight="1">
      <c r="I619" s="6"/>
    </row>
    <row r="620" ht="15.75" customHeight="1">
      <c r="I620" s="6"/>
    </row>
    <row r="621" ht="15.75" customHeight="1">
      <c r="I621" s="6"/>
    </row>
    <row r="622" ht="15.75" customHeight="1">
      <c r="I622" s="6"/>
    </row>
    <row r="623" ht="15.75" customHeight="1">
      <c r="I623" s="6"/>
    </row>
    <row r="624" ht="15.75" customHeight="1">
      <c r="I624" s="6"/>
    </row>
    <row r="625" ht="15.75" customHeight="1">
      <c r="I625" s="6"/>
    </row>
    <row r="626" ht="15.75" customHeight="1">
      <c r="I626" s="6"/>
    </row>
    <row r="627" ht="15.75" customHeight="1">
      <c r="I627" s="6"/>
    </row>
    <row r="628" ht="15.75" customHeight="1">
      <c r="I628" s="6"/>
    </row>
    <row r="629" ht="15.75" customHeight="1">
      <c r="I629" s="6"/>
    </row>
    <row r="630" ht="15.75" customHeight="1">
      <c r="I630" s="6"/>
    </row>
    <row r="631" ht="15.75" customHeight="1">
      <c r="I631" s="6"/>
    </row>
    <row r="632" ht="15.75" customHeight="1">
      <c r="I632" s="6"/>
    </row>
    <row r="633" ht="15.75" customHeight="1">
      <c r="I633" s="6"/>
    </row>
    <row r="634" ht="15.75" customHeight="1">
      <c r="I634" s="6"/>
    </row>
    <row r="635" ht="15.75" customHeight="1">
      <c r="I635" s="6"/>
    </row>
    <row r="636" ht="15.75" customHeight="1">
      <c r="I636" s="6"/>
    </row>
    <row r="637" ht="15.75" customHeight="1">
      <c r="I637" s="6"/>
    </row>
    <row r="638" ht="15.75" customHeight="1">
      <c r="I638" s="6"/>
    </row>
    <row r="639" ht="15.75" customHeight="1">
      <c r="I639" s="6"/>
    </row>
    <row r="640" ht="15.75" customHeight="1">
      <c r="I640" s="6"/>
    </row>
    <row r="641" ht="15.75" customHeight="1">
      <c r="I641" s="6"/>
    </row>
    <row r="642" ht="15.75" customHeight="1">
      <c r="I642" s="6"/>
    </row>
    <row r="643" ht="15.75" customHeight="1">
      <c r="I643" s="6"/>
    </row>
    <row r="644" ht="15.75" customHeight="1">
      <c r="I644" s="6"/>
    </row>
    <row r="645" ht="15.75" customHeight="1">
      <c r="I645" s="6"/>
    </row>
    <row r="646" ht="15.75" customHeight="1">
      <c r="I646" s="6"/>
    </row>
    <row r="647" ht="15.75" customHeight="1">
      <c r="I647" s="6"/>
    </row>
    <row r="648" ht="15.75" customHeight="1">
      <c r="I648" s="6"/>
    </row>
    <row r="649" ht="15.75" customHeight="1">
      <c r="I649" s="6"/>
    </row>
    <row r="650" ht="15.75" customHeight="1">
      <c r="I650" s="6"/>
    </row>
    <row r="651" ht="15.75" customHeight="1">
      <c r="I651" s="6"/>
    </row>
    <row r="652" ht="15.75" customHeight="1">
      <c r="I652" s="6"/>
    </row>
    <row r="653" ht="15.75" customHeight="1">
      <c r="I653" s="6"/>
    </row>
    <row r="654" ht="15.75" customHeight="1">
      <c r="I654" s="6"/>
    </row>
    <row r="655" ht="15.75" customHeight="1">
      <c r="I655" s="6"/>
    </row>
    <row r="656" ht="15.75" customHeight="1">
      <c r="I656" s="6"/>
    </row>
    <row r="657" ht="15.75" customHeight="1">
      <c r="I657" s="6"/>
    </row>
    <row r="658" ht="15.75" customHeight="1">
      <c r="I658" s="6"/>
    </row>
    <row r="659" ht="15.75" customHeight="1">
      <c r="I659" s="6"/>
    </row>
    <row r="660" ht="15.75" customHeight="1">
      <c r="I660" s="6"/>
    </row>
    <row r="661" ht="15.75" customHeight="1">
      <c r="I661" s="6"/>
    </row>
    <row r="662" ht="15.75" customHeight="1">
      <c r="I662" s="6"/>
    </row>
    <row r="663" ht="15.75" customHeight="1">
      <c r="I663" s="6"/>
    </row>
    <row r="664" ht="15.75" customHeight="1">
      <c r="I664" s="6"/>
    </row>
    <row r="665" ht="15.75" customHeight="1">
      <c r="I665" s="6"/>
    </row>
    <row r="666" ht="15.75" customHeight="1">
      <c r="I666" s="6"/>
    </row>
    <row r="667" ht="15.75" customHeight="1">
      <c r="I667" s="6"/>
    </row>
    <row r="668" ht="15.75" customHeight="1">
      <c r="I668" s="6"/>
    </row>
    <row r="669" ht="15.75" customHeight="1">
      <c r="I669" s="6"/>
    </row>
    <row r="670" ht="15.75" customHeight="1">
      <c r="I670" s="6"/>
    </row>
    <row r="671" ht="15.75" customHeight="1">
      <c r="I671" s="6"/>
    </row>
    <row r="672" ht="15.75" customHeight="1">
      <c r="I672" s="6"/>
    </row>
    <row r="673" ht="15.75" customHeight="1">
      <c r="I673" s="6"/>
    </row>
    <row r="674" ht="15.75" customHeight="1">
      <c r="I674" s="6"/>
    </row>
    <row r="675" ht="15.75" customHeight="1">
      <c r="I675" s="6"/>
    </row>
    <row r="676" ht="15.75" customHeight="1">
      <c r="I676" s="6"/>
    </row>
    <row r="677" ht="15.75" customHeight="1">
      <c r="I677" s="6"/>
    </row>
    <row r="678" ht="15.75" customHeight="1">
      <c r="I678" s="6"/>
    </row>
    <row r="679" ht="15.75" customHeight="1">
      <c r="I679" s="6"/>
    </row>
    <row r="680" ht="15.75" customHeight="1">
      <c r="I680" s="6"/>
    </row>
    <row r="681" ht="15.75" customHeight="1">
      <c r="I681" s="6"/>
    </row>
    <row r="682" ht="15.75" customHeight="1">
      <c r="I682" s="6"/>
    </row>
    <row r="683" ht="15.75" customHeight="1">
      <c r="I683" s="6"/>
    </row>
    <row r="684" ht="15.75" customHeight="1">
      <c r="I684" s="6"/>
    </row>
    <row r="685" ht="15.75" customHeight="1">
      <c r="I685" s="6"/>
    </row>
    <row r="686" ht="15.75" customHeight="1">
      <c r="I686" s="6"/>
    </row>
    <row r="687" ht="15.75" customHeight="1">
      <c r="I687" s="6"/>
    </row>
    <row r="688" ht="15.75" customHeight="1">
      <c r="I688" s="6"/>
    </row>
    <row r="689" ht="15.75" customHeight="1">
      <c r="I689" s="6"/>
    </row>
    <row r="690" ht="15.75" customHeight="1">
      <c r="I690" s="6"/>
    </row>
    <row r="691" ht="15.75" customHeight="1">
      <c r="I691" s="6"/>
    </row>
    <row r="692" ht="15.75" customHeight="1">
      <c r="I692" s="6"/>
    </row>
    <row r="693" ht="15.75" customHeight="1">
      <c r="I693" s="6"/>
    </row>
    <row r="694" ht="15.75" customHeight="1">
      <c r="I694" s="6"/>
    </row>
    <row r="695" ht="15.75" customHeight="1">
      <c r="I695" s="6"/>
    </row>
    <row r="696" ht="15.75" customHeight="1">
      <c r="I696" s="6"/>
    </row>
    <row r="697" ht="15.75" customHeight="1">
      <c r="I697" s="6"/>
    </row>
    <row r="698" ht="15.75" customHeight="1">
      <c r="I698" s="6"/>
    </row>
    <row r="699" ht="15.75" customHeight="1">
      <c r="I699" s="6"/>
    </row>
    <row r="700" ht="15.75" customHeight="1">
      <c r="I700" s="6"/>
    </row>
    <row r="701" ht="15.75" customHeight="1">
      <c r="I701" s="6"/>
    </row>
    <row r="702" ht="15.75" customHeight="1">
      <c r="I702" s="6"/>
    </row>
    <row r="703" ht="15.75" customHeight="1">
      <c r="I703" s="6"/>
    </row>
    <row r="704" ht="15.75" customHeight="1">
      <c r="I704" s="6"/>
    </row>
    <row r="705" ht="15.75" customHeight="1">
      <c r="I705" s="6"/>
    </row>
    <row r="706" ht="15.75" customHeight="1">
      <c r="I706" s="6"/>
    </row>
    <row r="707" ht="15.75" customHeight="1">
      <c r="I707" s="6"/>
    </row>
    <row r="708" ht="15.75" customHeight="1">
      <c r="I708" s="6"/>
    </row>
    <row r="709" ht="15.75" customHeight="1">
      <c r="I709" s="6"/>
    </row>
    <row r="710" ht="15.75" customHeight="1">
      <c r="I710" s="6"/>
    </row>
    <row r="711" ht="15.75" customHeight="1">
      <c r="I711" s="6"/>
    </row>
    <row r="712" ht="15.75" customHeight="1">
      <c r="I712" s="6"/>
    </row>
    <row r="713" ht="15.75" customHeight="1">
      <c r="I713" s="6"/>
    </row>
    <row r="714" ht="15.75" customHeight="1">
      <c r="I714" s="6"/>
    </row>
    <row r="715" ht="15.75" customHeight="1">
      <c r="I715" s="6"/>
    </row>
    <row r="716" ht="15.75" customHeight="1">
      <c r="I716" s="6"/>
    </row>
    <row r="717" ht="15.75" customHeight="1">
      <c r="I717" s="6"/>
    </row>
    <row r="718" ht="15.75" customHeight="1">
      <c r="I718" s="6"/>
    </row>
    <row r="719" ht="15.75" customHeight="1">
      <c r="I719" s="6"/>
    </row>
    <row r="720" ht="15.75" customHeight="1">
      <c r="I720" s="6"/>
    </row>
    <row r="721" ht="15.75" customHeight="1">
      <c r="I721" s="6"/>
    </row>
    <row r="722" ht="15.75" customHeight="1">
      <c r="I722" s="6"/>
    </row>
    <row r="723" ht="15.75" customHeight="1">
      <c r="I723" s="6"/>
    </row>
    <row r="724" ht="15.75" customHeight="1">
      <c r="I724" s="6"/>
    </row>
    <row r="725" ht="15.75" customHeight="1">
      <c r="I725" s="6"/>
    </row>
    <row r="726" ht="15.75" customHeight="1">
      <c r="I726" s="6"/>
    </row>
    <row r="727" ht="15.75" customHeight="1">
      <c r="I727" s="6"/>
    </row>
    <row r="728" ht="15.75" customHeight="1">
      <c r="I728" s="6"/>
    </row>
    <row r="729" ht="15.75" customHeight="1">
      <c r="I729" s="6"/>
    </row>
    <row r="730" ht="15.75" customHeight="1">
      <c r="I730" s="6"/>
    </row>
    <row r="731" ht="15.75" customHeight="1">
      <c r="I731" s="6"/>
    </row>
    <row r="732" ht="15.75" customHeight="1">
      <c r="I732" s="6"/>
    </row>
    <row r="733" ht="15.75" customHeight="1">
      <c r="I733" s="6"/>
    </row>
    <row r="734" ht="15.75" customHeight="1">
      <c r="I734" s="6"/>
    </row>
    <row r="735" ht="15.75" customHeight="1">
      <c r="I735" s="6"/>
    </row>
    <row r="736" ht="15.75" customHeight="1">
      <c r="I736" s="6"/>
    </row>
    <row r="737" ht="15.75" customHeight="1">
      <c r="I737" s="6"/>
    </row>
    <row r="738" ht="15.75" customHeight="1">
      <c r="I738" s="6"/>
    </row>
    <row r="739" ht="15.75" customHeight="1">
      <c r="I739" s="6"/>
    </row>
    <row r="740" ht="15.75" customHeight="1">
      <c r="I740" s="6"/>
    </row>
    <row r="741" ht="15.75" customHeight="1">
      <c r="I741" s="6"/>
    </row>
    <row r="742" ht="15.75" customHeight="1">
      <c r="I742" s="6"/>
    </row>
    <row r="743" ht="15.75" customHeight="1">
      <c r="I743" s="6"/>
    </row>
    <row r="744" ht="15.75" customHeight="1">
      <c r="I744" s="6"/>
    </row>
    <row r="745" ht="15.75" customHeight="1">
      <c r="I745" s="6"/>
    </row>
    <row r="746" ht="15.75" customHeight="1">
      <c r="I746" s="6"/>
    </row>
    <row r="747" ht="15.75" customHeight="1">
      <c r="I747" s="6"/>
    </row>
    <row r="748" ht="15.75" customHeight="1">
      <c r="I748" s="6"/>
    </row>
    <row r="749" ht="15.75" customHeight="1">
      <c r="I749" s="6"/>
    </row>
    <row r="750" ht="15.75" customHeight="1">
      <c r="I750" s="6"/>
    </row>
    <row r="751" ht="15.75" customHeight="1">
      <c r="I751" s="6"/>
    </row>
    <row r="752" ht="15.75" customHeight="1">
      <c r="I752" s="6"/>
    </row>
    <row r="753" ht="15.75" customHeight="1">
      <c r="I753" s="6"/>
    </row>
    <row r="754" ht="15.75" customHeight="1">
      <c r="I754" s="6"/>
    </row>
    <row r="755" ht="15.75" customHeight="1">
      <c r="I755" s="6"/>
    </row>
    <row r="756" ht="15.75" customHeight="1">
      <c r="I756" s="6"/>
    </row>
    <row r="757" ht="15.75" customHeight="1">
      <c r="I757" s="6"/>
    </row>
    <row r="758" ht="15.75" customHeight="1">
      <c r="I758" s="6"/>
    </row>
    <row r="759" ht="15.75" customHeight="1">
      <c r="I759" s="6"/>
    </row>
    <row r="760" ht="15.75" customHeight="1">
      <c r="I760" s="6"/>
    </row>
    <row r="761" ht="15.75" customHeight="1">
      <c r="I761" s="6"/>
    </row>
    <row r="762" ht="15.75" customHeight="1">
      <c r="I762" s="6"/>
    </row>
    <row r="763" ht="15.75" customHeight="1">
      <c r="I763" s="6"/>
    </row>
    <row r="764" ht="15.75" customHeight="1">
      <c r="I764" s="6"/>
    </row>
    <row r="765" ht="15.75" customHeight="1">
      <c r="I765" s="6"/>
    </row>
    <row r="766" ht="15.75" customHeight="1">
      <c r="I766" s="6"/>
    </row>
    <row r="767" ht="15.75" customHeight="1">
      <c r="I767" s="6"/>
    </row>
    <row r="768" ht="15.75" customHeight="1">
      <c r="I768" s="6"/>
    </row>
    <row r="769" ht="15.75" customHeight="1">
      <c r="I769" s="6"/>
    </row>
    <row r="770" ht="15.75" customHeight="1">
      <c r="I770" s="6"/>
    </row>
    <row r="771" ht="15.75" customHeight="1">
      <c r="I771" s="6"/>
    </row>
    <row r="772" ht="15.75" customHeight="1">
      <c r="I772" s="6"/>
    </row>
    <row r="773" ht="15.75" customHeight="1">
      <c r="I773" s="6"/>
    </row>
    <row r="774" ht="15.75" customHeight="1">
      <c r="I774" s="6"/>
    </row>
    <row r="775" ht="15.75" customHeight="1">
      <c r="I775" s="6"/>
    </row>
    <row r="776" ht="15.75" customHeight="1">
      <c r="I776" s="6"/>
    </row>
    <row r="777" ht="15.75" customHeight="1">
      <c r="I777" s="6"/>
    </row>
    <row r="778" ht="15.75" customHeight="1">
      <c r="I778" s="6"/>
    </row>
    <row r="779" ht="15.75" customHeight="1">
      <c r="I779" s="6"/>
    </row>
    <row r="780" ht="15.75" customHeight="1">
      <c r="I780" s="6"/>
    </row>
    <row r="781" ht="15.75" customHeight="1">
      <c r="I781" s="6"/>
    </row>
    <row r="782" ht="15.75" customHeight="1">
      <c r="I782" s="6"/>
    </row>
    <row r="783" ht="15.75" customHeight="1">
      <c r="I783" s="6"/>
    </row>
    <row r="784" ht="15.75" customHeight="1">
      <c r="I784" s="6"/>
    </row>
    <row r="785" ht="15.75" customHeight="1">
      <c r="I785" s="6"/>
    </row>
    <row r="786" ht="15.75" customHeight="1">
      <c r="I786" s="6"/>
    </row>
    <row r="787" ht="15.75" customHeight="1">
      <c r="I787" s="6"/>
    </row>
    <row r="788" ht="15.75" customHeight="1">
      <c r="I788" s="6"/>
    </row>
    <row r="789" ht="15.75" customHeight="1">
      <c r="I789" s="6"/>
    </row>
    <row r="790" ht="15.75" customHeight="1">
      <c r="I790" s="6"/>
    </row>
    <row r="791" ht="15.75" customHeight="1">
      <c r="I791" s="6"/>
    </row>
    <row r="792" ht="15.75" customHeight="1">
      <c r="I792" s="6"/>
    </row>
    <row r="793" ht="15.75" customHeight="1">
      <c r="I793" s="6"/>
    </row>
    <row r="794" ht="15.75" customHeight="1">
      <c r="I794" s="6"/>
    </row>
    <row r="795" ht="15.75" customHeight="1">
      <c r="I795" s="6"/>
    </row>
    <row r="796" ht="15.75" customHeight="1">
      <c r="I796" s="6"/>
    </row>
    <row r="797" ht="15.75" customHeight="1">
      <c r="I797" s="6"/>
    </row>
    <row r="798" ht="15.75" customHeight="1">
      <c r="I798" s="6"/>
    </row>
    <row r="799" ht="15.75" customHeight="1">
      <c r="I799" s="6"/>
    </row>
    <row r="800" ht="15.75" customHeight="1">
      <c r="I800" s="6"/>
    </row>
    <row r="801" ht="15.75" customHeight="1">
      <c r="I801" s="6"/>
    </row>
    <row r="802" ht="15.75" customHeight="1">
      <c r="I802" s="6"/>
    </row>
    <row r="803" ht="15.75" customHeight="1">
      <c r="I803" s="6"/>
    </row>
    <row r="804" ht="15.75" customHeight="1">
      <c r="I804" s="6"/>
    </row>
    <row r="805" ht="15.75" customHeight="1">
      <c r="I805" s="6"/>
    </row>
    <row r="806" ht="15.75" customHeight="1">
      <c r="I806" s="6"/>
    </row>
    <row r="807" ht="15.75" customHeight="1">
      <c r="I807" s="6"/>
    </row>
    <row r="808" ht="15.75" customHeight="1">
      <c r="I808" s="6"/>
    </row>
    <row r="809" ht="15.75" customHeight="1">
      <c r="I809" s="6"/>
    </row>
    <row r="810" ht="15.75" customHeight="1">
      <c r="I810" s="6"/>
    </row>
    <row r="811" ht="15.75" customHeight="1">
      <c r="I811" s="6"/>
    </row>
    <row r="812" ht="15.75" customHeight="1">
      <c r="I812" s="6"/>
    </row>
    <row r="813" ht="15.75" customHeight="1">
      <c r="I813" s="6"/>
    </row>
    <row r="814" ht="15.75" customHeight="1">
      <c r="I814" s="6"/>
    </row>
    <row r="815" ht="15.75" customHeight="1">
      <c r="I815" s="6"/>
    </row>
    <row r="816" ht="15.75" customHeight="1">
      <c r="I816" s="6"/>
    </row>
    <row r="817" ht="15.75" customHeight="1">
      <c r="I817" s="6"/>
    </row>
    <row r="818" ht="15.75" customHeight="1">
      <c r="I818" s="6"/>
    </row>
    <row r="819" ht="15.75" customHeight="1">
      <c r="I819" s="6"/>
    </row>
    <row r="820" ht="15.75" customHeight="1">
      <c r="I820" s="6"/>
    </row>
    <row r="821" ht="15.75" customHeight="1">
      <c r="I821" s="6"/>
    </row>
    <row r="822" ht="15.75" customHeight="1">
      <c r="I822" s="6"/>
    </row>
    <row r="823" ht="15.75" customHeight="1">
      <c r="I823" s="6"/>
    </row>
    <row r="824" ht="15.75" customHeight="1">
      <c r="I824" s="6"/>
    </row>
    <row r="825" ht="15.75" customHeight="1">
      <c r="I825" s="6"/>
    </row>
    <row r="826" ht="15.75" customHeight="1">
      <c r="I826" s="6"/>
    </row>
    <row r="827" ht="15.75" customHeight="1">
      <c r="I827" s="6"/>
    </row>
    <row r="828" ht="15.75" customHeight="1">
      <c r="I828" s="6"/>
    </row>
    <row r="829" ht="15.75" customHeight="1">
      <c r="I829" s="6"/>
    </row>
    <row r="830" ht="15.75" customHeight="1">
      <c r="I830" s="6"/>
    </row>
    <row r="831" ht="15.75" customHeight="1">
      <c r="I831" s="6"/>
    </row>
    <row r="832" ht="15.75" customHeight="1">
      <c r="I832" s="6"/>
    </row>
    <row r="833" ht="15.75" customHeight="1">
      <c r="I833" s="6"/>
    </row>
    <row r="834" ht="15.75" customHeight="1">
      <c r="I834" s="6"/>
    </row>
    <row r="835" ht="15.75" customHeight="1">
      <c r="I835" s="6"/>
    </row>
    <row r="836" ht="15.75" customHeight="1">
      <c r="I836" s="6"/>
    </row>
    <row r="837" ht="15.75" customHeight="1">
      <c r="I837" s="6"/>
    </row>
    <row r="838" ht="15.75" customHeight="1">
      <c r="I838" s="6"/>
    </row>
    <row r="839" ht="15.75" customHeight="1">
      <c r="I839" s="6"/>
    </row>
    <row r="840" ht="15.75" customHeight="1">
      <c r="I840" s="6"/>
    </row>
    <row r="841" ht="15.75" customHeight="1">
      <c r="I841" s="6"/>
    </row>
    <row r="842" ht="15.75" customHeight="1">
      <c r="I842" s="6"/>
    </row>
    <row r="843" ht="15.75" customHeight="1">
      <c r="I843" s="6"/>
    </row>
    <row r="844" ht="15.75" customHeight="1">
      <c r="I844" s="6"/>
    </row>
    <row r="845" ht="15.75" customHeight="1">
      <c r="I845" s="6"/>
    </row>
    <row r="846" ht="15.75" customHeight="1">
      <c r="I846" s="6"/>
    </row>
    <row r="847" ht="15.75" customHeight="1">
      <c r="I847" s="6"/>
    </row>
    <row r="848" ht="15.75" customHeight="1">
      <c r="I848" s="6"/>
    </row>
    <row r="849" ht="15.75" customHeight="1">
      <c r="I849" s="6"/>
    </row>
    <row r="850" ht="15.75" customHeight="1">
      <c r="I850" s="6"/>
    </row>
    <row r="851" ht="15.75" customHeight="1">
      <c r="I851" s="6"/>
    </row>
    <row r="852" ht="15.75" customHeight="1">
      <c r="I852" s="6"/>
    </row>
    <row r="853" ht="15.75" customHeight="1">
      <c r="I853" s="6"/>
    </row>
    <row r="854" ht="15.75" customHeight="1">
      <c r="I854" s="6"/>
    </row>
    <row r="855" ht="15.75" customHeight="1">
      <c r="I855" s="6"/>
    </row>
    <row r="856" ht="15.75" customHeight="1">
      <c r="I856" s="6"/>
    </row>
    <row r="857" ht="15.75" customHeight="1">
      <c r="I857" s="6"/>
    </row>
    <row r="858" ht="15.75" customHeight="1">
      <c r="I858" s="6"/>
    </row>
    <row r="859" ht="15.75" customHeight="1">
      <c r="I859" s="6"/>
    </row>
    <row r="860" ht="15.75" customHeight="1">
      <c r="I860" s="6"/>
    </row>
    <row r="861" ht="15.75" customHeight="1">
      <c r="I861" s="6"/>
    </row>
    <row r="862" ht="15.75" customHeight="1">
      <c r="I862" s="6"/>
    </row>
    <row r="863" ht="15.75" customHeight="1">
      <c r="I863" s="6"/>
    </row>
    <row r="864" ht="15.75" customHeight="1">
      <c r="I864" s="6"/>
    </row>
    <row r="865" ht="15.75" customHeight="1">
      <c r="I865" s="6"/>
    </row>
    <row r="866" ht="15.75" customHeight="1">
      <c r="I866" s="6"/>
    </row>
    <row r="867" ht="15.75" customHeight="1">
      <c r="I867" s="6"/>
    </row>
    <row r="868" ht="15.75" customHeight="1">
      <c r="I868" s="6"/>
    </row>
    <row r="869" ht="15.75" customHeight="1">
      <c r="I869" s="6"/>
    </row>
    <row r="870" ht="15.75" customHeight="1">
      <c r="I870" s="6"/>
    </row>
    <row r="871" ht="15.75" customHeight="1">
      <c r="I871" s="6"/>
    </row>
    <row r="872" ht="15.75" customHeight="1">
      <c r="I872" s="6"/>
    </row>
    <row r="873" ht="15.75" customHeight="1">
      <c r="I873" s="6"/>
    </row>
    <row r="874" ht="15.75" customHeight="1">
      <c r="I874" s="6"/>
    </row>
    <row r="875" ht="15.75" customHeight="1">
      <c r="I875" s="6"/>
    </row>
    <row r="876" ht="15.75" customHeight="1">
      <c r="I876" s="6"/>
    </row>
    <row r="877" ht="15.75" customHeight="1">
      <c r="I877" s="6"/>
    </row>
    <row r="878" ht="15.75" customHeight="1">
      <c r="I878" s="6"/>
    </row>
    <row r="879" ht="15.75" customHeight="1">
      <c r="I879" s="6"/>
    </row>
    <row r="880" ht="15.75" customHeight="1">
      <c r="I880" s="6"/>
    </row>
    <row r="881" ht="15.75" customHeight="1">
      <c r="I881" s="6"/>
    </row>
    <row r="882" ht="15.75" customHeight="1">
      <c r="I882" s="6"/>
    </row>
    <row r="883" ht="15.75" customHeight="1">
      <c r="I883" s="6"/>
    </row>
    <row r="884" ht="15.75" customHeight="1">
      <c r="I884" s="6"/>
    </row>
    <row r="885" ht="15.75" customHeight="1">
      <c r="I885" s="6"/>
    </row>
    <row r="886" ht="15.75" customHeight="1">
      <c r="I886" s="6"/>
    </row>
    <row r="887" ht="15.75" customHeight="1">
      <c r="I887" s="6"/>
    </row>
    <row r="888" ht="15.75" customHeight="1">
      <c r="I888" s="6"/>
    </row>
    <row r="889" ht="15.75" customHeight="1">
      <c r="I889" s="6"/>
    </row>
    <row r="890" ht="15.75" customHeight="1">
      <c r="I890" s="6"/>
    </row>
    <row r="891" ht="15.75" customHeight="1">
      <c r="I891" s="6"/>
    </row>
    <row r="892" ht="15.75" customHeight="1">
      <c r="I892" s="6"/>
    </row>
    <row r="893" ht="15.75" customHeight="1">
      <c r="I893" s="6"/>
    </row>
    <row r="894" ht="15.75" customHeight="1">
      <c r="I894" s="6"/>
    </row>
    <row r="895" ht="15.75" customHeight="1">
      <c r="I895" s="6"/>
    </row>
    <row r="896" ht="15.75" customHeight="1">
      <c r="I896" s="6"/>
    </row>
    <row r="897" ht="15.75" customHeight="1">
      <c r="I897" s="6"/>
    </row>
    <row r="898" ht="15.75" customHeight="1">
      <c r="I898" s="6"/>
    </row>
    <row r="899" ht="15.75" customHeight="1">
      <c r="I899" s="6"/>
    </row>
    <row r="900" ht="15.75" customHeight="1">
      <c r="I900" s="6"/>
    </row>
    <row r="901" ht="15.75" customHeight="1">
      <c r="I901" s="6"/>
    </row>
    <row r="902" ht="15.75" customHeight="1">
      <c r="I902" s="6"/>
    </row>
    <row r="903" ht="15.75" customHeight="1">
      <c r="I903" s="6"/>
    </row>
    <row r="904" ht="15.75" customHeight="1">
      <c r="I904" s="6"/>
    </row>
    <row r="905" ht="15.75" customHeight="1">
      <c r="I905" s="6"/>
    </row>
    <row r="906" ht="15.75" customHeight="1">
      <c r="I906" s="6"/>
    </row>
    <row r="907" ht="15.75" customHeight="1">
      <c r="I907" s="6"/>
    </row>
    <row r="908" ht="15.75" customHeight="1">
      <c r="I908" s="6"/>
    </row>
    <row r="909" ht="15.75" customHeight="1">
      <c r="I909" s="6"/>
    </row>
    <row r="910" ht="15.75" customHeight="1">
      <c r="I910" s="6"/>
    </row>
    <row r="911" ht="15.75" customHeight="1">
      <c r="I911" s="6"/>
    </row>
    <row r="912" ht="15.75" customHeight="1">
      <c r="I912" s="6"/>
    </row>
    <row r="913" ht="15.75" customHeight="1">
      <c r="I913" s="6"/>
    </row>
    <row r="914" ht="15.75" customHeight="1">
      <c r="I914" s="6"/>
    </row>
    <row r="915" ht="15.75" customHeight="1">
      <c r="I915" s="6"/>
    </row>
    <row r="916" ht="15.75" customHeight="1">
      <c r="I916" s="6"/>
    </row>
    <row r="917" ht="15.75" customHeight="1">
      <c r="I917" s="6"/>
    </row>
    <row r="918" ht="15.75" customHeight="1">
      <c r="I918" s="6"/>
    </row>
    <row r="919" ht="15.75" customHeight="1">
      <c r="I919" s="6"/>
    </row>
    <row r="920" ht="15.75" customHeight="1">
      <c r="I920" s="6"/>
    </row>
    <row r="921" ht="15.75" customHeight="1">
      <c r="I921" s="6"/>
    </row>
    <row r="922" ht="15.75" customHeight="1">
      <c r="I922" s="6"/>
    </row>
    <row r="923" ht="15.75" customHeight="1">
      <c r="I923" s="6"/>
    </row>
    <row r="924" ht="15.75" customHeight="1">
      <c r="I924" s="6"/>
    </row>
    <row r="925" ht="15.75" customHeight="1">
      <c r="I925" s="6"/>
    </row>
    <row r="926" ht="15.75" customHeight="1">
      <c r="I926" s="6"/>
    </row>
    <row r="927" ht="15.75" customHeight="1">
      <c r="I927" s="6"/>
    </row>
    <row r="928" ht="15.75" customHeight="1">
      <c r="I928" s="6"/>
    </row>
    <row r="929" ht="15.75" customHeight="1">
      <c r="I929" s="6"/>
    </row>
    <row r="930" ht="15.75" customHeight="1">
      <c r="I930" s="6"/>
    </row>
    <row r="931" ht="15.75" customHeight="1">
      <c r="I931" s="6"/>
    </row>
    <row r="932" ht="15.75" customHeight="1">
      <c r="I932" s="6"/>
    </row>
    <row r="933" ht="15.75" customHeight="1">
      <c r="I933" s="6"/>
    </row>
    <row r="934" ht="15.75" customHeight="1">
      <c r="I934" s="6"/>
    </row>
    <row r="935" ht="15.75" customHeight="1">
      <c r="I935" s="6"/>
    </row>
    <row r="936" ht="15.75" customHeight="1">
      <c r="I936" s="6"/>
    </row>
    <row r="937" ht="15.75" customHeight="1">
      <c r="I937" s="6"/>
    </row>
    <row r="938" ht="15.75" customHeight="1">
      <c r="I938" s="6"/>
    </row>
    <row r="939" ht="15.75" customHeight="1">
      <c r="I939" s="6"/>
    </row>
    <row r="940" ht="15.75" customHeight="1">
      <c r="I940" s="6"/>
    </row>
    <row r="941" ht="15.75" customHeight="1">
      <c r="I941" s="6"/>
    </row>
    <row r="942" ht="15.75" customHeight="1">
      <c r="I942" s="6"/>
    </row>
    <row r="943" ht="15.75" customHeight="1">
      <c r="I943" s="6"/>
    </row>
    <row r="944" ht="15.75" customHeight="1">
      <c r="I944" s="6"/>
    </row>
    <row r="945" ht="15.75" customHeight="1">
      <c r="I945" s="6"/>
    </row>
    <row r="946" ht="15.75" customHeight="1">
      <c r="I946" s="6"/>
    </row>
    <row r="947" ht="15.75" customHeight="1">
      <c r="I947" s="6"/>
    </row>
    <row r="948" ht="15.75" customHeight="1">
      <c r="I948" s="6"/>
    </row>
    <row r="949" ht="15.75" customHeight="1">
      <c r="I949" s="6"/>
    </row>
    <row r="950" ht="15.75" customHeight="1">
      <c r="I950" s="6"/>
    </row>
    <row r="951" ht="15.75" customHeight="1">
      <c r="I951" s="6"/>
    </row>
    <row r="952" ht="15.75" customHeight="1">
      <c r="I952" s="6"/>
    </row>
    <row r="953" ht="15.75" customHeight="1">
      <c r="I953" s="6"/>
    </row>
    <row r="954" ht="15.75" customHeight="1">
      <c r="I954" s="6"/>
    </row>
    <row r="955" ht="15.75" customHeight="1">
      <c r="I955" s="6"/>
    </row>
    <row r="956" ht="15.75" customHeight="1">
      <c r="I956" s="6"/>
    </row>
    <row r="957" ht="15.75" customHeight="1">
      <c r="I957" s="6"/>
    </row>
    <row r="958" ht="15.75" customHeight="1">
      <c r="I958" s="6"/>
    </row>
    <row r="959" ht="15.75" customHeight="1">
      <c r="I959" s="6"/>
    </row>
    <row r="960" ht="15.75" customHeight="1">
      <c r="I960" s="6"/>
    </row>
    <row r="961" ht="15.75" customHeight="1">
      <c r="I961" s="6"/>
    </row>
    <row r="962" ht="15.75" customHeight="1">
      <c r="I962" s="6"/>
    </row>
    <row r="963" ht="15.75" customHeight="1">
      <c r="I963" s="6"/>
    </row>
    <row r="964" ht="15.75" customHeight="1">
      <c r="I964" s="6"/>
    </row>
    <row r="965" ht="15.75" customHeight="1">
      <c r="I965" s="6"/>
    </row>
    <row r="966" ht="15.75" customHeight="1">
      <c r="I966" s="6"/>
    </row>
    <row r="967" ht="15.75" customHeight="1">
      <c r="I967" s="6"/>
    </row>
    <row r="968" ht="15.75" customHeight="1">
      <c r="I968" s="6"/>
    </row>
    <row r="969" ht="15.75" customHeight="1">
      <c r="I969" s="6"/>
    </row>
    <row r="970" ht="15.75" customHeight="1">
      <c r="I970" s="6"/>
    </row>
    <row r="971" ht="15.75" customHeight="1">
      <c r="I971" s="6"/>
    </row>
    <row r="972" ht="15.75" customHeight="1">
      <c r="I972" s="6"/>
    </row>
    <row r="973" ht="15.75" customHeight="1">
      <c r="I973" s="6"/>
    </row>
    <row r="974" ht="15.75" customHeight="1">
      <c r="I974" s="6"/>
    </row>
    <row r="975" ht="15.75" customHeight="1">
      <c r="I975" s="6"/>
    </row>
    <row r="976" ht="15.75" customHeight="1">
      <c r="I976" s="6"/>
    </row>
    <row r="977" ht="15.75" customHeight="1">
      <c r="I977" s="6"/>
    </row>
    <row r="978" ht="15.75" customHeight="1">
      <c r="I978" s="6"/>
    </row>
    <row r="979" ht="15.75" customHeight="1">
      <c r="I979" s="6"/>
    </row>
    <row r="980" ht="15.75" customHeight="1">
      <c r="I980" s="6"/>
    </row>
    <row r="981" ht="15.75" customHeight="1">
      <c r="I981" s="6"/>
    </row>
    <row r="982" ht="15.75" customHeight="1">
      <c r="I982" s="6"/>
    </row>
    <row r="983" ht="15.75" customHeight="1">
      <c r="I983" s="6"/>
    </row>
    <row r="984" ht="15.75" customHeight="1">
      <c r="I984" s="6"/>
    </row>
    <row r="985" ht="15.75" customHeight="1">
      <c r="I985" s="6"/>
    </row>
    <row r="986" ht="15.75" customHeight="1">
      <c r="I986" s="6"/>
    </row>
    <row r="987" ht="15.75" customHeight="1">
      <c r="I987" s="6"/>
    </row>
    <row r="988" ht="15.75" customHeight="1">
      <c r="I988" s="6"/>
    </row>
    <row r="989" ht="15.75" customHeight="1">
      <c r="I989" s="6"/>
    </row>
    <row r="990" ht="15.75" customHeight="1">
      <c r="I990" s="6"/>
    </row>
    <row r="991" ht="15.75" customHeight="1">
      <c r="I991" s="6"/>
    </row>
    <row r="992" ht="15.75" customHeight="1">
      <c r="I992" s="6"/>
    </row>
    <row r="993" ht="15.75" customHeight="1">
      <c r="I993" s="6"/>
    </row>
    <row r="994" ht="15.75" customHeight="1">
      <c r="I994" s="6"/>
    </row>
    <row r="995" ht="15.75" customHeight="1">
      <c r="I995" s="6"/>
    </row>
    <row r="996" ht="15.75" customHeight="1">
      <c r="I996" s="6"/>
    </row>
    <row r="997" ht="15.75" customHeight="1">
      <c r="I997" s="6"/>
    </row>
    <row r="998" ht="15.75" customHeight="1">
      <c r="I998" s="6"/>
    </row>
    <row r="999" ht="15.75" customHeight="1">
      <c r="I999" s="6"/>
    </row>
    <row r="1000" ht="15.75" customHeight="1">
      <c r="I1000" s="6"/>
    </row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30.0"/>
    <col customWidth="1" min="4" max="4" width="26.0"/>
    <col customWidth="1" min="5" max="5" width="9.0"/>
    <col customWidth="1" min="6" max="6" width="36.0"/>
    <col customWidth="1" min="7" max="7" width="32.0"/>
    <col customWidth="1" min="8" max="8" width="48.0"/>
    <col customWidth="1" min="9" max="9" width="11.0"/>
    <col customWidth="1" min="10" max="11" width="10.0"/>
    <col customWidth="1" min="12" max="12" width="40.0"/>
    <col customWidth="1" min="13" max="13" width="55.0"/>
  </cols>
  <sheetData>
    <row r="1" ht="24.0" customHeight="1">
      <c r="A1" s="1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15.0" customHeight="1">
      <c r="A2" s="10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4" ht="25.5" customHeight="1">
      <c r="A4" s="12" t="s">
        <v>10</v>
      </c>
      <c r="B4" s="12" t="s">
        <v>12</v>
      </c>
      <c r="C4" s="12" t="s">
        <v>14</v>
      </c>
      <c r="D4" s="12" t="s">
        <v>16</v>
      </c>
      <c r="E4" s="12" t="s">
        <v>17</v>
      </c>
      <c r="F4" s="12" t="s">
        <v>19</v>
      </c>
      <c r="G4" s="12" t="s">
        <v>20</v>
      </c>
      <c r="H4" s="12" t="s">
        <v>21</v>
      </c>
      <c r="I4" s="12" t="s">
        <v>23</v>
      </c>
      <c r="J4" s="12" t="s">
        <v>24</v>
      </c>
      <c r="K4" s="12" t="s">
        <v>26</v>
      </c>
      <c r="L4" s="12" t="s">
        <v>27</v>
      </c>
      <c r="M4" s="12" t="s">
        <v>29</v>
      </c>
    </row>
    <row r="5" ht="18.0" customHeight="1">
      <c r="A5" s="16" t="s">
        <v>30</v>
      </c>
      <c r="B5" s="4"/>
      <c r="C5" s="4"/>
      <c r="D5" s="4"/>
      <c r="E5" s="4"/>
      <c r="F5" s="4"/>
      <c r="G5" s="4"/>
      <c r="H5" s="4"/>
      <c r="I5" s="4"/>
      <c r="J5" s="4"/>
      <c r="K5" s="4"/>
      <c r="L5" s="5"/>
    </row>
    <row r="6" ht="57.75" customHeight="1">
      <c r="A6" s="18" t="s">
        <v>36</v>
      </c>
      <c r="B6" s="19" t="s">
        <v>38</v>
      </c>
      <c r="C6" s="21" t="s">
        <v>40</v>
      </c>
      <c r="D6" s="21" t="s">
        <v>43</v>
      </c>
      <c r="E6" s="23" t="s">
        <v>15</v>
      </c>
      <c r="F6" s="21" t="s">
        <v>48</v>
      </c>
      <c r="G6" s="21" t="s">
        <v>50</v>
      </c>
      <c r="H6" s="21" t="s">
        <v>53</v>
      </c>
      <c r="I6" s="25" t="s">
        <v>56</v>
      </c>
      <c r="J6" s="26" t="s">
        <v>41</v>
      </c>
      <c r="K6" s="21"/>
      <c r="L6" s="21"/>
      <c r="M6" s="26"/>
    </row>
    <row r="7" ht="61.5" customHeight="1">
      <c r="A7" s="27" t="s">
        <v>61</v>
      </c>
      <c r="B7" s="19" t="s">
        <v>42</v>
      </c>
      <c r="C7" s="28" t="s">
        <v>65</v>
      </c>
      <c r="D7" s="28" t="s">
        <v>68</v>
      </c>
      <c r="E7" s="23" t="s">
        <v>15</v>
      </c>
      <c r="F7" s="28" t="s">
        <v>72</v>
      </c>
      <c r="G7" s="28" t="s">
        <v>73</v>
      </c>
      <c r="H7" s="28" t="s">
        <v>75</v>
      </c>
      <c r="I7" s="28" t="s">
        <v>55</v>
      </c>
      <c r="J7" s="26" t="s">
        <v>41</v>
      </c>
      <c r="K7" s="28"/>
      <c r="L7" s="28"/>
      <c r="M7" s="26"/>
    </row>
    <row r="8" ht="43.5" customHeight="1">
      <c r="A8" s="18" t="s">
        <v>83</v>
      </c>
      <c r="B8" s="19" t="s">
        <v>38</v>
      </c>
      <c r="C8" s="21" t="s">
        <v>84</v>
      </c>
      <c r="D8" s="21" t="s">
        <v>43</v>
      </c>
      <c r="E8" s="32" t="s">
        <v>25</v>
      </c>
      <c r="F8" s="21" t="s">
        <v>91</v>
      </c>
      <c r="G8" s="21" t="s">
        <v>92</v>
      </c>
      <c r="H8" s="21" t="s">
        <v>94</v>
      </c>
      <c r="I8" s="25" t="s">
        <v>56</v>
      </c>
      <c r="J8" s="26" t="s">
        <v>41</v>
      </c>
      <c r="K8" s="21"/>
      <c r="L8" s="21"/>
      <c r="M8" s="26"/>
    </row>
    <row r="9" ht="18.0" customHeight="1">
      <c r="A9" s="16" t="s">
        <v>98</v>
      </c>
      <c r="B9" s="4"/>
      <c r="C9" s="4"/>
      <c r="D9" s="4"/>
      <c r="E9" s="4"/>
      <c r="F9" s="4"/>
      <c r="G9" s="4"/>
      <c r="H9" s="4"/>
      <c r="I9" s="4"/>
      <c r="J9" s="4"/>
      <c r="K9" s="4"/>
      <c r="L9" s="5"/>
    </row>
    <row r="10" ht="43.5" customHeight="1">
      <c r="A10" s="18" t="s">
        <v>104</v>
      </c>
      <c r="B10" s="19" t="s">
        <v>38</v>
      </c>
      <c r="C10" s="21" t="s">
        <v>107</v>
      </c>
      <c r="D10" s="21" t="s">
        <v>109</v>
      </c>
      <c r="E10" s="23" t="s">
        <v>15</v>
      </c>
      <c r="F10" s="21" t="s">
        <v>110</v>
      </c>
      <c r="G10" s="21" t="s">
        <v>111</v>
      </c>
      <c r="H10" s="21" t="s">
        <v>112</v>
      </c>
      <c r="I10" s="25" t="s">
        <v>56</v>
      </c>
      <c r="J10" s="26" t="s">
        <v>41</v>
      </c>
      <c r="K10" s="21"/>
      <c r="L10" s="21"/>
      <c r="M10" s="26"/>
    </row>
    <row r="11" ht="43.5" customHeight="1">
      <c r="A11" s="27" t="s">
        <v>116</v>
      </c>
      <c r="B11" s="19" t="s">
        <v>38</v>
      </c>
      <c r="C11" s="28" t="s">
        <v>119</v>
      </c>
      <c r="D11" s="28" t="s">
        <v>109</v>
      </c>
      <c r="E11" s="30" t="s">
        <v>25</v>
      </c>
      <c r="F11" s="28" t="s">
        <v>123</v>
      </c>
      <c r="G11" s="28" t="s">
        <v>126</v>
      </c>
      <c r="H11" s="28" t="s">
        <v>128</v>
      </c>
      <c r="I11" s="41" t="s">
        <v>56</v>
      </c>
      <c r="J11" s="26" t="s">
        <v>41</v>
      </c>
      <c r="K11" s="28"/>
      <c r="L11" s="28"/>
      <c r="M11" s="26"/>
    </row>
    <row r="12" ht="43.5" customHeight="1">
      <c r="A12" s="18" t="s">
        <v>133</v>
      </c>
      <c r="B12" s="19" t="s">
        <v>42</v>
      </c>
      <c r="C12" s="21" t="s">
        <v>135</v>
      </c>
      <c r="D12" s="21" t="s">
        <v>138</v>
      </c>
      <c r="E12" s="23" t="s">
        <v>15</v>
      </c>
      <c r="F12" s="21" t="s">
        <v>140</v>
      </c>
      <c r="G12" s="21" t="s">
        <v>126</v>
      </c>
      <c r="H12" s="21" t="s">
        <v>144</v>
      </c>
      <c r="I12" s="21" t="s">
        <v>55</v>
      </c>
      <c r="J12" s="26" t="s">
        <v>41</v>
      </c>
      <c r="K12" s="21"/>
      <c r="L12" s="21"/>
      <c r="M12" s="26"/>
    </row>
    <row r="13" ht="18.0" customHeight="1">
      <c r="A13" s="16" t="s">
        <v>149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</row>
    <row r="14" ht="57.75" customHeight="1">
      <c r="A14" s="18" t="s">
        <v>156</v>
      </c>
      <c r="B14" s="19" t="s">
        <v>42</v>
      </c>
      <c r="C14" s="21" t="s">
        <v>159</v>
      </c>
      <c r="D14" s="21" t="s">
        <v>160</v>
      </c>
      <c r="E14" s="23" t="s">
        <v>15</v>
      </c>
      <c r="F14" s="21" t="s">
        <v>161</v>
      </c>
      <c r="G14" s="21" t="s">
        <v>162</v>
      </c>
      <c r="H14" s="21" t="s">
        <v>164</v>
      </c>
      <c r="I14" s="21" t="s">
        <v>55</v>
      </c>
      <c r="J14" s="26" t="s">
        <v>41</v>
      </c>
      <c r="K14" s="21"/>
      <c r="L14" s="21"/>
      <c r="M14" s="26"/>
    </row>
    <row r="15" ht="57.75" customHeight="1">
      <c r="A15" s="27" t="s">
        <v>171</v>
      </c>
      <c r="B15" s="19" t="s">
        <v>38</v>
      </c>
      <c r="C15" s="28" t="s">
        <v>173</v>
      </c>
      <c r="D15" s="28" t="s">
        <v>174</v>
      </c>
      <c r="E15" s="23" t="s">
        <v>15</v>
      </c>
      <c r="F15" s="28" t="s">
        <v>175</v>
      </c>
      <c r="G15" s="28" t="s">
        <v>176</v>
      </c>
      <c r="H15" s="28" t="s">
        <v>178</v>
      </c>
      <c r="I15" s="41" t="s">
        <v>56</v>
      </c>
      <c r="J15" s="26" t="s">
        <v>41</v>
      </c>
      <c r="K15" s="28"/>
      <c r="L15" s="28"/>
      <c r="M15" s="26"/>
    </row>
    <row r="16" ht="43.5" customHeight="1">
      <c r="A16" s="18" t="s">
        <v>179</v>
      </c>
      <c r="B16" s="19" t="s">
        <v>38</v>
      </c>
      <c r="C16" s="21" t="s">
        <v>181</v>
      </c>
      <c r="D16" s="21" t="s">
        <v>174</v>
      </c>
      <c r="E16" s="32" t="s">
        <v>25</v>
      </c>
      <c r="F16" s="21" t="s">
        <v>185</v>
      </c>
      <c r="G16" s="21" t="s">
        <v>186</v>
      </c>
      <c r="H16" s="21" t="s">
        <v>188</v>
      </c>
      <c r="I16" s="25" t="s">
        <v>56</v>
      </c>
      <c r="J16" s="26" t="s">
        <v>41</v>
      </c>
      <c r="K16" s="21"/>
      <c r="L16" s="21"/>
      <c r="M16" s="26"/>
    </row>
    <row r="17" ht="18.0" customHeight="1">
      <c r="A17" s="16" t="s">
        <v>191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5"/>
    </row>
    <row r="18" ht="43.5" customHeight="1">
      <c r="A18" s="18" t="s">
        <v>193</v>
      </c>
      <c r="B18" s="19" t="s">
        <v>42</v>
      </c>
      <c r="C18" s="21" t="s">
        <v>195</v>
      </c>
      <c r="D18" s="21" t="s">
        <v>196</v>
      </c>
      <c r="E18" s="32" t="s">
        <v>25</v>
      </c>
      <c r="F18" s="21" t="s">
        <v>200</v>
      </c>
      <c r="G18" s="21" t="s">
        <v>201</v>
      </c>
      <c r="H18" s="21" t="s">
        <v>202</v>
      </c>
      <c r="I18" s="21" t="s">
        <v>55</v>
      </c>
      <c r="J18" s="51" t="s">
        <v>41</v>
      </c>
      <c r="K18" s="21"/>
      <c r="L18" s="53" t="s">
        <v>204</v>
      </c>
      <c r="M18" s="26" t="s">
        <v>205</v>
      </c>
    </row>
    <row r="19" ht="43.5" customHeight="1">
      <c r="A19" s="27" t="s">
        <v>206</v>
      </c>
      <c r="B19" s="19" t="s">
        <v>42</v>
      </c>
      <c r="C19" s="28" t="s">
        <v>208</v>
      </c>
      <c r="D19" s="28" t="s">
        <v>210</v>
      </c>
      <c r="E19" s="30" t="s">
        <v>25</v>
      </c>
      <c r="F19" s="28" t="s">
        <v>213</v>
      </c>
      <c r="G19" s="28" t="s">
        <v>214</v>
      </c>
      <c r="H19" s="28" t="s">
        <v>216</v>
      </c>
      <c r="I19" s="28" t="s">
        <v>55</v>
      </c>
      <c r="J19" s="51" t="s">
        <v>41</v>
      </c>
      <c r="K19" s="28"/>
      <c r="L19" s="28" t="s">
        <v>219</v>
      </c>
      <c r="M19" s="26" t="s">
        <v>221</v>
      </c>
    </row>
    <row r="20" ht="18.0" customHeight="1">
      <c r="A20" s="16" t="s">
        <v>222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5"/>
    </row>
    <row r="21" ht="43.5" customHeight="1">
      <c r="A21" s="18" t="s">
        <v>223</v>
      </c>
      <c r="B21" s="19" t="s">
        <v>42</v>
      </c>
      <c r="C21" s="21" t="s">
        <v>224</v>
      </c>
      <c r="D21" s="21" t="s">
        <v>174</v>
      </c>
      <c r="E21" s="23" t="s">
        <v>15</v>
      </c>
      <c r="F21" s="21" t="s">
        <v>225</v>
      </c>
      <c r="G21" s="21" t="s">
        <v>226</v>
      </c>
      <c r="H21" s="21" t="s">
        <v>227</v>
      </c>
      <c r="I21" s="21" t="s">
        <v>55</v>
      </c>
      <c r="J21" s="26" t="s">
        <v>41</v>
      </c>
      <c r="K21" s="21"/>
      <c r="L21" s="21"/>
      <c r="M21" s="26"/>
    </row>
    <row r="22" ht="43.5" customHeight="1">
      <c r="A22" s="27" t="s">
        <v>228</v>
      </c>
      <c r="B22" s="19" t="s">
        <v>38</v>
      </c>
      <c r="C22" s="28" t="s">
        <v>229</v>
      </c>
      <c r="D22" s="28" t="s">
        <v>174</v>
      </c>
      <c r="E22" s="23" t="s">
        <v>15</v>
      </c>
      <c r="F22" s="28" t="s">
        <v>230</v>
      </c>
      <c r="G22" s="28" t="s">
        <v>231</v>
      </c>
      <c r="H22" s="28" t="s">
        <v>232</v>
      </c>
      <c r="I22" s="41" t="s">
        <v>56</v>
      </c>
      <c r="J22" s="26" t="s">
        <v>41</v>
      </c>
      <c r="K22" s="28"/>
      <c r="L22" s="28"/>
      <c r="M22" s="26"/>
    </row>
    <row r="23" ht="18.0" customHeight="1">
      <c r="A23" s="16" t="s">
        <v>234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5"/>
    </row>
    <row r="24" ht="43.5" customHeight="1">
      <c r="A24" s="18" t="s">
        <v>235</v>
      </c>
      <c r="B24" s="19" t="s">
        <v>38</v>
      </c>
      <c r="C24" s="21" t="s">
        <v>236</v>
      </c>
      <c r="D24" s="21" t="s">
        <v>174</v>
      </c>
      <c r="E24" s="23" t="s">
        <v>15</v>
      </c>
      <c r="F24" s="21" t="s">
        <v>237</v>
      </c>
      <c r="G24" s="21" t="s">
        <v>238</v>
      </c>
      <c r="H24" s="21" t="s">
        <v>239</v>
      </c>
      <c r="I24" s="25" t="s">
        <v>56</v>
      </c>
      <c r="J24" s="26" t="s">
        <v>41</v>
      </c>
      <c r="K24" s="21"/>
      <c r="L24" s="21"/>
      <c r="M24" s="26"/>
    </row>
    <row r="25" ht="43.5" customHeight="1">
      <c r="A25" s="27" t="s">
        <v>240</v>
      </c>
      <c r="B25" s="19" t="s">
        <v>42</v>
      </c>
      <c r="C25" s="28" t="s">
        <v>241</v>
      </c>
      <c r="D25" s="28" t="s">
        <v>174</v>
      </c>
      <c r="E25" s="23" t="s">
        <v>15</v>
      </c>
      <c r="F25" s="28" t="s">
        <v>242</v>
      </c>
      <c r="G25" s="28" t="s">
        <v>243</v>
      </c>
      <c r="H25" s="28" t="s">
        <v>244</v>
      </c>
      <c r="I25" s="28" t="s">
        <v>55</v>
      </c>
      <c r="J25" s="26" t="s">
        <v>41</v>
      </c>
      <c r="K25" s="28"/>
      <c r="L25" s="28"/>
      <c r="M25" s="26"/>
    </row>
    <row r="26" ht="43.5" customHeight="1">
      <c r="A26" s="18" t="s">
        <v>247</v>
      </c>
      <c r="B26" s="19" t="s">
        <v>42</v>
      </c>
      <c r="C26" s="21" t="s">
        <v>248</v>
      </c>
      <c r="D26" s="21" t="s">
        <v>174</v>
      </c>
      <c r="E26" s="32" t="s">
        <v>25</v>
      </c>
      <c r="F26" s="21" t="s">
        <v>249</v>
      </c>
      <c r="G26" s="21" t="s">
        <v>250</v>
      </c>
      <c r="H26" s="21" t="s">
        <v>251</v>
      </c>
      <c r="I26" s="21" t="s">
        <v>55</v>
      </c>
      <c r="J26" s="26" t="s">
        <v>41</v>
      </c>
      <c r="K26" s="21"/>
      <c r="L26" s="21"/>
      <c r="M26" s="26"/>
    </row>
    <row r="27" ht="18.0" customHeight="1">
      <c r="A27" s="16" t="s">
        <v>253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5"/>
    </row>
    <row r="28" ht="57.75" customHeight="1">
      <c r="A28" s="18" t="s">
        <v>260</v>
      </c>
      <c r="B28" s="19" t="s">
        <v>42</v>
      </c>
      <c r="C28" s="21" t="s">
        <v>263</v>
      </c>
      <c r="D28" s="21" t="s">
        <v>264</v>
      </c>
      <c r="E28" s="23" t="s">
        <v>15</v>
      </c>
      <c r="F28" s="21" t="s">
        <v>268</v>
      </c>
      <c r="G28" s="21" t="s">
        <v>269</v>
      </c>
      <c r="H28" s="21" t="s">
        <v>271</v>
      </c>
      <c r="I28" s="21" t="s">
        <v>55</v>
      </c>
      <c r="J28" s="26" t="s">
        <v>41</v>
      </c>
      <c r="K28" s="21"/>
      <c r="L28" s="54"/>
      <c r="M28" s="26" t="s">
        <v>278</v>
      </c>
    </row>
    <row r="29" ht="30.0" customHeight="1">
      <c r="A29" s="27" t="s">
        <v>279</v>
      </c>
      <c r="B29" s="19" t="s">
        <v>280</v>
      </c>
      <c r="C29" s="28" t="s">
        <v>282</v>
      </c>
      <c r="D29" s="28" t="s">
        <v>284</v>
      </c>
      <c r="E29" s="23" t="s">
        <v>15</v>
      </c>
      <c r="F29" s="28" t="s">
        <v>286</v>
      </c>
      <c r="G29" s="28" t="s">
        <v>288</v>
      </c>
      <c r="H29" s="28" t="s">
        <v>290</v>
      </c>
      <c r="I29" s="41" t="s">
        <v>56</v>
      </c>
      <c r="J29" s="26" t="s">
        <v>41</v>
      </c>
      <c r="K29" s="28"/>
      <c r="L29" s="55"/>
      <c r="M29" s="26" t="s">
        <v>292</v>
      </c>
    </row>
    <row r="30" ht="30.0" customHeight="1">
      <c r="A30" s="18" t="s">
        <v>294</v>
      </c>
      <c r="B30" s="19" t="s">
        <v>296</v>
      </c>
      <c r="C30" s="21" t="s">
        <v>297</v>
      </c>
      <c r="D30" s="21" t="s">
        <v>299</v>
      </c>
      <c r="E30" s="23" t="s">
        <v>15</v>
      </c>
      <c r="F30" s="21" t="s">
        <v>302</v>
      </c>
      <c r="G30" s="21" t="s">
        <v>288</v>
      </c>
      <c r="H30" s="21" t="s">
        <v>303</v>
      </c>
      <c r="I30" s="21" t="s">
        <v>55</v>
      </c>
      <c r="J30" s="26" t="s">
        <v>41</v>
      </c>
      <c r="K30" s="21"/>
      <c r="L30" s="54"/>
      <c r="M30" s="26" t="s">
        <v>59</v>
      </c>
    </row>
    <row r="31" ht="30.0" customHeight="1">
      <c r="A31" s="27" t="s">
        <v>304</v>
      </c>
      <c r="B31" s="19" t="s">
        <v>305</v>
      </c>
      <c r="C31" s="28" t="s">
        <v>306</v>
      </c>
      <c r="D31" s="28" t="s">
        <v>307</v>
      </c>
      <c r="E31" s="23" t="s">
        <v>15</v>
      </c>
      <c r="F31" s="28" t="s">
        <v>308</v>
      </c>
      <c r="G31" s="28" t="s">
        <v>288</v>
      </c>
      <c r="H31" s="28" t="s">
        <v>309</v>
      </c>
      <c r="I31" s="41" t="s">
        <v>56</v>
      </c>
      <c r="J31" s="26" t="s">
        <v>41</v>
      </c>
      <c r="K31" s="28"/>
      <c r="L31" s="55"/>
      <c r="M31" s="26" t="s">
        <v>310</v>
      </c>
    </row>
    <row r="32" ht="43.5" customHeight="1">
      <c r="A32" s="18" t="s">
        <v>311</v>
      </c>
      <c r="B32" s="19" t="s">
        <v>312</v>
      </c>
      <c r="C32" s="21" t="s">
        <v>313</v>
      </c>
      <c r="D32" s="21" t="s">
        <v>314</v>
      </c>
      <c r="E32" s="23" t="s">
        <v>15</v>
      </c>
      <c r="F32" s="21" t="s">
        <v>315</v>
      </c>
      <c r="G32" s="21" t="s">
        <v>316</v>
      </c>
      <c r="H32" s="21" t="s">
        <v>317</v>
      </c>
      <c r="I32" s="21" t="s">
        <v>55</v>
      </c>
      <c r="J32" s="26" t="s">
        <v>41</v>
      </c>
      <c r="K32" s="21"/>
      <c r="L32" s="54"/>
      <c r="M32" s="26" t="s">
        <v>59</v>
      </c>
    </row>
    <row r="33" ht="30.0" customHeight="1">
      <c r="A33" s="27" t="s">
        <v>318</v>
      </c>
      <c r="B33" s="19" t="s">
        <v>305</v>
      </c>
      <c r="C33" s="28" t="s">
        <v>319</v>
      </c>
      <c r="D33" s="28" t="s">
        <v>284</v>
      </c>
      <c r="E33" s="23" t="s">
        <v>15</v>
      </c>
      <c r="F33" s="28" t="s">
        <v>320</v>
      </c>
      <c r="G33" s="28" t="s">
        <v>316</v>
      </c>
      <c r="H33" s="28" t="s">
        <v>321</v>
      </c>
      <c r="I33" s="41" t="s">
        <v>56</v>
      </c>
      <c r="J33" s="26" t="s">
        <v>41</v>
      </c>
      <c r="K33" s="28"/>
      <c r="L33" s="55"/>
      <c r="M33" s="26" t="s">
        <v>59</v>
      </c>
    </row>
    <row r="34" ht="43.5" customHeight="1">
      <c r="A34" s="18" t="s">
        <v>322</v>
      </c>
      <c r="B34" s="19" t="s">
        <v>305</v>
      </c>
      <c r="C34" s="21" t="s">
        <v>323</v>
      </c>
      <c r="D34" s="21" t="s">
        <v>284</v>
      </c>
      <c r="E34" s="23" t="s">
        <v>15</v>
      </c>
      <c r="F34" s="21" t="s">
        <v>324</v>
      </c>
      <c r="G34" s="21" t="s">
        <v>325</v>
      </c>
      <c r="H34" s="21" t="s">
        <v>326</v>
      </c>
      <c r="I34" s="25" t="s">
        <v>56</v>
      </c>
      <c r="J34" s="26" t="s">
        <v>41</v>
      </c>
      <c r="K34" s="21"/>
      <c r="L34" s="54"/>
      <c r="M34" s="26" t="s">
        <v>327</v>
      </c>
    </row>
    <row r="35" ht="43.5" customHeight="1">
      <c r="A35" s="27" t="s">
        <v>328</v>
      </c>
      <c r="B35" s="19" t="s">
        <v>42</v>
      </c>
      <c r="C35" s="28" t="s">
        <v>329</v>
      </c>
      <c r="D35" s="28" t="s">
        <v>330</v>
      </c>
      <c r="E35" s="23" t="s">
        <v>15</v>
      </c>
      <c r="F35" s="28" t="s">
        <v>331</v>
      </c>
      <c r="G35" s="28" t="s">
        <v>332</v>
      </c>
      <c r="H35" s="28" t="s">
        <v>333</v>
      </c>
      <c r="I35" s="28" t="s">
        <v>55</v>
      </c>
      <c r="J35" s="26" t="s">
        <v>41</v>
      </c>
      <c r="K35" s="28"/>
      <c r="L35" s="55"/>
      <c r="M35" s="26" t="s">
        <v>59</v>
      </c>
    </row>
    <row r="36" ht="30.0" customHeight="1">
      <c r="A36" s="18" t="s">
        <v>334</v>
      </c>
      <c r="B36" s="19" t="s">
        <v>42</v>
      </c>
      <c r="C36" s="21" t="s">
        <v>335</v>
      </c>
      <c r="D36" s="21" t="s">
        <v>336</v>
      </c>
      <c r="E36" s="32" t="s">
        <v>25</v>
      </c>
      <c r="F36" s="21" t="s">
        <v>337</v>
      </c>
      <c r="G36" s="21" t="s">
        <v>338</v>
      </c>
      <c r="H36" s="21" t="s">
        <v>339</v>
      </c>
      <c r="I36" s="21" t="s">
        <v>55</v>
      </c>
      <c r="J36" s="26" t="s">
        <v>41</v>
      </c>
      <c r="K36" s="21"/>
      <c r="L36" s="54"/>
      <c r="M36" s="26" t="s">
        <v>59</v>
      </c>
    </row>
    <row r="37" ht="15.0" customHeight="1">
      <c r="A37" s="52" t="s">
        <v>203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5"/>
    </row>
    <row r="38" ht="53.25" customHeight="1">
      <c r="A38" s="26" t="s">
        <v>207</v>
      </c>
      <c r="B38" s="26" t="s">
        <v>209</v>
      </c>
      <c r="C38" s="26" t="s">
        <v>211</v>
      </c>
      <c r="D38" s="26" t="s">
        <v>212</v>
      </c>
      <c r="E38" s="26" t="s">
        <v>25</v>
      </c>
      <c r="F38" s="26" t="s">
        <v>215</v>
      </c>
      <c r="G38" s="26" t="s">
        <v>217</v>
      </c>
      <c r="H38" s="26" t="s">
        <v>218</v>
      </c>
      <c r="I38" s="26" t="s">
        <v>55</v>
      </c>
      <c r="J38" s="26" t="s">
        <v>54</v>
      </c>
      <c r="K38" s="26"/>
      <c r="L38" s="26"/>
    </row>
    <row r="39" ht="15.75" customHeight="1"/>
    <row r="40" ht="15.75" customHeight="1">
      <c r="A40" s="16" t="s">
        <v>344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5"/>
    </row>
    <row r="41" ht="46.5" customHeight="1">
      <c r="A41" s="18" t="s">
        <v>340</v>
      </c>
      <c r="B41" s="19" t="s">
        <v>38</v>
      </c>
      <c r="C41" s="21" t="s">
        <v>346</v>
      </c>
      <c r="D41" s="21" t="s">
        <v>342</v>
      </c>
      <c r="E41" s="23" t="s">
        <v>15</v>
      </c>
      <c r="F41" s="21" t="s">
        <v>347</v>
      </c>
      <c r="G41" s="21" t="s">
        <v>348</v>
      </c>
      <c r="H41" s="21" t="s">
        <v>349</v>
      </c>
      <c r="I41" s="25" t="s">
        <v>56</v>
      </c>
      <c r="J41" s="26" t="s">
        <v>41</v>
      </c>
      <c r="K41" s="21"/>
      <c r="L41" s="54"/>
      <c r="M41" s="26" t="s">
        <v>350</v>
      </c>
    </row>
    <row r="42" ht="46.5" customHeight="1">
      <c r="A42" s="27" t="s">
        <v>343</v>
      </c>
      <c r="B42" s="19" t="s">
        <v>38</v>
      </c>
      <c r="C42" s="28" t="s">
        <v>352</v>
      </c>
      <c r="D42" s="28" t="s">
        <v>345</v>
      </c>
      <c r="E42" s="23" t="s">
        <v>15</v>
      </c>
      <c r="F42" s="28" t="s">
        <v>354</v>
      </c>
      <c r="G42" s="28" t="s">
        <v>355</v>
      </c>
      <c r="H42" s="28" t="s">
        <v>356</v>
      </c>
      <c r="I42" s="41" t="s">
        <v>56</v>
      </c>
      <c r="J42" s="26" t="s">
        <v>41</v>
      </c>
      <c r="K42" s="28"/>
      <c r="L42" s="55"/>
      <c r="M42" s="26" t="s">
        <v>59</v>
      </c>
    </row>
    <row r="43" ht="60.0" customHeight="1">
      <c r="A43" s="18" t="s">
        <v>353</v>
      </c>
      <c r="B43" s="19" t="s">
        <v>42</v>
      </c>
      <c r="C43" s="21" t="s">
        <v>358</v>
      </c>
      <c r="D43" s="21" t="s">
        <v>138</v>
      </c>
      <c r="E43" s="23" t="s">
        <v>15</v>
      </c>
      <c r="F43" s="21" t="s">
        <v>360</v>
      </c>
      <c r="G43" s="21" t="s">
        <v>355</v>
      </c>
      <c r="H43" s="21" t="s">
        <v>361</v>
      </c>
      <c r="I43" s="21" t="s">
        <v>55</v>
      </c>
      <c r="J43" s="26" t="s">
        <v>41</v>
      </c>
      <c r="K43" s="21"/>
      <c r="L43" s="54"/>
      <c r="M43" s="26" t="s">
        <v>362</v>
      </c>
    </row>
    <row r="44" ht="46.5" customHeight="1">
      <c r="A44" s="27" t="s">
        <v>357</v>
      </c>
      <c r="B44" s="19" t="s">
        <v>312</v>
      </c>
      <c r="C44" s="28" t="s">
        <v>364</v>
      </c>
      <c r="D44" s="28" t="s">
        <v>359</v>
      </c>
      <c r="E44" s="23" t="s">
        <v>15</v>
      </c>
      <c r="F44" s="28" t="s">
        <v>366</v>
      </c>
      <c r="G44" s="28" t="s">
        <v>355</v>
      </c>
      <c r="H44" s="28" t="s">
        <v>367</v>
      </c>
      <c r="I44" s="41" t="s">
        <v>56</v>
      </c>
      <c r="J44" s="26" t="s">
        <v>41</v>
      </c>
      <c r="K44" s="28"/>
      <c r="L44" s="55"/>
      <c r="M44" s="26" t="s">
        <v>371</v>
      </c>
    </row>
    <row r="45" ht="46.5" customHeight="1">
      <c r="A45" s="18" t="s">
        <v>363</v>
      </c>
      <c r="B45" s="19" t="s">
        <v>305</v>
      </c>
      <c r="C45" s="21" t="s">
        <v>375</v>
      </c>
      <c r="D45" s="21" t="s">
        <v>359</v>
      </c>
      <c r="E45" s="23" t="s">
        <v>15</v>
      </c>
      <c r="F45" s="21" t="s">
        <v>377</v>
      </c>
      <c r="G45" s="21" t="s">
        <v>355</v>
      </c>
      <c r="H45" s="21" t="s">
        <v>378</v>
      </c>
      <c r="I45" s="25" t="s">
        <v>56</v>
      </c>
      <c r="J45" s="26" t="s">
        <v>41</v>
      </c>
      <c r="K45" s="21"/>
      <c r="L45" s="54"/>
      <c r="M45" s="26" t="s">
        <v>381</v>
      </c>
    </row>
    <row r="46" ht="46.5" customHeight="1">
      <c r="A46" s="27" t="s">
        <v>374</v>
      </c>
      <c r="B46" s="19" t="s">
        <v>305</v>
      </c>
      <c r="C46" s="28" t="s">
        <v>384</v>
      </c>
      <c r="D46" s="28" t="s">
        <v>359</v>
      </c>
      <c r="E46" s="23" t="s">
        <v>15</v>
      </c>
      <c r="F46" s="28" t="s">
        <v>386</v>
      </c>
      <c r="G46" s="28" t="s">
        <v>355</v>
      </c>
      <c r="H46" s="28" t="s">
        <v>387</v>
      </c>
      <c r="I46" s="41" t="s">
        <v>56</v>
      </c>
      <c r="J46" s="26" t="s">
        <v>41</v>
      </c>
      <c r="K46" s="28"/>
      <c r="L46" s="55"/>
      <c r="M46" s="26" t="s">
        <v>389</v>
      </c>
    </row>
    <row r="47" ht="46.5" customHeight="1">
      <c r="A47" s="18" t="s">
        <v>382</v>
      </c>
      <c r="B47" s="19" t="s">
        <v>38</v>
      </c>
      <c r="C47" s="21" t="s">
        <v>391</v>
      </c>
      <c r="D47" s="21" t="s">
        <v>385</v>
      </c>
      <c r="E47" s="23" t="s">
        <v>15</v>
      </c>
      <c r="F47" s="21" t="s">
        <v>185</v>
      </c>
      <c r="G47" s="21" t="s">
        <v>393</v>
      </c>
      <c r="H47" s="21" t="s">
        <v>394</v>
      </c>
      <c r="I47" s="25" t="s">
        <v>56</v>
      </c>
      <c r="J47" s="26" t="s">
        <v>41</v>
      </c>
      <c r="K47" s="21"/>
      <c r="L47" s="54"/>
      <c r="M47" s="26" t="s">
        <v>59</v>
      </c>
    </row>
    <row r="48" ht="60.0" customHeight="1">
      <c r="A48" s="27" t="s">
        <v>390</v>
      </c>
      <c r="B48" s="19" t="s">
        <v>42</v>
      </c>
      <c r="C48" s="28" t="s">
        <v>399</v>
      </c>
      <c r="D48" s="28" t="s">
        <v>174</v>
      </c>
      <c r="E48" s="23" t="s">
        <v>15</v>
      </c>
      <c r="F48" s="28" t="s">
        <v>402</v>
      </c>
      <c r="G48" s="28" t="s">
        <v>403</v>
      </c>
      <c r="H48" s="28" t="s">
        <v>404</v>
      </c>
      <c r="I48" s="28" t="s">
        <v>55</v>
      </c>
      <c r="J48" s="26" t="s">
        <v>41</v>
      </c>
      <c r="K48" s="28"/>
      <c r="L48" s="55"/>
      <c r="M48" s="26" t="s">
        <v>59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23:L23"/>
    <mergeCell ref="A27:L27"/>
    <mergeCell ref="A37:L37"/>
    <mergeCell ref="A40:L40"/>
    <mergeCell ref="A1:L1"/>
    <mergeCell ref="A2:L2"/>
    <mergeCell ref="A5:L5"/>
    <mergeCell ref="A9:L9"/>
    <mergeCell ref="A13:L13"/>
    <mergeCell ref="A17:L17"/>
    <mergeCell ref="A20:L20"/>
  </mergeCells>
  <dataValidations>
    <dataValidation type="list" allowBlank="1" sqref="E6:E8 E10:E12 E14:E16 E18:E19 E21:E22 E24:E26 E28:E36 E38 E41:E48">
      <formula1>"P1,P2,P3"</formula1>
    </dataValidation>
    <dataValidation type="list" allowBlank="1" sqref="J6:J8 J10:J12 J14:J16 J18:J19 J21:J22 J24:J26 J28:J36 J38 J41:J48">
      <formula1>"Not Run,Pass,Fail,Blocked,Skip,N/A"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30.0"/>
    <col customWidth="1" min="4" max="4" width="26.0"/>
    <col customWidth="1" min="5" max="5" width="9.0"/>
    <col customWidth="1" min="6" max="6" width="36.0"/>
    <col customWidth="1" min="7" max="7" width="32.0"/>
    <col customWidth="1" min="8" max="8" width="48.0"/>
    <col customWidth="1" min="9" max="9" width="11.0"/>
    <col customWidth="1" min="10" max="11" width="10.0"/>
    <col customWidth="1" min="12" max="12" width="40.0"/>
    <col customWidth="1" min="13" max="13" width="55.0"/>
  </cols>
  <sheetData>
    <row r="1" ht="24.0" customHeight="1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15.0" customHeight="1">
      <c r="A2" s="10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4" ht="25.5" customHeight="1">
      <c r="A4" s="12" t="s">
        <v>10</v>
      </c>
      <c r="B4" s="12" t="s">
        <v>12</v>
      </c>
      <c r="C4" s="12" t="s">
        <v>14</v>
      </c>
      <c r="D4" s="12" t="s">
        <v>16</v>
      </c>
      <c r="E4" s="12" t="s">
        <v>17</v>
      </c>
      <c r="F4" s="12" t="s">
        <v>19</v>
      </c>
      <c r="G4" s="12" t="s">
        <v>20</v>
      </c>
      <c r="H4" s="12" t="s">
        <v>21</v>
      </c>
      <c r="I4" s="12" t="s">
        <v>23</v>
      </c>
      <c r="J4" s="12" t="s">
        <v>24</v>
      </c>
      <c r="K4" s="12" t="s">
        <v>26</v>
      </c>
      <c r="L4" s="12" t="s">
        <v>27</v>
      </c>
      <c r="M4" s="12" t="s">
        <v>29</v>
      </c>
    </row>
    <row r="5" ht="18.0" customHeight="1">
      <c r="A5" s="16" t="s">
        <v>34</v>
      </c>
      <c r="B5" s="4"/>
      <c r="C5" s="4"/>
      <c r="D5" s="4"/>
      <c r="E5" s="4"/>
      <c r="F5" s="4"/>
      <c r="G5" s="4"/>
      <c r="H5" s="4"/>
      <c r="I5" s="4"/>
      <c r="J5" s="4"/>
      <c r="K5" s="4"/>
      <c r="L5" s="5"/>
    </row>
    <row r="6" ht="43.5" customHeight="1">
      <c r="A6" s="18" t="s">
        <v>39</v>
      </c>
      <c r="B6" s="19" t="s">
        <v>42</v>
      </c>
      <c r="C6" s="21" t="s">
        <v>44</v>
      </c>
      <c r="D6" s="21" t="s">
        <v>45</v>
      </c>
      <c r="E6" s="23" t="s">
        <v>15</v>
      </c>
      <c r="F6" s="21" t="s">
        <v>49</v>
      </c>
      <c r="G6" s="21" t="s">
        <v>51</v>
      </c>
      <c r="H6" s="21" t="s">
        <v>52</v>
      </c>
      <c r="I6" s="21" t="s">
        <v>55</v>
      </c>
      <c r="J6" s="26" t="s">
        <v>41</v>
      </c>
      <c r="K6" s="21"/>
      <c r="L6" s="21"/>
      <c r="M6" s="26" t="s">
        <v>59</v>
      </c>
    </row>
    <row r="7" ht="43.5" customHeight="1">
      <c r="A7" s="27" t="s">
        <v>63</v>
      </c>
      <c r="B7" s="19" t="s">
        <v>42</v>
      </c>
      <c r="C7" s="28" t="s">
        <v>66</v>
      </c>
      <c r="D7" s="28" t="s">
        <v>69</v>
      </c>
      <c r="E7" s="30" t="s">
        <v>25</v>
      </c>
      <c r="F7" s="28" t="s">
        <v>76</v>
      </c>
      <c r="G7" s="28" t="s">
        <v>78</v>
      </c>
      <c r="H7" s="28" t="s">
        <v>79</v>
      </c>
      <c r="I7" s="28" t="s">
        <v>55</v>
      </c>
      <c r="J7" s="26" t="s">
        <v>41</v>
      </c>
      <c r="K7" s="28"/>
      <c r="L7" s="28"/>
      <c r="M7" s="26" t="s">
        <v>59</v>
      </c>
    </row>
    <row r="8" ht="43.5" customHeight="1">
      <c r="A8" s="18" t="s">
        <v>86</v>
      </c>
      <c r="B8" s="19" t="s">
        <v>87</v>
      </c>
      <c r="C8" s="21" t="s">
        <v>88</v>
      </c>
      <c r="D8" s="21" t="s">
        <v>89</v>
      </c>
      <c r="E8" s="23" t="s">
        <v>15</v>
      </c>
      <c r="F8" s="21" t="s">
        <v>93</v>
      </c>
      <c r="G8" s="21" t="s">
        <v>51</v>
      </c>
      <c r="H8" s="21" t="s">
        <v>95</v>
      </c>
      <c r="I8" s="21" t="s">
        <v>55</v>
      </c>
      <c r="J8" s="26" t="s">
        <v>41</v>
      </c>
      <c r="K8" s="21"/>
      <c r="L8" s="21"/>
      <c r="M8" s="26" t="s">
        <v>59</v>
      </c>
    </row>
    <row r="9" ht="43.5" customHeight="1">
      <c r="A9" s="27" t="s">
        <v>99</v>
      </c>
      <c r="B9" s="19" t="s">
        <v>101</v>
      </c>
      <c r="C9" s="28" t="s">
        <v>102</v>
      </c>
      <c r="D9" s="28" t="s">
        <v>103</v>
      </c>
      <c r="E9" s="23" t="s">
        <v>15</v>
      </c>
      <c r="F9" s="28" t="s">
        <v>105</v>
      </c>
      <c r="G9" s="28" t="s">
        <v>51</v>
      </c>
      <c r="H9" s="28" t="s">
        <v>108</v>
      </c>
      <c r="I9" s="28" t="s">
        <v>55</v>
      </c>
      <c r="J9" s="26" t="s">
        <v>41</v>
      </c>
      <c r="K9" s="28"/>
      <c r="L9" s="28"/>
      <c r="M9" s="26" t="s">
        <v>59</v>
      </c>
    </row>
    <row r="10" ht="18.0" customHeight="1">
      <c r="A10" s="16" t="s">
        <v>113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5"/>
    </row>
    <row r="11" ht="30.0" customHeight="1">
      <c r="A11" s="18" t="s">
        <v>117</v>
      </c>
      <c r="B11" s="19" t="s">
        <v>42</v>
      </c>
      <c r="C11" s="21" t="s">
        <v>120</v>
      </c>
      <c r="D11" s="21" t="s">
        <v>122</v>
      </c>
      <c r="E11" s="23" t="s">
        <v>15</v>
      </c>
      <c r="F11" s="21" t="s">
        <v>125</v>
      </c>
      <c r="G11" s="21" t="s">
        <v>127</v>
      </c>
      <c r="H11" s="21" t="s">
        <v>129</v>
      </c>
      <c r="I11" s="21" t="s">
        <v>55</v>
      </c>
      <c r="J11" s="26" t="s">
        <v>41</v>
      </c>
      <c r="K11" s="21"/>
      <c r="L11" s="21"/>
      <c r="M11" s="26" t="s">
        <v>59</v>
      </c>
    </row>
    <row r="12" ht="30.0" customHeight="1">
      <c r="A12" s="27" t="s">
        <v>132</v>
      </c>
      <c r="B12" s="19" t="s">
        <v>42</v>
      </c>
      <c r="C12" s="28" t="s">
        <v>136</v>
      </c>
      <c r="D12" s="28" t="s">
        <v>69</v>
      </c>
      <c r="E12" s="23" t="s">
        <v>15</v>
      </c>
      <c r="F12" s="28" t="s">
        <v>139</v>
      </c>
      <c r="G12" s="28" t="s">
        <v>142</v>
      </c>
      <c r="H12" s="28" t="s">
        <v>143</v>
      </c>
      <c r="I12" s="28" t="s">
        <v>55</v>
      </c>
      <c r="J12" s="26" t="s">
        <v>41</v>
      </c>
      <c r="K12" s="28"/>
      <c r="L12" s="28"/>
      <c r="M12" s="26" t="s">
        <v>59</v>
      </c>
    </row>
    <row r="13" ht="43.5" customHeight="1">
      <c r="A13" s="18" t="s">
        <v>148</v>
      </c>
      <c r="B13" s="19" t="s">
        <v>38</v>
      </c>
      <c r="C13" s="21" t="s">
        <v>150</v>
      </c>
      <c r="D13" s="21" t="s">
        <v>69</v>
      </c>
      <c r="E13" s="23" t="s">
        <v>15</v>
      </c>
      <c r="F13" s="21" t="s">
        <v>153</v>
      </c>
      <c r="G13" s="21" t="s">
        <v>154</v>
      </c>
      <c r="H13" s="21" t="s">
        <v>157</v>
      </c>
      <c r="I13" s="25" t="s">
        <v>56</v>
      </c>
      <c r="J13" s="26" t="s">
        <v>41</v>
      </c>
      <c r="K13" s="21"/>
      <c r="L13" s="21"/>
      <c r="M13" s="26" t="s">
        <v>59</v>
      </c>
    </row>
    <row r="14" ht="30.0" customHeight="1">
      <c r="A14" s="27" t="s">
        <v>163</v>
      </c>
      <c r="B14" s="19" t="s">
        <v>38</v>
      </c>
      <c r="C14" s="28" t="s">
        <v>165</v>
      </c>
      <c r="D14" s="28" t="s">
        <v>166</v>
      </c>
      <c r="E14" s="23" t="s">
        <v>15</v>
      </c>
      <c r="F14" s="28" t="s">
        <v>168</v>
      </c>
      <c r="G14" s="28" t="s">
        <v>169</v>
      </c>
      <c r="H14" s="28" t="s">
        <v>170</v>
      </c>
      <c r="I14" s="41" t="s">
        <v>56</v>
      </c>
      <c r="J14" s="26" t="s">
        <v>41</v>
      </c>
      <c r="K14" s="28"/>
      <c r="L14" s="28"/>
      <c r="M14" s="26" t="s">
        <v>59</v>
      </c>
    </row>
    <row r="15" ht="18.0" customHeight="1">
      <c r="A15" s="16" t="s">
        <v>177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5"/>
    </row>
    <row r="16" ht="43.5" customHeight="1">
      <c r="A16" s="18" t="s">
        <v>180</v>
      </c>
      <c r="B16" s="19" t="s">
        <v>38</v>
      </c>
      <c r="C16" s="21" t="s">
        <v>182</v>
      </c>
      <c r="D16" s="21" t="s">
        <v>183</v>
      </c>
      <c r="E16" s="23" t="s">
        <v>15</v>
      </c>
      <c r="F16" s="21" t="s">
        <v>187</v>
      </c>
      <c r="G16" s="21" t="s">
        <v>189</v>
      </c>
      <c r="H16" s="21" t="s">
        <v>190</v>
      </c>
      <c r="I16" s="25" t="s">
        <v>56</v>
      </c>
      <c r="J16" s="26" t="s">
        <v>41</v>
      </c>
      <c r="K16" s="21"/>
      <c r="L16" s="21"/>
      <c r="M16" s="26" t="s">
        <v>59</v>
      </c>
    </row>
    <row r="17" ht="30.0" customHeight="1">
      <c r="A17" s="27" t="s">
        <v>192</v>
      </c>
      <c r="B17" s="19" t="s">
        <v>42</v>
      </c>
      <c r="C17" s="28" t="s">
        <v>194</v>
      </c>
      <c r="D17" s="28" t="s">
        <v>69</v>
      </c>
      <c r="E17" s="30" t="s">
        <v>25</v>
      </c>
      <c r="F17" s="28" t="s">
        <v>197</v>
      </c>
      <c r="G17" s="28" t="s">
        <v>198</v>
      </c>
      <c r="H17" s="28" t="s">
        <v>199</v>
      </c>
      <c r="I17" s="28" t="s">
        <v>55</v>
      </c>
      <c r="J17" s="26" t="s">
        <v>41</v>
      </c>
      <c r="K17" s="28"/>
      <c r="L17" s="28"/>
      <c r="M17" s="26" t="s">
        <v>59</v>
      </c>
    </row>
    <row r="18" ht="15.0" customHeight="1">
      <c r="A18" s="52" t="s">
        <v>203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5"/>
    </row>
    <row r="19" ht="53.25" customHeight="1">
      <c r="A19" s="26" t="s">
        <v>207</v>
      </c>
      <c r="B19" s="26" t="s">
        <v>209</v>
      </c>
      <c r="C19" s="26" t="s">
        <v>211</v>
      </c>
      <c r="D19" s="26" t="s">
        <v>212</v>
      </c>
      <c r="E19" s="26" t="s">
        <v>25</v>
      </c>
      <c r="F19" s="26" t="s">
        <v>215</v>
      </c>
      <c r="G19" s="26" t="s">
        <v>217</v>
      </c>
      <c r="H19" s="26" t="s">
        <v>218</v>
      </c>
      <c r="I19" s="26" t="s">
        <v>55</v>
      </c>
      <c r="J19" s="26" t="s">
        <v>54</v>
      </c>
      <c r="K19" s="26"/>
      <c r="L19" s="2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L1"/>
    <mergeCell ref="A2:L2"/>
    <mergeCell ref="A5:L5"/>
    <mergeCell ref="A10:L10"/>
    <mergeCell ref="A15:L15"/>
    <mergeCell ref="A18:L18"/>
  </mergeCells>
  <dataValidations>
    <dataValidation type="list" allowBlank="1" sqref="E6:E9 E11:E14 E16:E17 E19">
      <formula1>"P1,P2,P3"</formula1>
    </dataValidation>
    <dataValidation type="list" allowBlank="1" sqref="J6:J9 J11:J14 J16:J17 J19">
      <formula1>"Not Run,Pass,Fail,Blocked,Skip,N/A"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30.0"/>
    <col customWidth="1" min="4" max="4" width="26.0"/>
    <col customWidth="1" min="5" max="5" width="9.0"/>
    <col customWidth="1" min="6" max="6" width="36.0"/>
    <col customWidth="1" min="7" max="7" width="32.0"/>
    <col customWidth="1" min="8" max="8" width="48.0"/>
    <col customWidth="1" min="9" max="9" width="11.0"/>
    <col customWidth="1" min="10" max="11" width="10.0"/>
    <col customWidth="1" min="12" max="12" width="40.0"/>
    <col customWidth="1" min="13" max="13" width="55.0"/>
  </cols>
  <sheetData>
    <row r="1" ht="24.0" customHeight="1">
      <c r="A1" s="1" t="s">
        <v>246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15.0" customHeight="1">
      <c r="A2" s="10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4" ht="25.5" customHeight="1">
      <c r="A4" s="12" t="s">
        <v>10</v>
      </c>
      <c r="B4" s="12" t="s">
        <v>12</v>
      </c>
      <c r="C4" s="12" t="s">
        <v>14</v>
      </c>
      <c r="D4" s="12" t="s">
        <v>16</v>
      </c>
      <c r="E4" s="12" t="s">
        <v>17</v>
      </c>
      <c r="F4" s="12" t="s">
        <v>19</v>
      </c>
      <c r="G4" s="12" t="s">
        <v>20</v>
      </c>
      <c r="H4" s="12" t="s">
        <v>21</v>
      </c>
      <c r="I4" s="12" t="s">
        <v>23</v>
      </c>
      <c r="J4" s="12" t="s">
        <v>24</v>
      </c>
      <c r="K4" s="12" t="s">
        <v>26</v>
      </c>
      <c r="L4" s="12" t="s">
        <v>27</v>
      </c>
      <c r="M4" s="12" t="s">
        <v>29</v>
      </c>
    </row>
    <row r="5" ht="18.0" customHeight="1">
      <c r="A5" s="16" t="s">
        <v>252</v>
      </c>
      <c r="B5" s="4"/>
      <c r="C5" s="4"/>
      <c r="D5" s="4"/>
      <c r="E5" s="4"/>
      <c r="F5" s="4"/>
      <c r="G5" s="4"/>
      <c r="H5" s="4"/>
      <c r="I5" s="4"/>
      <c r="J5" s="4"/>
      <c r="K5" s="4"/>
      <c r="L5" s="5"/>
    </row>
    <row r="6" ht="30.0" customHeight="1">
      <c r="A6" s="18" t="s">
        <v>254</v>
      </c>
      <c r="B6" s="19" t="s">
        <v>42</v>
      </c>
      <c r="C6" s="21" t="s">
        <v>255</v>
      </c>
      <c r="D6" s="21" t="s">
        <v>256</v>
      </c>
      <c r="E6" s="32" t="s">
        <v>25</v>
      </c>
      <c r="F6" s="21" t="s">
        <v>257</v>
      </c>
      <c r="G6" s="21" t="s">
        <v>258</v>
      </c>
      <c r="H6" s="21" t="s">
        <v>259</v>
      </c>
      <c r="I6" s="21" t="s">
        <v>55</v>
      </c>
      <c r="J6" s="26" t="s">
        <v>41</v>
      </c>
      <c r="K6" s="21"/>
      <c r="L6" s="21"/>
      <c r="M6" s="26"/>
    </row>
    <row r="7" ht="43.5" customHeight="1">
      <c r="A7" s="27" t="s">
        <v>261</v>
      </c>
      <c r="B7" s="19" t="s">
        <v>42</v>
      </c>
      <c r="C7" s="28" t="s">
        <v>262</v>
      </c>
      <c r="D7" s="28" t="s">
        <v>256</v>
      </c>
      <c r="E7" s="30" t="s">
        <v>25</v>
      </c>
      <c r="F7" s="28" t="s">
        <v>265</v>
      </c>
      <c r="G7" s="28" t="s">
        <v>266</v>
      </c>
      <c r="H7" s="28" t="s">
        <v>267</v>
      </c>
      <c r="I7" s="28" t="s">
        <v>55</v>
      </c>
      <c r="J7" s="26" t="s">
        <v>41</v>
      </c>
      <c r="K7" s="28"/>
      <c r="L7" s="28"/>
      <c r="M7" s="26"/>
    </row>
    <row r="8" ht="43.5" customHeight="1">
      <c r="A8" s="18" t="s">
        <v>270</v>
      </c>
      <c r="B8" s="19" t="s">
        <v>38</v>
      </c>
      <c r="C8" s="21" t="s">
        <v>272</v>
      </c>
      <c r="D8" s="21" t="s">
        <v>273</v>
      </c>
      <c r="E8" s="23" t="s">
        <v>15</v>
      </c>
      <c r="F8" s="21" t="s">
        <v>274</v>
      </c>
      <c r="G8" s="21" t="s">
        <v>275</v>
      </c>
      <c r="H8" s="21" t="s">
        <v>276</v>
      </c>
      <c r="I8" s="21" t="s">
        <v>55</v>
      </c>
      <c r="J8" s="26" t="s">
        <v>41</v>
      </c>
      <c r="K8" s="21"/>
      <c r="L8" s="21"/>
      <c r="M8" s="26"/>
    </row>
    <row r="9" ht="30.0" customHeight="1">
      <c r="A9" s="27" t="s">
        <v>281</v>
      </c>
      <c r="B9" s="19" t="s">
        <v>280</v>
      </c>
      <c r="C9" s="28" t="s">
        <v>283</v>
      </c>
      <c r="D9" s="28" t="s">
        <v>256</v>
      </c>
      <c r="E9" s="30" t="s">
        <v>32</v>
      </c>
      <c r="F9" s="28" t="s">
        <v>285</v>
      </c>
      <c r="G9" s="28" t="s">
        <v>287</v>
      </c>
      <c r="H9" s="28" t="s">
        <v>289</v>
      </c>
      <c r="I9" s="28" t="s">
        <v>55</v>
      </c>
      <c r="J9" s="26" t="s">
        <v>41</v>
      </c>
      <c r="K9" s="28"/>
      <c r="L9" s="28"/>
      <c r="M9" s="26"/>
    </row>
    <row r="10" ht="18.0" customHeight="1">
      <c r="A10" s="16" t="s">
        <v>291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5"/>
    </row>
    <row r="11" ht="30.0" customHeight="1">
      <c r="A11" s="18" t="s">
        <v>293</v>
      </c>
      <c r="B11" s="19" t="s">
        <v>38</v>
      </c>
      <c r="C11" s="21" t="s">
        <v>295</v>
      </c>
      <c r="D11" s="21" t="s">
        <v>256</v>
      </c>
      <c r="E11" s="32" t="s">
        <v>25</v>
      </c>
      <c r="F11" s="21" t="s">
        <v>298</v>
      </c>
      <c r="G11" s="21" t="s">
        <v>300</v>
      </c>
      <c r="H11" s="21" t="s">
        <v>301</v>
      </c>
      <c r="I11" s="21" t="s">
        <v>55</v>
      </c>
      <c r="J11" s="26" t="s">
        <v>41</v>
      </c>
      <c r="K11" s="21"/>
      <c r="L11" s="21"/>
      <c r="M11" s="26"/>
    </row>
    <row r="12" ht="15.0" customHeight="1">
      <c r="A12" s="52" t="s">
        <v>203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5"/>
    </row>
    <row r="13" ht="53.25" customHeight="1">
      <c r="A13" s="26" t="s">
        <v>207</v>
      </c>
      <c r="B13" s="26" t="s">
        <v>209</v>
      </c>
      <c r="C13" s="26" t="s">
        <v>211</v>
      </c>
      <c r="D13" s="26" t="s">
        <v>212</v>
      </c>
      <c r="E13" s="26" t="s">
        <v>25</v>
      </c>
      <c r="F13" s="26" t="s">
        <v>215</v>
      </c>
      <c r="G13" s="26" t="s">
        <v>217</v>
      </c>
      <c r="H13" s="26" t="s">
        <v>218</v>
      </c>
      <c r="I13" s="26" t="s">
        <v>55</v>
      </c>
      <c r="J13" s="26" t="s">
        <v>54</v>
      </c>
      <c r="K13" s="26"/>
      <c r="L13" s="2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L1"/>
    <mergeCell ref="A2:L2"/>
    <mergeCell ref="A5:L5"/>
    <mergeCell ref="A10:L10"/>
    <mergeCell ref="A12:L12"/>
  </mergeCells>
  <dataValidations>
    <dataValidation type="list" allowBlank="1" sqref="E6:E9 E11 E13">
      <formula1>"P1,P2,P3"</formula1>
    </dataValidation>
    <dataValidation type="list" allowBlank="1" sqref="J6:J9 J11 J13">
      <formula1>"Not Run,Pass,Fail,Blocked,Skip,N/A"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30.0"/>
    <col customWidth="1" min="4" max="4" width="26.0"/>
    <col customWidth="1" min="5" max="5" width="9.0"/>
    <col customWidth="1" min="6" max="6" width="36.0"/>
    <col customWidth="1" min="7" max="7" width="32.0"/>
    <col customWidth="1" min="8" max="8" width="48.0"/>
    <col customWidth="1" min="9" max="9" width="11.0"/>
    <col customWidth="1" min="10" max="11" width="10.0"/>
    <col customWidth="1" min="12" max="12" width="40.0"/>
    <col customWidth="1" min="13" max="13" width="55.0"/>
  </cols>
  <sheetData>
    <row r="1" ht="24.0" customHeight="1">
      <c r="A1" s="1" t="s">
        <v>351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15.0" customHeight="1">
      <c r="A2" s="10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4" ht="25.5" customHeight="1">
      <c r="A4" s="12" t="s">
        <v>10</v>
      </c>
      <c r="B4" s="12" t="s">
        <v>12</v>
      </c>
      <c r="C4" s="12" t="s">
        <v>14</v>
      </c>
      <c r="D4" s="12" t="s">
        <v>16</v>
      </c>
      <c r="E4" s="12" t="s">
        <v>17</v>
      </c>
      <c r="F4" s="12" t="s">
        <v>19</v>
      </c>
      <c r="G4" s="12" t="s">
        <v>20</v>
      </c>
      <c r="H4" s="12" t="s">
        <v>21</v>
      </c>
      <c r="I4" s="12" t="s">
        <v>23</v>
      </c>
      <c r="J4" s="12" t="s">
        <v>24</v>
      </c>
      <c r="K4" s="12" t="s">
        <v>26</v>
      </c>
      <c r="L4" s="12" t="s">
        <v>27</v>
      </c>
      <c r="M4" s="12" t="s">
        <v>29</v>
      </c>
    </row>
    <row r="5" ht="18.0" customHeight="1">
      <c r="A5" s="16" t="s">
        <v>365</v>
      </c>
      <c r="B5" s="4"/>
      <c r="C5" s="4"/>
      <c r="D5" s="4"/>
      <c r="E5" s="4"/>
      <c r="F5" s="4"/>
      <c r="G5" s="4"/>
      <c r="H5" s="4"/>
      <c r="I5" s="4"/>
      <c r="J5" s="4"/>
      <c r="K5" s="4"/>
      <c r="L5" s="5"/>
    </row>
    <row r="6" ht="43.5" customHeight="1">
      <c r="A6" s="18" t="s">
        <v>368</v>
      </c>
      <c r="B6" s="19" t="s">
        <v>87</v>
      </c>
      <c r="C6" s="21" t="s">
        <v>369</v>
      </c>
      <c r="D6" s="21" t="s">
        <v>370</v>
      </c>
      <c r="E6" s="23" t="s">
        <v>15</v>
      </c>
      <c r="F6" s="21" t="s">
        <v>372</v>
      </c>
      <c r="G6" s="21" t="s">
        <v>373</v>
      </c>
      <c r="H6" s="21" t="s">
        <v>376</v>
      </c>
      <c r="I6" s="21" t="s">
        <v>55</v>
      </c>
      <c r="J6" s="26" t="s">
        <v>41</v>
      </c>
      <c r="K6" s="21"/>
      <c r="L6" s="21"/>
      <c r="M6" s="26" t="s">
        <v>59</v>
      </c>
    </row>
    <row r="7" ht="43.5" customHeight="1">
      <c r="A7" s="27" t="s">
        <v>379</v>
      </c>
      <c r="B7" s="19" t="s">
        <v>296</v>
      </c>
      <c r="C7" s="28" t="s">
        <v>380</v>
      </c>
      <c r="D7" s="28" t="s">
        <v>370</v>
      </c>
      <c r="E7" s="23" t="s">
        <v>15</v>
      </c>
      <c r="F7" s="28" t="s">
        <v>383</v>
      </c>
      <c r="G7" s="28" t="s">
        <v>373</v>
      </c>
      <c r="H7" s="28" t="s">
        <v>388</v>
      </c>
      <c r="I7" s="28" t="s">
        <v>55</v>
      </c>
      <c r="J7" s="26" t="s">
        <v>41</v>
      </c>
      <c r="K7" s="28"/>
      <c r="L7" s="28"/>
      <c r="M7" s="26" t="s">
        <v>59</v>
      </c>
    </row>
    <row r="8" ht="43.5" customHeight="1">
      <c r="A8" s="18" t="s">
        <v>392</v>
      </c>
      <c r="B8" s="19" t="s">
        <v>87</v>
      </c>
      <c r="C8" s="21" t="s">
        <v>395</v>
      </c>
      <c r="D8" s="21" t="s">
        <v>370</v>
      </c>
      <c r="E8" s="23" t="s">
        <v>15</v>
      </c>
      <c r="F8" s="21" t="s">
        <v>396</v>
      </c>
      <c r="G8" s="21" t="s">
        <v>373</v>
      </c>
      <c r="H8" s="21" t="s">
        <v>398</v>
      </c>
      <c r="I8" s="21" t="s">
        <v>55</v>
      </c>
      <c r="J8" s="26" t="s">
        <v>41</v>
      </c>
      <c r="K8" s="21"/>
      <c r="L8" s="21"/>
      <c r="M8" s="26" t="s">
        <v>59</v>
      </c>
    </row>
    <row r="9" ht="43.5" customHeight="1">
      <c r="A9" s="27" t="s">
        <v>405</v>
      </c>
      <c r="B9" s="19" t="s">
        <v>406</v>
      </c>
      <c r="C9" s="28" t="s">
        <v>407</v>
      </c>
      <c r="D9" s="28" t="s">
        <v>408</v>
      </c>
      <c r="E9" s="23" t="s">
        <v>15</v>
      </c>
      <c r="F9" s="28" t="s">
        <v>409</v>
      </c>
      <c r="G9" s="28" t="s">
        <v>373</v>
      </c>
      <c r="H9" s="28" t="s">
        <v>410</v>
      </c>
      <c r="I9" s="28" t="s">
        <v>55</v>
      </c>
      <c r="J9" s="26" t="s">
        <v>41</v>
      </c>
      <c r="K9" s="28"/>
      <c r="L9" s="56" t="s">
        <v>411</v>
      </c>
      <c r="M9" s="26" t="s">
        <v>413</v>
      </c>
    </row>
    <row r="10" ht="43.5" customHeight="1">
      <c r="A10" s="18" t="s">
        <v>414</v>
      </c>
      <c r="B10" s="19" t="s">
        <v>415</v>
      </c>
      <c r="C10" s="21" t="s">
        <v>416</v>
      </c>
      <c r="D10" s="21" t="s">
        <v>417</v>
      </c>
      <c r="E10" s="23" t="s">
        <v>15</v>
      </c>
      <c r="F10" s="21" t="s">
        <v>418</v>
      </c>
      <c r="G10" s="21" t="s">
        <v>373</v>
      </c>
      <c r="H10" s="21" t="s">
        <v>419</v>
      </c>
      <c r="I10" s="21" t="s">
        <v>55</v>
      </c>
      <c r="J10" s="26" t="s">
        <v>41</v>
      </c>
      <c r="K10" s="21"/>
      <c r="L10" s="21"/>
      <c r="M10" s="26" t="s">
        <v>59</v>
      </c>
    </row>
    <row r="11" ht="43.5" customHeight="1">
      <c r="A11" s="27" t="s">
        <v>423</v>
      </c>
      <c r="B11" s="19" t="s">
        <v>38</v>
      </c>
      <c r="C11" s="28" t="s">
        <v>424</v>
      </c>
      <c r="D11" s="28" t="s">
        <v>426</v>
      </c>
      <c r="E11" s="23" t="s">
        <v>15</v>
      </c>
      <c r="F11" s="28" t="s">
        <v>429</v>
      </c>
      <c r="G11" s="28" t="s">
        <v>373</v>
      </c>
      <c r="H11" s="28" t="s">
        <v>430</v>
      </c>
      <c r="I11" s="41" t="s">
        <v>56</v>
      </c>
      <c r="J11" s="26" t="s">
        <v>41</v>
      </c>
      <c r="K11" s="28"/>
      <c r="L11" s="28"/>
      <c r="M11" s="26" t="s">
        <v>59</v>
      </c>
    </row>
    <row r="12" ht="18.0" customHeight="1">
      <c r="A12" s="16" t="s">
        <v>433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5"/>
    </row>
    <row r="13" ht="57.75" customHeight="1">
      <c r="A13" s="18" t="s">
        <v>437</v>
      </c>
      <c r="B13" s="19" t="s">
        <v>42</v>
      </c>
      <c r="C13" s="21" t="s">
        <v>439</v>
      </c>
      <c r="D13" s="21" t="s">
        <v>440</v>
      </c>
      <c r="E13" s="23" t="s">
        <v>15</v>
      </c>
      <c r="F13" s="21" t="s">
        <v>441</v>
      </c>
      <c r="G13" s="21" t="s">
        <v>442</v>
      </c>
      <c r="H13" s="21" t="s">
        <v>443</v>
      </c>
      <c r="I13" s="21" t="s">
        <v>55</v>
      </c>
      <c r="J13" s="26" t="s">
        <v>41</v>
      </c>
      <c r="K13" s="21"/>
      <c r="L13" s="21"/>
      <c r="M13" s="26" t="s">
        <v>59</v>
      </c>
    </row>
    <row r="14" ht="30.0" customHeight="1">
      <c r="A14" s="27" t="s">
        <v>446</v>
      </c>
      <c r="B14" s="19" t="s">
        <v>38</v>
      </c>
      <c r="C14" s="28" t="s">
        <v>449</v>
      </c>
      <c r="D14" s="28" t="s">
        <v>69</v>
      </c>
      <c r="E14" s="23" t="s">
        <v>15</v>
      </c>
      <c r="F14" s="28" t="s">
        <v>452</v>
      </c>
      <c r="G14" s="28" t="s">
        <v>442</v>
      </c>
      <c r="H14" s="28" t="s">
        <v>454</v>
      </c>
      <c r="I14" s="41" t="s">
        <v>56</v>
      </c>
      <c r="J14" s="26" t="s">
        <v>41</v>
      </c>
      <c r="K14" s="28"/>
      <c r="L14" s="28"/>
      <c r="M14" s="26" t="s">
        <v>59</v>
      </c>
    </row>
    <row r="15" ht="43.5" customHeight="1">
      <c r="A15" s="18" t="s">
        <v>456</v>
      </c>
      <c r="B15" s="19" t="s">
        <v>457</v>
      </c>
      <c r="C15" s="21" t="s">
        <v>458</v>
      </c>
      <c r="D15" s="21" t="s">
        <v>459</v>
      </c>
      <c r="E15" s="23" t="s">
        <v>15</v>
      </c>
      <c r="F15" s="21" t="s">
        <v>461</v>
      </c>
      <c r="G15" s="21" t="s">
        <v>442</v>
      </c>
      <c r="H15" s="21" t="s">
        <v>463</v>
      </c>
      <c r="I15" s="25" t="s">
        <v>56</v>
      </c>
      <c r="J15" s="26" t="s">
        <v>41</v>
      </c>
      <c r="K15" s="21"/>
      <c r="L15" s="21" t="s">
        <v>467</v>
      </c>
      <c r="M15" s="26" t="s">
        <v>468</v>
      </c>
    </row>
    <row r="16" ht="43.5" customHeight="1">
      <c r="A16" s="27" t="s">
        <v>469</v>
      </c>
      <c r="B16" s="19" t="s">
        <v>38</v>
      </c>
      <c r="C16" s="28" t="s">
        <v>471</v>
      </c>
      <c r="D16" s="28" t="s">
        <v>472</v>
      </c>
      <c r="E16" s="23" t="s">
        <v>15</v>
      </c>
      <c r="F16" s="28" t="s">
        <v>473</v>
      </c>
      <c r="G16" s="28" t="s">
        <v>442</v>
      </c>
      <c r="H16" s="28" t="s">
        <v>475</v>
      </c>
      <c r="I16" s="41" t="s">
        <v>56</v>
      </c>
      <c r="J16" s="26" t="s">
        <v>41</v>
      </c>
      <c r="K16" s="28"/>
      <c r="L16" s="55"/>
      <c r="M16" s="26" t="s">
        <v>59</v>
      </c>
    </row>
    <row r="17" ht="57.75" customHeight="1">
      <c r="A17" s="18" t="s">
        <v>478</v>
      </c>
      <c r="B17" s="19" t="s">
        <v>480</v>
      </c>
      <c r="C17" s="21" t="s">
        <v>482</v>
      </c>
      <c r="D17" s="21" t="s">
        <v>484</v>
      </c>
      <c r="E17" s="23" t="s">
        <v>15</v>
      </c>
      <c r="F17" s="21" t="s">
        <v>485</v>
      </c>
      <c r="G17" s="21" t="s">
        <v>486</v>
      </c>
      <c r="H17" s="21" t="s">
        <v>487</v>
      </c>
      <c r="I17" s="25" t="s">
        <v>56</v>
      </c>
      <c r="J17" s="26" t="s">
        <v>41</v>
      </c>
      <c r="K17" s="21"/>
      <c r="L17" s="21"/>
      <c r="M17" s="26" t="s">
        <v>59</v>
      </c>
    </row>
    <row r="18" ht="18.0" customHeight="1">
      <c r="A18" s="16" t="s">
        <v>492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5"/>
    </row>
    <row r="19" ht="43.5" customHeight="1">
      <c r="A19" s="18" t="s">
        <v>496</v>
      </c>
      <c r="B19" s="19" t="s">
        <v>445</v>
      </c>
      <c r="C19" s="21" t="s">
        <v>497</v>
      </c>
      <c r="D19" s="21" t="s">
        <v>498</v>
      </c>
      <c r="E19" s="23" t="s">
        <v>15</v>
      </c>
      <c r="F19" s="21" t="s">
        <v>499</v>
      </c>
      <c r="G19" s="21" t="s">
        <v>500</v>
      </c>
      <c r="H19" s="21" t="s">
        <v>502</v>
      </c>
      <c r="I19" s="21" t="s">
        <v>55</v>
      </c>
      <c r="J19" s="26" t="s">
        <v>41</v>
      </c>
      <c r="K19" s="21"/>
      <c r="L19" s="21"/>
      <c r="M19" s="26" t="s">
        <v>59</v>
      </c>
    </row>
    <row r="20" ht="43.5" customHeight="1">
      <c r="A20" s="27" t="s">
        <v>504</v>
      </c>
      <c r="B20" s="19" t="s">
        <v>505</v>
      </c>
      <c r="C20" s="28" t="s">
        <v>507</v>
      </c>
      <c r="D20" s="28" t="s">
        <v>508</v>
      </c>
      <c r="E20" s="23" t="s">
        <v>15</v>
      </c>
      <c r="F20" s="28" t="s">
        <v>511</v>
      </c>
      <c r="G20" s="28" t="s">
        <v>500</v>
      </c>
      <c r="H20" s="28" t="s">
        <v>513</v>
      </c>
      <c r="I20" s="41" t="s">
        <v>56</v>
      </c>
      <c r="J20" s="26" t="s">
        <v>41</v>
      </c>
      <c r="K20" s="28"/>
      <c r="L20" s="55" t="s">
        <v>514</v>
      </c>
      <c r="M20" s="26" t="s">
        <v>516</v>
      </c>
    </row>
    <row r="21" ht="18.0" customHeight="1">
      <c r="A21" s="16" t="s">
        <v>517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</row>
    <row r="22" ht="43.5" customHeight="1">
      <c r="A22" s="18" t="s">
        <v>522</v>
      </c>
      <c r="B22" s="19" t="s">
        <v>421</v>
      </c>
      <c r="C22" s="21" t="s">
        <v>523</v>
      </c>
      <c r="D22" s="21" t="s">
        <v>524</v>
      </c>
      <c r="E22" s="23" t="s">
        <v>15</v>
      </c>
      <c r="F22" s="21" t="s">
        <v>527</v>
      </c>
      <c r="G22" s="21" t="s">
        <v>529</v>
      </c>
      <c r="H22" s="21" t="s">
        <v>530</v>
      </c>
      <c r="I22" s="21" t="s">
        <v>55</v>
      </c>
      <c r="J22" s="26" t="s">
        <v>41</v>
      </c>
      <c r="K22" s="21"/>
      <c r="L22" s="54"/>
      <c r="M22" s="26" t="s">
        <v>59</v>
      </c>
    </row>
    <row r="23" ht="57.75" customHeight="1">
      <c r="A23" s="27" t="s">
        <v>536</v>
      </c>
      <c r="B23" s="19" t="s">
        <v>415</v>
      </c>
      <c r="C23" s="28" t="s">
        <v>537</v>
      </c>
      <c r="D23" s="28" t="s">
        <v>538</v>
      </c>
      <c r="E23" s="23" t="s">
        <v>15</v>
      </c>
      <c r="F23" s="28" t="s">
        <v>540</v>
      </c>
      <c r="G23" s="28" t="s">
        <v>542</v>
      </c>
      <c r="H23" s="28" t="s">
        <v>543</v>
      </c>
      <c r="I23" s="41" t="s">
        <v>56</v>
      </c>
      <c r="J23" s="26" t="s">
        <v>41</v>
      </c>
      <c r="K23" s="28"/>
      <c r="L23" s="28"/>
      <c r="M23" s="26" t="s">
        <v>59</v>
      </c>
    </row>
    <row r="24" ht="30.0" customHeight="1">
      <c r="A24" s="18" t="s">
        <v>546</v>
      </c>
      <c r="B24" s="19" t="s">
        <v>305</v>
      </c>
      <c r="C24" s="21" t="s">
        <v>550</v>
      </c>
      <c r="D24" s="21" t="s">
        <v>551</v>
      </c>
      <c r="E24" s="23" t="s">
        <v>15</v>
      </c>
      <c r="F24" s="21" t="s">
        <v>557</v>
      </c>
      <c r="G24" s="21" t="s">
        <v>558</v>
      </c>
      <c r="H24" s="21" t="s">
        <v>560</v>
      </c>
      <c r="I24" s="25" t="s">
        <v>56</v>
      </c>
      <c r="J24" s="26" t="s">
        <v>41</v>
      </c>
      <c r="K24" s="21"/>
      <c r="L24" s="21"/>
      <c r="M24" s="26" t="s">
        <v>59</v>
      </c>
    </row>
    <row r="25" ht="30.0" customHeight="1">
      <c r="A25" s="27" t="s">
        <v>564</v>
      </c>
      <c r="B25" s="19" t="s">
        <v>280</v>
      </c>
      <c r="C25" s="28" t="s">
        <v>565</v>
      </c>
      <c r="D25" s="28" t="s">
        <v>551</v>
      </c>
      <c r="E25" s="23" t="s">
        <v>15</v>
      </c>
      <c r="F25" s="28" t="s">
        <v>567</v>
      </c>
      <c r="G25" s="28" t="s">
        <v>558</v>
      </c>
      <c r="H25" s="28" t="s">
        <v>569</v>
      </c>
      <c r="I25" s="41" t="s">
        <v>56</v>
      </c>
      <c r="J25" s="26" t="s">
        <v>41</v>
      </c>
      <c r="K25" s="28"/>
      <c r="L25" s="28"/>
      <c r="M25" s="26" t="s">
        <v>59</v>
      </c>
    </row>
    <row r="26" ht="43.5" customHeight="1">
      <c r="A26" s="18" t="s">
        <v>572</v>
      </c>
      <c r="B26" s="19" t="s">
        <v>42</v>
      </c>
      <c r="C26" s="21" t="s">
        <v>574</v>
      </c>
      <c r="D26" s="21" t="s">
        <v>576</v>
      </c>
      <c r="E26" s="23" t="s">
        <v>15</v>
      </c>
      <c r="F26" s="21" t="s">
        <v>578</v>
      </c>
      <c r="G26" s="21" t="s">
        <v>580</v>
      </c>
      <c r="H26" s="21" t="s">
        <v>581</v>
      </c>
      <c r="I26" s="21" t="s">
        <v>55</v>
      </c>
      <c r="J26" s="26" t="s">
        <v>41</v>
      </c>
      <c r="K26" s="21"/>
      <c r="L26" s="21"/>
      <c r="M26" s="26" t="s">
        <v>59</v>
      </c>
    </row>
    <row r="27" ht="43.5" customHeight="1">
      <c r="A27" s="27" t="s">
        <v>585</v>
      </c>
      <c r="B27" s="19" t="s">
        <v>505</v>
      </c>
      <c r="C27" s="28" t="s">
        <v>586</v>
      </c>
      <c r="D27" s="28" t="s">
        <v>587</v>
      </c>
      <c r="E27" s="23" t="s">
        <v>15</v>
      </c>
      <c r="F27" s="28" t="s">
        <v>588</v>
      </c>
      <c r="G27" s="28" t="s">
        <v>558</v>
      </c>
      <c r="H27" s="28" t="s">
        <v>590</v>
      </c>
      <c r="I27" s="41" t="s">
        <v>56</v>
      </c>
      <c r="J27" s="26" t="s">
        <v>41</v>
      </c>
      <c r="K27" s="28"/>
      <c r="L27" s="55"/>
      <c r="M27" s="26" t="s">
        <v>59</v>
      </c>
    </row>
    <row r="28" ht="18.0" customHeight="1">
      <c r="A28" s="16" t="s">
        <v>594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5"/>
    </row>
    <row r="29" ht="43.5" customHeight="1">
      <c r="A29" s="18" t="s">
        <v>597</v>
      </c>
      <c r="B29" s="19" t="s">
        <v>445</v>
      </c>
      <c r="C29" s="21" t="s">
        <v>600</v>
      </c>
      <c r="D29" s="21" t="s">
        <v>601</v>
      </c>
      <c r="E29" s="23" t="s">
        <v>15</v>
      </c>
      <c r="F29" s="21" t="s">
        <v>602</v>
      </c>
      <c r="G29" s="21" t="s">
        <v>603</v>
      </c>
      <c r="H29" s="21" t="s">
        <v>605</v>
      </c>
      <c r="I29" s="21" t="s">
        <v>55</v>
      </c>
      <c r="J29" s="26" t="s">
        <v>41</v>
      </c>
      <c r="K29" s="21"/>
      <c r="L29" s="54"/>
      <c r="M29" s="26" t="s">
        <v>59</v>
      </c>
    </row>
    <row r="30" ht="43.5" customHeight="1">
      <c r="A30" s="27" t="s">
        <v>610</v>
      </c>
      <c r="B30" s="19" t="s">
        <v>505</v>
      </c>
      <c r="C30" s="28" t="s">
        <v>611</v>
      </c>
      <c r="D30" s="28" t="s">
        <v>612</v>
      </c>
      <c r="E30" s="23" t="s">
        <v>15</v>
      </c>
      <c r="F30" s="28" t="s">
        <v>614</v>
      </c>
      <c r="G30" s="28" t="s">
        <v>615</v>
      </c>
      <c r="H30" s="28" t="s">
        <v>617</v>
      </c>
      <c r="I30" s="41" t="s">
        <v>56</v>
      </c>
      <c r="J30" s="26" t="s">
        <v>41</v>
      </c>
      <c r="K30" s="28"/>
      <c r="L30" s="55"/>
      <c r="M30" s="26" t="s">
        <v>59</v>
      </c>
    </row>
    <row r="31" ht="18.0" customHeight="1">
      <c r="A31" s="16" t="s">
        <v>621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5"/>
    </row>
    <row r="32" ht="43.5" customHeight="1">
      <c r="A32" s="18" t="s">
        <v>629</v>
      </c>
      <c r="B32" s="19" t="s">
        <v>42</v>
      </c>
      <c r="C32" s="21" t="s">
        <v>631</v>
      </c>
      <c r="D32" s="21" t="s">
        <v>633</v>
      </c>
      <c r="E32" s="23" t="s">
        <v>15</v>
      </c>
      <c r="F32" s="21" t="s">
        <v>637</v>
      </c>
      <c r="G32" s="21" t="s">
        <v>639</v>
      </c>
      <c r="H32" s="21" t="s">
        <v>642</v>
      </c>
      <c r="I32" s="21" t="s">
        <v>55</v>
      </c>
      <c r="J32" s="26" t="s">
        <v>41</v>
      </c>
      <c r="K32" s="21"/>
      <c r="L32" s="54"/>
      <c r="M32" s="26" t="s">
        <v>59</v>
      </c>
    </row>
    <row r="33" ht="43.5" customHeight="1">
      <c r="A33" s="27" t="s">
        <v>645</v>
      </c>
      <c r="B33" s="19" t="s">
        <v>647</v>
      </c>
      <c r="C33" s="28" t="s">
        <v>648</v>
      </c>
      <c r="D33" s="28" t="s">
        <v>650</v>
      </c>
      <c r="E33" s="23" t="s">
        <v>15</v>
      </c>
      <c r="F33" s="28" t="s">
        <v>653</v>
      </c>
      <c r="G33" s="28" t="s">
        <v>654</v>
      </c>
      <c r="H33" s="28" t="s">
        <v>655</v>
      </c>
      <c r="I33" s="41" t="s">
        <v>56</v>
      </c>
      <c r="J33" s="26" t="s">
        <v>41</v>
      </c>
      <c r="K33" s="28"/>
      <c r="L33" s="28"/>
      <c r="M33" s="26" t="s">
        <v>59</v>
      </c>
    </row>
    <row r="34" ht="43.5" customHeight="1">
      <c r="A34" s="18" t="s">
        <v>657</v>
      </c>
      <c r="B34" s="19" t="s">
        <v>38</v>
      </c>
      <c r="C34" s="21" t="s">
        <v>659</v>
      </c>
      <c r="D34" s="21" t="s">
        <v>660</v>
      </c>
      <c r="E34" s="23" t="s">
        <v>15</v>
      </c>
      <c r="F34" s="21" t="s">
        <v>662</v>
      </c>
      <c r="G34" s="21" t="s">
        <v>664</v>
      </c>
      <c r="H34" s="21" t="s">
        <v>665</v>
      </c>
      <c r="I34" s="25" t="s">
        <v>56</v>
      </c>
      <c r="J34" s="26" t="s">
        <v>41</v>
      </c>
      <c r="K34" s="21"/>
      <c r="L34" s="21" t="s">
        <v>667</v>
      </c>
      <c r="M34" s="26" t="s">
        <v>668</v>
      </c>
    </row>
    <row r="35" ht="30.0" customHeight="1">
      <c r="A35" s="27" t="s">
        <v>669</v>
      </c>
      <c r="B35" s="19" t="s">
        <v>38</v>
      </c>
      <c r="C35" s="28" t="s">
        <v>671</v>
      </c>
      <c r="D35" s="28" t="s">
        <v>673</v>
      </c>
      <c r="E35" s="23" t="s">
        <v>15</v>
      </c>
      <c r="F35" s="28" t="s">
        <v>675</v>
      </c>
      <c r="G35" s="28" t="s">
        <v>677</v>
      </c>
      <c r="H35" s="28" t="s">
        <v>680</v>
      </c>
      <c r="I35" s="41" t="s">
        <v>56</v>
      </c>
      <c r="J35" s="26" t="s">
        <v>41</v>
      </c>
      <c r="K35" s="28"/>
      <c r="L35" s="28"/>
      <c r="M35" s="26" t="s">
        <v>59</v>
      </c>
    </row>
    <row r="36" ht="43.5" customHeight="1">
      <c r="A36" s="18" t="s">
        <v>683</v>
      </c>
      <c r="B36" s="19" t="s">
        <v>42</v>
      </c>
      <c r="C36" s="21" t="s">
        <v>686</v>
      </c>
      <c r="D36" s="21" t="s">
        <v>687</v>
      </c>
      <c r="E36" s="23" t="s">
        <v>15</v>
      </c>
      <c r="F36" s="21" t="s">
        <v>691</v>
      </c>
      <c r="G36" s="21" t="s">
        <v>677</v>
      </c>
      <c r="H36" s="21" t="s">
        <v>692</v>
      </c>
      <c r="I36" s="21" t="s">
        <v>55</v>
      </c>
      <c r="J36" s="26" t="s">
        <v>41</v>
      </c>
      <c r="K36" s="21"/>
      <c r="L36" s="21"/>
      <c r="M36" s="26" t="s">
        <v>59</v>
      </c>
    </row>
    <row r="37" ht="30.0" customHeight="1">
      <c r="A37" s="27" t="s">
        <v>693</v>
      </c>
      <c r="B37" s="19" t="s">
        <v>87</v>
      </c>
      <c r="C37" s="28" t="s">
        <v>694</v>
      </c>
      <c r="D37" s="28" t="s">
        <v>695</v>
      </c>
      <c r="E37" s="23" t="s">
        <v>15</v>
      </c>
      <c r="F37" s="28" t="s">
        <v>653</v>
      </c>
      <c r="G37" s="28" t="s">
        <v>697</v>
      </c>
      <c r="H37" s="28" t="s">
        <v>698</v>
      </c>
      <c r="I37" s="28" t="s">
        <v>55</v>
      </c>
      <c r="J37" s="26" t="s">
        <v>41</v>
      </c>
      <c r="K37" s="28"/>
      <c r="L37" s="28"/>
      <c r="M37" s="26" t="s">
        <v>59</v>
      </c>
    </row>
    <row r="38" ht="18.0" customHeight="1">
      <c r="A38" s="16" t="s">
        <v>699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5"/>
    </row>
    <row r="39" ht="43.5" customHeight="1">
      <c r="A39" s="18" t="s">
        <v>700</v>
      </c>
      <c r="B39" s="19" t="s">
        <v>305</v>
      </c>
      <c r="C39" s="21" t="s">
        <v>701</v>
      </c>
      <c r="D39" s="21" t="s">
        <v>702</v>
      </c>
      <c r="E39" s="23" t="s">
        <v>15</v>
      </c>
      <c r="F39" s="21" t="s">
        <v>703</v>
      </c>
      <c r="G39" s="21" t="s">
        <v>704</v>
      </c>
      <c r="H39" s="21" t="s">
        <v>705</v>
      </c>
      <c r="I39" s="25" t="s">
        <v>56</v>
      </c>
      <c r="J39" s="26" t="s">
        <v>41</v>
      </c>
      <c r="K39" s="21"/>
      <c r="L39" s="54"/>
      <c r="M39" s="26" t="s">
        <v>59</v>
      </c>
    </row>
    <row r="40" ht="46.5" customHeight="1">
      <c r="A40" s="27" t="s">
        <v>706</v>
      </c>
      <c r="B40" s="19" t="s">
        <v>87</v>
      </c>
      <c r="C40" s="28" t="s">
        <v>707</v>
      </c>
      <c r="D40" s="28" t="s">
        <v>702</v>
      </c>
      <c r="E40" s="23" t="s">
        <v>15</v>
      </c>
      <c r="F40" s="28" t="s">
        <v>708</v>
      </c>
      <c r="G40" s="28" t="s">
        <v>704</v>
      </c>
      <c r="H40" s="28" t="s">
        <v>709</v>
      </c>
      <c r="I40" s="28" t="s">
        <v>56</v>
      </c>
      <c r="J40" s="26" t="s">
        <v>41</v>
      </c>
      <c r="K40" s="28"/>
      <c r="L40" s="55"/>
      <c r="M40" s="26" t="s">
        <v>59</v>
      </c>
    </row>
    <row r="41" ht="30.0" customHeight="1">
      <c r="A41" s="18" t="s">
        <v>710</v>
      </c>
      <c r="B41" s="19" t="s">
        <v>505</v>
      </c>
      <c r="C41" s="21" t="s">
        <v>711</v>
      </c>
      <c r="D41" s="21" t="s">
        <v>702</v>
      </c>
      <c r="E41" s="32" t="s">
        <v>25</v>
      </c>
      <c r="F41" s="21" t="s">
        <v>712</v>
      </c>
      <c r="G41" s="21" t="s">
        <v>704</v>
      </c>
      <c r="H41" s="21" t="s">
        <v>713</v>
      </c>
      <c r="I41" s="25" t="s">
        <v>56</v>
      </c>
      <c r="J41" s="26" t="s">
        <v>41</v>
      </c>
      <c r="K41" s="21"/>
      <c r="L41" s="54"/>
      <c r="M41" s="26" t="s">
        <v>59</v>
      </c>
    </row>
    <row r="42" ht="18.0" customHeight="1">
      <c r="A42" s="16" t="s">
        <v>714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5"/>
    </row>
    <row r="43" ht="30.0" customHeight="1">
      <c r="A43" s="18" t="s">
        <v>715</v>
      </c>
      <c r="B43" s="19" t="s">
        <v>38</v>
      </c>
      <c r="C43" s="21" t="s">
        <v>716</v>
      </c>
      <c r="D43" s="21" t="s">
        <v>183</v>
      </c>
      <c r="E43" s="23" t="s">
        <v>15</v>
      </c>
      <c r="F43" s="21" t="s">
        <v>717</v>
      </c>
      <c r="G43" s="21" t="s">
        <v>718</v>
      </c>
      <c r="H43" s="21" t="s">
        <v>719</v>
      </c>
      <c r="I43" s="25" t="s">
        <v>56</v>
      </c>
      <c r="J43" s="26" t="s">
        <v>41</v>
      </c>
      <c r="K43" s="21"/>
      <c r="L43" s="21"/>
      <c r="M43" s="26" t="s">
        <v>59</v>
      </c>
    </row>
    <row r="44" ht="30.0" customHeight="1">
      <c r="A44" s="27" t="s">
        <v>720</v>
      </c>
      <c r="B44" s="19" t="s">
        <v>42</v>
      </c>
      <c r="C44" s="28" t="s">
        <v>721</v>
      </c>
      <c r="D44" s="28" t="s">
        <v>69</v>
      </c>
      <c r="E44" s="30" t="s">
        <v>25</v>
      </c>
      <c r="F44" s="28" t="s">
        <v>722</v>
      </c>
      <c r="G44" s="28" t="s">
        <v>723</v>
      </c>
      <c r="H44" s="28" t="s">
        <v>724</v>
      </c>
      <c r="I44" s="28" t="s">
        <v>55</v>
      </c>
      <c r="J44" s="26" t="s">
        <v>41</v>
      </c>
      <c r="K44" s="28"/>
      <c r="L44" s="28"/>
      <c r="M44" s="26" t="s">
        <v>59</v>
      </c>
    </row>
    <row r="45" ht="18.0" customHeight="1">
      <c r="A45" s="16" t="s">
        <v>725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5"/>
    </row>
    <row r="46" ht="43.5" customHeight="1">
      <c r="A46" s="18" t="s">
        <v>726</v>
      </c>
      <c r="B46" s="19" t="s">
        <v>445</v>
      </c>
      <c r="C46" s="21" t="s">
        <v>727</v>
      </c>
      <c r="D46" s="21" t="s">
        <v>728</v>
      </c>
      <c r="E46" s="32" t="s">
        <v>25</v>
      </c>
      <c r="F46" s="21" t="s">
        <v>729</v>
      </c>
      <c r="G46" s="21" t="s">
        <v>730</v>
      </c>
      <c r="H46" s="21" t="s">
        <v>731</v>
      </c>
      <c r="I46" s="21" t="s">
        <v>55</v>
      </c>
      <c r="J46" s="26" t="s">
        <v>41</v>
      </c>
      <c r="K46" s="21"/>
      <c r="L46" s="54"/>
      <c r="M46" s="26" t="s">
        <v>59</v>
      </c>
    </row>
    <row r="47" ht="40.5" customHeight="1">
      <c r="A47" s="27" t="s">
        <v>733</v>
      </c>
      <c r="B47" s="19" t="s">
        <v>38</v>
      </c>
      <c r="C47" s="28" t="s">
        <v>734</v>
      </c>
      <c r="D47" s="28" t="s">
        <v>735</v>
      </c>
      <c r="E47" s="30" t="s">
        <v>25</v>
      </c>
      <c r="F47" s="28" t="s">
        <v>736</v>
      </c>
      <c r="G47" s="28" t="s">
        <v>737</v>
      </c>
      <c r="H47" s="28" t="s">
        <v>738</v>
      </c>
      <c r="I47" s="41" t="s">
        <v>56</v>
      </c>
      <c r="J47" s="26" t="s">
        <v>41</v>
      </c>
      <c r="K47" s="28"/>
      <c r="L47" s="28" t="s">
        <v>739</v>
      </c>
      <c r="M47" s="26" t="s">
        <v>740</v>
      </c>
    </row>
    <row r="48" ht="43.5" customHeight="1">
      <c r="A48" s="18" t="s">
        <v>741</v>
      </c>
      <c r="B48" s="19" t="s">
        <v>445</v>
      </c>
      <c r="C48" s="21" t="s">
        <v>742</v>
      </c>
      <c r="D48" s="21" t="s">
        <v>728</v>
      </c>
      <c r="E48" s="32" t="s">
        <v>25</v>
      </c>
      <c r="F48" s="21" t="s">
        <v>743</v>
      </c>
      <c r="G48" s="21" t="s">
        <v>744</v>
      </c>
      <c r="H48" s="21" t="s">
        <v>745</v>
      </c>
      <c r="I48" s="21" t="s">
        <v>55</v>
      </c>
      <c r="J48" s="26" t="s">
        <v>41</v>
      </c>
      <c r="K48" s="21"/>
      <c r="L48" s="21"/>
      <c r="M48" s="26" t="s">
        <v>59</v>
      </c>
    </row>
    <row r="49" ht="30.0" customHeight="1">
      <c r="A49" s="27" t="s">
        <v>746</v>
      </c>
      <c r="B49" s="19" t="s">
        <v>505</v>
      </c>
      <c r="C49" s="28" t="s">
        <v>747</v>
      </c>
      <c r="D49" s="28" t="s">
        <v>748</v>
      </c>
      <c r="E49" s="23" t="s">
        <v>15</v>
      </c>
      <c r="F49" s="28" t="s">
        <v>750</v>
      </c>
      <c r="G49" s="28" t="s">
        <v>751</v>
      </c>
      <c r="H49" s="28" t="s">
        <v>752</v>
      </c>
      <c r="I49" s="41" t="s">
        <v>56</v>
      </c>
      <c r="J49" s="26" t="s">
        <v>41</v>
      </c>
      <c r="K49" s="28"/>
      <c r="L49" s="28"/>
      <c r="M49" s="26" t="s">
        <v>59</v>
      </c>
    </row>
    <row r="50" ht="43.5" customHeight="1">
      <c r="A50" s="18" t="s">
        <v>753</v>
      </c>
      <c r="B50" s="19" t="s">
        <v>445</v>
      </c>
      <c r="C50" s="21" t="s">
        <v>754</v>
      </c>
      <c r="D50" s="21" t="s">
        <v>728</v>
      </c>
      <c r="E50" s="23" t="s">
        <v>15</v>
      </c>
      <c r="F50" s="21" t="s">
        <v>755</v>
      </c>
      <c r="G50" s="21" t="s">
        <v>756</v>
      </c>
      <c r="H50" s="21" t="s">
        <v>757</v>
      </c>
      <c r="I50" s="21" t="s">
        <v>55</v>
      </c>
      <c r="J50" s="26" t="s">
        <v>41</v>
      </c>
      <c r="K50" s="21"/>
      <c r="L50" s="21"/>
      <c r="M50" s="26" t="s">
        <v>59</v>
      </c>
    </row>
    <row r="51" ht="18.0" customHeight="1">
      <c r="A51" s="16" t="s">
        <v>758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5"/>
    </row>
    <row r="52" ht="46.5" customHeight="1">
      <c r="A52" s="18" t="s">
        <v>759</v>
      </c>
      <c r="B52" s="19" t="s">
        <v>445</v>
      </c>
      <c r="C52" s="21" t="s">
        <v>760</v>
      </c>
      <c r="D52" s="21" t="s">
        <v>761</v>
      </c>
      <c r="E52" s="23" t="s">
        <v>15</v>
      </c>
      <c r="F52" s="21" t="s">
        <v>762</v>
      </c>
      <c r="G52" s="21" t="s">
        <v>763</v>
      </c>
      <c r="H52" s="21" t="s">
        <v>764</v>
      </c>
      <c r="I52" s="21" t="s">
        <v>55</v>
      </c>
      <c r="J52" s="26" t="s">
        <v>41</v>
      </c>
      <c r="K52" s="21"/>
      <c r="L52" s="54"/>
      <c r="M52" s="26" t="s">
        <v>59</v>
      </c>
    </row>
    <row r="53" ht="43.5" customHeight="1">
      <c r="A53" s="27" t="s">
        <v>765</v>
      </c>
      <c r="B53" s="19" t="s">
        <v>38</v>
      </c>
      <c r="C53" s="28" t="s">
        <v>766</v>
      </c>
      <c r="D53" s="28" t="s">
        <v>767</v>
      </c>
      <c r="E53" s="23" t="s">
        <v>15</v>
      </c>
      <c r="F53" s="28" t="s">
        <v>768</v>
      </c>
      <c r="G53" s="28" t="s">
        <v>769</v>
      </c>
      <c r="H53" s="28" t="s">
        <v>770</v>
      </c>
      <c r="I53" s="41" t="s">
        <v>56</v>
      </c>
      <c r="J53" s="26" t="s">
        <v>41</v>
      </c>
      <c r="K53" s="28"/>
      <c r="L53" s="28"/>
      <c r="M53" s="26" t="s">
        <v>59</v>
      </c>
    </row>
    <row r="54" ht="43.5" customHeight="1">
      <c r="A54" s="18" t="s">
        <v>771</v>
      </c>
      <c r="B54" s="19" t="s">
        <v>772</v>
      </c>
      <c r="C54" s="21" t="s">
        <v>773</v>
      </c>
      <c r="D54" s="21" t="s">
        <v>774</v>
      </c>
      <c r="E54" s="23" t="s">
        <v>15</v>
      </c>
      <c r="F54" s="21" t="s">
        <v>775</v>
      </c>
      <c r="G54" s="21" t="s">
        <v>776</v>
      </c>
      <c r="H54" s="21" t="s">
        <v>777</v>
      </c>
      <c r="I54" s="25" t="s">
        <v>56</v>
      </c>
      <c r="J54" s="26" t="s">
        <v>41</v>
      </c>
      <c r="K54" s="21"/>
      <c r="L54" s="21"/>
      <c r="M54" s="26" t="s">
        <v>59</v>
      </c>
    </row>
    <row r="55" ht="30.0" customHeight="1">
      <c r="A55" s="27" t="s">
        <v>778</v>
      </c>
      <c r="B55" s="19" t="s">
        <v>38</v>
      </c>
      <c r="C55" s="28" t="s">
        <v>779</v>
      </c>
      <c r="D55" s="28" t="s">
        <v>780</v>
      </c>
      <c r="E55" s="30" t="s">
        <v>25</v>
      </c>
      <c r="F55" s="28" t="s">
        <v>662</v>
      </c>
      <c r="G55" s="28" t="s">
        <v>781</v>
      </c>
      <c r="H55" s="28" t="s">
        <v>783</v>
      </c>
      <c r="I55" s="41" t="s">
        <v>56</v>
      </c>
      <c r="J55" s="26" t="s">
        <v>41</v>
      </c>
      <c r="K55" s="28"/>
      <c r="L55" s="28"/>
      <c r="M55" s="26" t="s">
        <v>59</v>
      </c>
    </row>
    <row r="56" ht="18.0" customHeight="1">
      <c r="A56" s="16" t="s">
        <v>784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5"/>
    </row>
    <row r="57" ht="33.75" customHeight="1">
      <c r="A57" s="18" t="s">
        <v>785</v>
      </c>
      <c r="B57" s="19" t="s">
        <v>445</v>
      </c>
      <c r="C57" s="21" t="s">
        <v>786</v>
      </c>
      <c r="D57" s="21" t="s">
        <v>787</v>
      </c>
      <c r="E57" s="23" t="s">
        <v>15</v>
      </c>
      <c r="F57" s="21" t="s">
        <v>788</v>
      </c>
      <c r="G57" s="21" t="s">
        <v>789</v>
      </c>
      <c r="H57" s="21" t="s">
        <v>790</v>
      </c>
      <c r="I57" s="21" t="s">
        <v>55</v>
      </c>
      <c r="J57" s="26" t="s">
        <v>41</v>
      </c>
      <c r="K57" s="21"/>
      <c r="L57" s="54"/>
      <c r="M57" s="26" t="s">
        <v>59</v>
      </c>
    </row>
    <row r="58" ht="58.5" customHeight="1">
      <c r="A58" s="27" t="s">
        <v>791</v>
      </c>
      <c r="B58" s="19" t="s">
        <v>38</v>
      </c>
      <c r="C58" s="28" t="s">
        <v>792</v>
      </c>
      <c r="D58" s="28" t="s">
        <v>793</v>
      </c>
      <c r="E58" s="23" t="s">
        <v>15</v>
      </c>
      <c r="F58" s="28" t="s">
        <v>795</v>
      </c>
      <c r="G58" s="28" t="s">
        <v>796</v>
      </c>
      <c r="H58" s="28" t="s">
        <v>797</v>
      </c>
      <c r="I58" s="41" t="s">
        <v>56</v>
      </c>
      <c r="J58" s="26" t="s">
        <v>41</v>
      </c>
      <c r="K58" s="28"/>
      <c r="L58" s="56" t="s">
        <v>801</v>
      </c>
      <c r="M58" s="26" t="s">
        <v>802</v>
      </c>
    </row>
    <row r="59" ht="59.25" customHeight="1">
      <c r="A59" s="18" t="s">
        <v>803</v>
      </c>
      <c r="B59" s="19" t="s">
        <v>505</v>
      </c>
      <c r="C59" s="21" t="s">
        <v>806</v>
      </c>
      <c r="D59" s="21" t="s">
        <v>808</v>
      </c>
      <c r="E59" s="23" t="s">
        <v>15</v>
      </c>
      <c r="F59" s="21" t="s">
        <v>809</v>
      </c>
      <c r="G59" s="21" t="s">
        <v>810</v>
      </c>
      <c r="H59" s="21" t="s">
        <v>811</v>
      </c>
      <c r="I59" s="25" t="s">
        <v>56</v>
      </c>
      <c r="J59" s="26" t="s">
        <v>41</v>
      </c>
      <c r="K59" s="21"/>
      <c r="L59" s="53" t="s">
        <v>814</v>
      </c>
      <c r="M59" s="26" t="s">
        <v>816</v>
      </c>
    </row>
    <row r="60" ht="46.5" customHeight="1">
      <c r="A60" s="27" t="s">
        <v>818</v>
      </c>
      <c r="B60" s="19" t="s">
        <v>445</v>
      </c>
      <c r="C60" s="28" t="s">
        <v>820</v>
      </c>
      <c r="D60" s="28" t="s">
        <v>822</v>
      </c>
      <c r="E60" s="23" t="s">
        <v>15</v>
      </c>
      <c r="F60" s="28" t="s">
        <v>824</v>
      </c>
      <c r="G60" s="28" t="s">
        <v>825</v>
      </c>
      <c r="H60" s="28" t="s">
        <v>826</v>
      </c>
      <c r="I60" s="28" t="s">
        <v>55</v>
      </c>
      <c r="J60" s="26" t="s">
        <v>41</v>
      </c>
      <c r="K60" s="28"/>
      <c r="L60" s="55"/>
      <c r="M60" s="26" t="s">
        <v>59</v>
      </c>
    </row>
    <row r="61" ht="18.0" customHeight="1">
      <c r="A61" s="16" t="s">
        <v>829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5"/>
    </row>
    <row r="62" ht="43.5" customHeight="1">
      <c r="A62" s="18" t="s">
        <v>835</v>
      </c>
      <c r="B62" s="19" t="s">
        <v>42</v>
      </c>
      <c r="C62" s="21" t="s">
        <v>836</v>
      </c>
      <c r="D62" s="21" t="s">
        <v>837</v>
      </c>
      <c r="E62" s="23" t="s">
        <v>15</v>
      </c>
      <c r="F62" s="21" t="s">
        <v>841</v>
      </c>
      <c r="G62" s="21" t="s">
        <v>843</v>
      </c>
      <c r="H62" s="21" t="s">
        <v>844</v>
      </c>
      <c r="I62" s="21" t="s">
        <v>55</v>
      </c>
      <c r="J62" s="26" t="s">
        <v>41</v>
      </c>
      <c r="K62" s="21"/>
      <c r="L62" s="54"/>
      <c r="M62" s="26" t="s">
        <v>59</v>
      </c>
    </row>
    <row r="63" ht="36.0" customHeight="1">
      <c r="A63" s="27" t="s">
        <v>851</v>
      </c>
      <c r="B63" s="19" t="s">
        <v>38</v>
      </c>
      <c r="C63" s="28" t="s">
        <v>855</v>
      </c>
      <c r="D63" s="28" t="s">
        <v>857</v>
      </c>
      <c r="E63" s="23" t="s">
        <v>15</v>
      </c>
      <c r="F63" s="28" t="s">
        <v>531</v>
      </c>
      <c r="G63" s="28" t="s">
        <v>860</v>
      </c>
      <c r="H63" s="28" t="s">
        <v>862</v>
      </c>
      <c r="I63" s="41" t="s">
        <v>56</v>
      </c>
      <c r="J63" s="26" t="s">
        <v>41</v>
      </c>
      <c r="K63" s="28"/>
      <c r="L63" s="28" t="s">
        <v>869</v>
      </c>
      <c r="M63" s="26" t="s">
        <v>872</v>
      </c>
    </row>
    <row r="64" ht="18.0" customHeight="1">
      <c r="A64" s="16" t="s">
        <v>874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5"/>
    </row>
    <row r="65" ht="43.5" customHeight="1">
      <c r="A65" s="18" t="s">
        <v>879</v>
      </c>
      <c r="B65" s="19" t="s">
        <v>42</v>
      </c>
      <c r="C65" s="21" t="s">
        <v>882</v>
      </c>
      <c r="D65" s="21" t="s">
        <v>883</v>
      </c>
      <c r="E65" s="23" t="s">
        <v>15</v>
      </c>
      <c r="F65" s="21" t="s">
        <v>884</v>
      </c>
      <c r="G65" s="21" t="s">
        <v>886</v>
      </c>
      <c r="H65" s="21" t="s">
        <v>888</v>
      </c>
      <c r="I65" s="21" t="s">
        <v>55</v>
      </c>
      <c r="J65" s="26" t="s">
        <v>41</v>
      </c>
      <c r="K65" s="21"/>
      <c r="L65" s="54"/>
      <c r="M65" s="26" t="s">
        <v>59</v>
      </c>
    </row>
    <row r="66" ht="43.5" customHeight="1">
      <c r="A66" s="27" t="s">
        <v>896</v>
      </c>
      <c r="B66" s="19" t="s">
        <v>647</v>
      </c>
      <c r="C66" s="28" t="s">
        <v>898</v>
      </c>
      <c r="D66" s="28" t="s">
        <v>900</v>
      </c>
      <c r="E66" s="23" t="s">
        <v>15</v>
      </c>
      <c r="F66" s="28" t="s">
        <v>904</v>
      </c>
      <c r="G66" s="28" t="s">
        <v>905</v>
      </c>
      <c r="H66" s="28" t="s">
        <v>907</v>
      </c>
      <c r="I66" s="41" t="s">
        <v>56</v>
      </c>
      <c r="J66" s="26" t="s">
        <v>41</v>
      </c>
      <c r="K66" s="28"/>
      <c r="L66" s="55"/>
      <c r="M66" s="26" t="s">
        <v>59</v>
      </c>
    </row>
    <row r="67" ht="30.0" customHeight="1">
      <c r="A67" s="18" t="s">
        <v>914</v>
      </c>
      <c r="B67" s="19" t="s">
        <v>38</v>
      </c>
      <c r="C67" s="21" t="s">
        <v>916</v>
      </c>
      <c r="D67" s="21" t="s">
        <v>918</v>
      </c>
      <c r="E67" s="23" t="s">
        <v>15</v>
      </c>
      <c r="F67" s="21" t="s">
        <v>919</v>
      </c>
      <c r="G67" s="21" t="s">
        <v>921</v>
      </c>
      <c r="H67" s="21" t="s">
        <v>922</v>
      </c>
      <c r="I67" s="25" t="s">
        <v>56</v>
      </c>
      <c r="J67" s="26" t="s">
        <v>41</v>
      </c>
      <c r="K67" s="21"/>
      <c r="L67" s="54"/>
      <c r="M67" s="26" t="s">
        <v>59</v>
      </c>
    </row>
    <row r="68" ht="30.0" customHeight="1">
      <c r="A68" s="27" t="s">
        <v>932</v>
      </c>
      <c r="B68" s="19" t="s">
        <v>38</v>
      </c>
      <c r="C68" s="28" t="s">
        <v>934</v>
      </c>
      <c r="D68" s="28" t="s">
        <v>857</v>
      </c>
      <c r="E68" s="23" t="s">
        <v>15</v>
      </c>
      <c r="F68" s="28" t="s">
        <v>935</v>
      </c>
      <c r="G68" s="28" t="s">
        <v>936</v>
      </c>
      <c r="H68" s="28" t="s">
        <v>939</v>
      </c>
      <c r="I68" s="41" t="s">
        <v>56</v>
      </c>
      <c r="J68" s="26" t="s">
        <v>41</v>
      </c>
      <c r="K68" s="28"/>
      <c r="L68" s="55"/>
      <c r="M68" s="26" t="s">
        <v>940</v>
      </c>
    </row>
    <row r="69" ht="30.0" customHeight="1">
      <c r="A69" s="18" t="s">
        <v>941</v>
      </c>
      <c r="B69" s="19" t="s">
        <v>445</v>
      </c>
      <c r="C69" s="21" t="s">
        <v>944</v>
      </c>
      <c r="D69" s="21" t="s">
        <v>883</v>
      </c>
      <c r="E69" s="23" t="s">
        <v>15</v>
      </c>
      <c r="F69" s="21" t="s">
        <v>948</v>
      </c>
      <c r="G69" s="21" t="s">
        <v>949</v>
      </c>
      <c r="H69" s="21" t="s">
        <v>952</v>
      </c>
      <c r="I69" s="21" t="s">
        <v>55</v>
      </c>
      <c r="J69" s="26" t="s">
        <v>41</v>
      </c>
      <c r="K69" s="21"/>
      <c r="L69" s="54"/>
      <c r="M69" s="26" t="s">
        <v>59</v>
      </c>
    </row>
    <row r="70" ht="30.0" customHeight="1">
      <c r="A70" s="27" t="s">
        <v>957</v>
      </c>
      <c r="B70" s="19" t="s">
        <v>38</v>
      </c>
      <c r="C70" s="28" t="s">
        <v>958</v>
      </c>
      <c r="D70" s="28" t="s">
        <v>857</v>
      </c>
      <c r="E70" s="23" t="s">
        <v>15</v>
      </c>
      <c r="F70" s="28" t="s">
        <v>962</v>
      </c>
      <c r="G70" s="28" t="s">
        <v>964</v>
      </c>
      <c r="H70" s="28" t="s">
        <v>966</v>
      </c>
      <c r="I70" s="41" t="s">
        <v>56</v>
      </c>
      <c r="J70" s="26" t="s">
        <v>41</v>
      </c>
      <c r="K70" s="28"/>
      <c r="L70" s="55" t="s">
        <v>971</v>
      </c>
      <c r="M70" s="26" t="s">
        <v>974</v>
      </c>
    </row>
    <row r="71" ht="30.0" customHeight="1">
      <c r="A71" s="18" t="s">
        <v>976</v>
      </c>
      <c r="B71" s="19" t="s">
        <v>505</v>
      </c>
      <c r="C71" s="21" t="s">
        <v>977</v>
      </c>
      <c r="D71" s="21" t="s">
        <v>978</v>
      </c>
      <c r="E71" s="23" t="s">
        <v>15</v>
      </c>
      <c r="F71" s="21" t="s">
        <v>979</v>
      </c>
      <c r="G71" s="21" t="s">
        <v>980</v>
      </c>
      <c r="H71" s="21" t="s">
        <v>981</v>
      </c>
      <c r="I71" s="25" t="s">
        <v>56</v>
      </c>
      <c r="J71" s="26" t="s">
        <v>41</v>
      </c>
      <c r="K71" s="21"/>
      <c r="L71" s="54"/>
      <c r="M71" s="26" t="s">
        <v>59</v>
      </c>
    </row>
    <row r="72" ht="43.5" customHeight="1">
      <c r="A72" s="27" t="s">
        <v>983</v>
      </c>
      <c r="B72" s="19" t="s">
        <v>42</v>
      </c>
      <c r="C72" s="28" t="s">
        <v>987</v>
      </c>
      <c r="D72" s="28" t="s">
        <v>988</v>
      </c>
      <c r="E72" s="23" t="s">
        <v>15</v>
      </c>
      <c r="F72" s="28" t="s">
        <v>991</v>
      </c>
      <c r="G72" s="28" t="s">
        <v>992</v>
      </c>
      <c r="H72" s="28" t="s">
        <v>993</v>
      </c>
      <c r="I72" s="28" t="s">
        <v>55</v>
      </c>
      <c r="J72" s="26" t="s">
        <v>41</v>
      </c>
      <c r="K72" s="28"/>
      <c r="L72" s="55"/>
      <c r="M72" s="26" t="s">
        <v>59</v>
      </c>
    </row>
    <row r="73" ht="43.5" customHeight="1">
      <c r="A73" s="18" t="s">
        <v>994</v>
      </c>
      <c r="B73" s="19" t="s">
        <v>42</v>
      </c>
      <c r="C73" s="21" t="s">
        <v>995</v>
      </c>
      <c r="D73" s="21" t="s">
        <v>996</v>
      </c>
      <c r="E73" s="23" t="s">
        <v>15</v>
      </c>
      <c r="F73" s="21" t="s">
        <v>997</v>
      </c>
      <c r="G73" s="21" t="s">
        <v>998</v>
      </c>
      <c r="H73" s="21" t="s">
        <v>999</v>
      </c>
      <c r="I73" s="21" t="s">
        <v>55</v>
      </c>
      <c r="J73" s="26" t="s">
        <v>41</v>
      </c>
      <c r="K73" s="21"/>
      <c r="L73" s="54"/>
      <c r="M73" s="26" t="s">
        <v>59</v>
      </c>
    </row>
    <row r="74" ht="18.0" customHeight="1">
      <c r="A74" s="16" t="s">
        <v>1000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5"/>
    </row>
    <row r="75" ht="30.0" customHeight="1">
      <c r="A75" s="18" t="s">
        <v>1001</v>
      </c>
      <c r="B75" s="19" t="s">
        <v>42</v>
      </c>
      <c r="C75" s="21" t="s">
        <v>1002</v>
      </c>
      <c r="D75" s="21" t="s">
        <v>918</v>
      </c>
      <c r="E75" s="32" t="s">
        <v>25</v>
      </c>
      <c r="F75" s="21" t="s">
        <v>1003</v>
      </c>
      <c r="G75" s="21" t="s">
        <v>1004</v>
      </c>
      <c r="H75" s="21" t="s">
        <v>1005</v>
      </c>
      <c r="I75" s="21" t="s">
        <v>55</v>
      </c>
      <c r="J75" s="26" t="s">
        <v>41</v>
      </c>
      <c r="K75" s="21"/>
      <c r="L75" s="54"/>
      <c r="M75" s="26" t="s">
        <v>59</v>
      </c>
    </row>
    <row r="76" ht="30.0" customHeight="1">
      <c r="A76" s="27" t="s">
        <v>1006</v>
      </c>
      <c r="B76" s="19" t="s">
        <v>42</v>
      </c>
      <c r="C76" s="28" t="s">
        <v>1007</v>
      </c>
      <c r="D76" s="28" t="s">
        <v>1008</v>
      </c>
      <c r="E76" s="30" t="s">
        <v>25</v>
      </c>
      <c r="F76" s="28" t="s">
        <v>1009</v>
      </c>
      <c r="G76" s="28" t="s">
        <v>1010</v>
      </c>
      <c r="H76" s="28" t="s">
        <v>1011</v>
      </c>
      <c r="I76" s="28" t="s">
        <v>55</v>
      </c>
      <c r="J76" s="26" t="s">
        <v>41</v>
      </c>
      <c r="K76" s="28"/>
      <c r="L76" s="55"/>
      <c r="M76" s="26" t="s">
        <v>59</v>
      </c>
    </row>
    <row r="77" ht="43.5" customHeight="1">
      <c r="A77" s="18" t="s">
        <v>1013</v>
      </c>
      <c r="B77" s="19" t="s">
        <v>42</v>
      </c>
      <c r="C77" s="21" t="s">
        <v>1014</v>
      </c>
      <c r="D77" s="21" t="s">
        <v>1015</v>
      </c>
      <c r="E77" s="23" t="s">
        <v>15</v>
      </c>
      <c r="F77" s="21" t="s">
        <v>1016</v>
      </c>
      <c r="G77" s="21" t="s">
        <v>1017</v>
      </c>
      <c r="H77" s="21" t="s">
        <v>1018</v>
      </c>
      <c r="I77" s="21" t="s">
        <v>55</v>
      </c>
      <c r="J77" s="26" t="s">
        <v>41</v>
      </c>
      <c r="K77" s="21"/>
      <c r="L77" s="54"/>
      <c r="M77" s="26" t="s">
        <v>59</v>
      </c>
    </row>
    <row r="78" ht="30.0" customHeight="1">
      <c r="A78" s="27" t="s">
        <v>1019</v>
      </c>
      <c r="B78" s="19" t="s">
        <v>38</v>
      </c>
      <c r="C78" s="28" t="s">
        <v>1020</v>
      </c>
      <c r="D78" s="28" t="s">
        <v>1021</v>
      </c>
      <c r="E78" s="30" t="s">
        <v>25</v>
      </c>
      <c r="F78" s="28" t="s">
        <v>1022</v>
      </c>
      <c r="G78" s="28" t="s">
        <v>1023</v>
      </c>
      <c r="H78" s="28" t="s">
        <v>1024</v>
      </c>
      <c r="I78" s="41" t="s">
        <v>56</v>
      </c>
      <c r="J78" s="26" t="s">
        <v>41</v>
      </c>
      <c r="K78" s="28"/>
      <c r="L78" s="55"/>
      <c r="M78" s="26" t="s">
        <v>59</v>
      </c>
    </row>
    <row r="79" ht="18.0" customHeight="1">
      <c r="A79" s="16" t="s">
        <v>1025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5"/>
    </row>
    <row r="80" ht="30.0" customHeight="1">
      <c r="A80" s="18" t="s">
        <v>1026</v>
      </c>
      <c r="B80" s="19" t="s">
        <v>38</v>
      </c>
      <c r="C80" s="21" t="s">
        <v>1027</v>
      </c>
      <c r="D80" s="21" t="s">
        <v>183</v>
      </c>
      <c r="E80" s="23" t="s">
        <v>15</v>
      </c>
      <c r="F80" s="21" t="s">
        <v>1028</v>
      </c>
      <c r="G80" s="21" t="s">
        <v>1029</v>
      </c>
      <c r="H80" s="21" t="s">
        <v>1030</v>
      </c>
      <c r="I80" s="25" t="s">
        <v>56</v>
      </c>
      <c r="J80" s="26" t="s">
        <v>41</v>
      </c>
      <c r="K80" s="21"/>
      <c r="L80" s="54"/>
      <c r="M80" s="26" t="s">
        <v>59</v>
      </c>
    </row>
    <row r="81" ht="30.0" customHeight="1">
      <c r="A81" s="27" t="s">
        <v>1032</v>
      </c>
      <c r="B81" s="19" t="s">
        <v>38</v>
      </c>
      <c r="C81" s="28" t="s">
        <v>1033</v>
      </c>
      <c r="D81" s="28" t="s">
        <v>183</v>
      </c>
      <c r="E81" s="23" t="s">
        <v>15</v>
      </c>
      <c r="F81" s="28" t="s">
        <v>1028</v>
      </c>
      <c r="G81" s="28" t="s">
        <v>1034</v>
      </c>
      <c r="H81" s="28" t="s">
        <v>1035</v>
      </c>
      <c r="I81" s="41" t="s">
        <v>56</v>
      </c>
      <c r="J81" s="26" t="s">
        <v>41</v>
      </c>
      <c r="K81" s="28"/>
      <c r="L81" s="55"/>
      <c r="M81" s="26" t="s">
        <v>59</v>
      </c>
    </row>
    <row r="82" ht="30.0" customHeight="1">
      <c r="A82" s="18" t="s">
        <v>1036</v>
      </c>
      <c r="B82" s="19" t="s">
        <v>42</v>
      </c>
      <c r="C82" s="21" t="s">
        <v>1037</v>
      </c>
      <c r="D82" s="21" t="s">
        <v>1038</v>
      </c>
      <c r="E82" s="32" t="s">
        <v>25</v>
      </c>
      <c r="F82" s="21" t="s">
        <v>1028</v>
      </c>
      <c r="G82" s="21" t="s">
        <v>1039</v>
      </c>
      <c r="H82" s="21" t="s">
        <v>1041</v>
      </c>
      <c r="I82" s="21" t="s">
        <v>55</v>
      </c>
      <c r="J82" s="26" t="s">
        <v>41</v>
      </c>
      <c r="K82" s="21"/>
      <c r="L82" s="54"/>
      <c r="M82" s="26" t="s">
        <v>59</v>
      </c>
    </row>
    <row r="83" ht="30.0" customHeight="1">
      <c r="A83" s="27" t="s">
        <v>1042</v>
      </c>
      <c r="B83" s="19" t="s">
        <v>38</v>
      </c>
      <c r="C83" s="28" t="s">
        <v>1043</v>
      </c>
      <c r="D83" s="28" t="s">
        <v>1044</v>
      </c>
      <c r="E83" s="23" t="s">
        <v>15</v>
      </c>
      <c r="F83" s="28" t="s">
        <v>1045</v>
      </c>
      <c r="G83" s="28" t="s">
        <v>1046</v>
      </c>
      <c r="H83" s="28" t="s">
        <v>1047</v>
      </c>
      <c r="I83" s="41" t="s">
        <v>56</v>
      </c>
      <c r="J83" s="26" t="s">
        <v>41</v>
      </c>
      <c r="K83" s="28"/>
      <c r="L83" s="55"/>
      <c r="M83" s="26" t="s">
        <v>59</v>
      </c>
    </row>
    <row r="84" ht="30.0" customHeight="1">
      <c r="A84" s="18" t="s">
        <v>1048</v>
      </c>
      <c r="B84" s="19" t="s">
        <v>42</v>
      </c>
      <c r="C84" s="21" t="s">
        <v>1049</v>
      </c>
      <c r="D84" s="21" t="s">
        <v>1050</v>
      </c>
      <c r="E84" s="23" t="s">
        <v>15</v>
      </c>
      <c r="F84" s="21" t="s">
        <v>1051</v>
      </c>
      <c r="G84" s="21" t="s">
        <v>1052</v>
      </c>
      <c r="H84" s="21" t="s">
        <v>1053</v>
      </c>
      <c r="I84" s="21" t="s">
        <v>55</v>
      </c>
      <c r="J84" s="26" t="s">
        <v>41</v>
      </c>
      <c r="K84" s="21"/>
      <c r="L84" s="54"/>
      <c r="M84" s="26" t="s">
        <v>59</v>
      </c>
    </row>
    <row r="85" ht="30.0" customHeight="1">
      <c r="A85" s="27" t="s">
        <v>1054</v>
      </c>
      <c r="B85" s="19" t="s">
        <v>42</v>
      </c>
      <c r="C85" s="28" t="s">
        <v>1055</v>
      </c>
      <c r="D85" s="28" t="s">
        <v>1056</v>
      </c>
      <c r="E85" s="30" t="s">
        <v>25</v>
      </c>
      <c r="F85" s="28" t="s">
        <v>1051</v>
      </c>
      <c r="G85" s="28" t="s">
        <v>1057</v>
      </c>
      <c r="H85" s="28" t="s">
        <v>1058</v>
      </c>
      <c r="I85" s="28" t="s">
        <v>55</v>
      </c>
      <c r="J85" s="26" t="s">
        <v>41</v>
      </c>
      <c r="K85" s="28"/>
      <c r="L85" s="55"/>
      <c r="M85" s="26" t="s">
        <v>59</v>
      </c>
    </row>
    <row r="86" ht="18.0" customHeight="1">
      <c r="A86" s="16" t="s">
        <v>1059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5"/>
    </row>
    <row r="87" ht="43.5" customHeight="1">
      <c r="A87" s="18" t="s">
        <v>1060</v>
      </c>
      <c r="B87" s="19" t="s">
        <v>42</v>
      </c>
      <c r="C87" s="21" t="s">
        <v>1061</v>
      </c>
      <c r="D87" s="21" t="s">
        <v>1062</v>
      </c>
      <c r="E87" s="23" t="s">
        <v>15</v>
      </c>
      <c r="F87" s="21" t="s">
        <v>1063</v>
      </c>
      <c r="G87" s="21" t="s">
        <v>1064</v>
      </c>
      <c r="H87" s="21" t="s">
        <v>1065</v>
      </c>
      <c r="I87" s="21" t="s">
        <v>55</v>
      </c>
      <c r="J87" s="26" t="s">
        <v>41</v>
      </c>
      <c r="K87" s="21"/>
      <c r="L87" s="54"/>
      <c r="M87" s="26" t="s">
        <v>1066</v>
      </c>
    </row>
    <row r="88" ht="30.0" customHeight="1">
      <c r="A88" s="27" t="s">
        <v>1067</v>
      </c>
      <c r="B88" s="19" t="s">
        <v>38</v>
      </c>
      <c r="C88" s="28" t="s">
        <v>1068</v>
      </c>
      <c r="D88" s="28" t="s">
        <v>1069</v>
      </c>
      <c r="E88" s="30" t="s">
        <v>25</v>
      </c>
      <c r="F88" s="28" t="s">
        <v>1070</v>
      </c>
      <c r="G88" s="28" t="s">
        <v>1071</v>
      </c>
      <c r="H88" s="28" t="s">
        <v>1072</v>
      </c>
      <c r="I88" s="41" t="s">
        <v>56</v>
      </c>
      <c r="J88" s="26" t="s">
        <v>41</v>
      </c>
      <c r="K88" s="28"/>
      <c r="L88" s="55"/>
      <c r="M88" s="26" t="s">
        <v>59</v>
      </c>
    </row>
    <row r="89" ht="30.0" customHeight="1">
      <c r="A89" s="18" t="s">
        <v>1073</v>
      </c>
      <c r="B89" s="19" t="s">
        <v>42</v>
      </c>
      <c r="C89" s="21" t="s">
        <v>1074</v>
      </c>
      <c r="D89" s="21" t="s">
        <v>1056</v>
      </c>
      <c r="E89" s="32" t="s">
        <v>25</v>
      </c>
      <c r="F89" s="21" t="s">
        <v>1075</v>
      </c>
      <c r="G89" s="21" t="s">
        <v>1076</v>
      </c>
      <c r="H89" s="21" t="s">
        <v>1077</v>
      </c>
      <c r="I89" s="21" t="s">
        <v>55</v>
      </c>
      <c r="J89" s="26" t="s">
        <v>41</v>
      </c>
      <c r="K89" s="21"/>
      <c r="L89" s="54"/>
      <c r="M89" s="26" t="s">
        <v>59</v>
      </c>
    </row>
    <row r="90" ht="30.0" customHeight="1">
      <c r="A90" s="27" t="s">
        <v>1078</v>
      </c>
      <c r="B90" s="19" t="s">
        <v>42</v>
      </c>
      <c r="C90" s="28" t="s">
        <v>1079</v>
      </c>
      <c r="D90" s="28" t="s">
        <v>1081</v>
      </c>
      <c r="E90" s="23" t="s">
        <v>15</v>
      </c>
      <c r="F90" s="28" t="s">
        <v>1082</v>
      </c>
      <c r="G90" s="28" t="s">
        <v>1083</v>
      </c>
      <c r="H90" s="28" t="s">
        <v>1084</v>
      </c>
      <c r="I90" s="28" t="s">
        <v>55</v>
      </c>
      <c r="J90" s="26" t="s">
        <v>41</v>
      </c>
      <c r="K90" s="28"/>
      <c r="L90" s="55"/>
      <c r="M90" s="26" t="s">
        <v>59</v>
      </c>
    </row>
    <row r="91" ht="30.0" customHeight="1">
      <c r="A91" s="18" t="s">
        <v>1085</v>
      </c>
      <c r="B91" s="19" t="s">
        <v>38</v>
      </c>
      <c r="C91" s="21" t="s">
        <v>1086</v>
      </c>
      <c r="D91" s="21" t="s">
        <v>1087</v>
      </c>
      <c r="E91" s="23" t="s">
        <v>15</v>
      </c>
      <c r="F91" s="21" t="s">
        <v>1088</v>
      </c>
      <c r="G91" s="21" t="s">
        <v>1089</v>
      </c>
      <c r="H91" s="21" t="s">
        <v>1090</v>
      </c>
      <c r="I91" s="25" t="s">
        <v>56</v>
      </c>
      <c r="J91" s="26" t="s">
        <v>41</v>
      </c>
      <c r="K91" s="21"/>
      <c r="L91" s="54" t="s">
        <v>1091</v>
      </c>
      <c r="M91" s="26" t="s">
        <v>1092</v>
      </c>
    </row>
    <row r="92" ht="15.0" customHeight="1">
      <c r="A92" s="52" t="s">
        <v>203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5"/>
    </row>
    <row r="93" ht="53.25" customHeight="1">
      <c r="A93" s="26" t="s">
        <v>207</v>
      </c>
      <c r="B93" s="26" t="s">
        <v>209</v>
      </c>
      <c r="C93" s="26" t="s">
        <v>211</v>
      </c>
      <c r="D93" s="26" t="s">
        <v>212</v>
      </c>
      <c r="E93" s="26" t="s">
        <v>25</v>
      </c>
      <c r="F93" s="26" t="s">
        <v>215</v>
      </c>
      <c r="G93" s="26" t="s">
        <v>217</v>
      </c>
      <c r="H93" s="26" t="s">
        <v>218</v>
      </c>
      <c r="I93" s="26" t="s">
        <v>55</v>
      </c>
      <c r="J93" s="26" t="s">
        <v>54</v>
      </c>
      <c r="K93" s="26"/>
      <c r="L93" s="26"/>
    </row>
    <row r="94" ht="15.75" customHeight="1"/>
    <row r="95" ht="15.0" customHeight="1">
      <c r="A95" s="16" t="s">
        <v>1093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5"/>
    </row>
    <row r="96" ht="46.5" customHeight="1">
      <c r="A96" s="18" t="s">
        <v>1095</v>
      </c>
      <c r="B96" s="19" t="s">
        <v>312</v>
      </c>
      <c r="C96" s="21" t="s">
        <v>1096</v>
      </c>
      <c r="D96" s="21" t="s">
        <v>1097</v>
      </c>
      <c r="E96" s="23" t="s">
        <v>15</v>
      </c>
      <c r="F96" s="21" t="s">
        <v>1098</v>
      </c>
      <c r="G96" s="21" t="s">
        <v>825</v>
      </c>
      <c r="H96" s="21" t="s">
        <v>1100</v>
      </c>
      <c r="I96" s="25" t="s">
        <v>56</v>
      </c>
      <c r="J96" s="26" t="s">
        <v>41</v>
      </c>
      <c r="K96" s="21"/>
      <c r="L96" s="54"/>
      <c r="M96" s="26" t="s">
        <v>59</v>
      </c>
    </row>
    <row r="97" ht="46.5" customHeight="1">
      <c r="A97" s="27" t="s">
        <v>1102</v>
      </c>
      <c r="B97" s="19" t="s">
        <v>38</v>
      </c>
      <c r="C97" s="28" t="s">
        <v>1103</v>
      </c>
      <c r="D97" s="28" t="s">
        <v>1104</v>
      </c>
      <c r="E97" s="23" t="s">
        <v>15</v>
      </c>
      <c r="F97" s="28" t="s">
        <v>1105</v>
      </c>
      <c r="G97" s="28" t="s">
        <v>1106</v>
      </c>
      <c r="H97" s="28" t="s">
        <v>1107</v>
      </c>
      <c r="I97" s="41" t="s">
        <v>56</v>
      </c>
      <c r="J97" s="26" t="s">
        <v>41</v>
      </c>
      <c r="K97" s="28"/>
      <c r="L97" s="55"/>
      <c r="M97" s="26" t="s">
        <v>1109</v>
      </c>
    </row>
    <row r="98" ht="15.75" customHeight="1"/>
    <row r="99" ht="15.75" customHeight="1">
      <c r="A99" s="16" t="s">
        <v>1111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5"/>
    </row>
    <row r="100" ht="46.5" customHeight="1">
      <c r="A100" s="18" t="s">
        <v>1115</v>
      </c>
      <c r="B100" s="19" t="s">
        <v>1117</v>
      </c>
      <c r="C100" s="21" t="s">
        <v>1119</v>
      </c>
      <c r="D100" s="21" t="s">
        <v>1121</v>
      </c>
      <c r="E100" s="23" t="s">
        <v>15</v>
      </c>
      <c r="F100" s="21" t="s">
        <v>1122</v>
      </c>
      <c r="G100" s="21" t="s">
        <v>529</v>
      </c>
      <c r="H100" s="21" t="s">
        <v>1123</v>
      </c>
      <c r="I100" s="25" t="s">
        <v>56</v>
      </c>
      <c r="J100" s="26" t="s">
        <v>41</v>
      </c>
      <c r="K100" s="21"/>
      <c r="L100" s="54" t="s">
        <v>1127</v>
      </c>
      <c r="M100" s="26" t="s">
        <v>1130</v>
      </c>
    </row>
    <row r="101" ht="46.5" customHeight="1">
      <c r="A101" s="27" t="s">
        <v>1132</v>
      </c>
      <c r="B101" s="19" t="s">
        <v>305</v>
      </c>
      <c r="C101" s="28" t="s">
        <v>1134</v>
      </c>
      <c r="D101" s="28" t="s">
        <v>1136</v>
      </c>
      <c r="E101" s="23" t="s">
        <v>15</v>
      </c>
      <c r="F101" s="28" t="s">
        <v>1139</v>
      </c>
      <c r="G101" s="28" t="s">
        <v>529</v>
      </c>
      <c r="H101" s="28" t="s">
        <v>1140</v>
      </c>
      <c r="I101" s="41" t="s">
        <v>56</v>
      </c>
      <c r="J101" s="26" t="s">
        <v>41</v>
      </c>
      <c r="K101" s="28"/>
      <c r="L101" s="55" t="s">
        <v>1142</v>
      </c>
      <c r="M101" s="26" t="s">
        <v>1143</v>
      </c>
    </row>
    <row r="102" ht="46.5" customHeight="1">
      <c r="A102" s="18" t="s">
        <v>1145</v>
      </c>
      <c r="B102" s="19" t="s">
        <v>42</v>
      </c>
      <c r="C102" s="21" t="s">
        <v>1147</v>
      </c>
      <c r="D102" s="21" t="s">
        <v>1150</v>
      </c>
      <c r="E102" s="23" t="s">
        <v>15</v>
      </c>
      <c r="F102" s="21" t="s">
        <v>1153</v>
      </c>
      <c r="G102" s="21" t="s">
        <v>529</v>
      </c>
      <c r="H102" s="21" t="s">
        <v>1156</v>
      </c>
      <c r="I102" s="21" t="s">
        <v>55</v>
      </c>
      <c r="J102" s="26" t="s">
        <v>41</v>
      </c>
      <c r="K102" s="21"/>
      <c r="L102" s="54"/>
      <c r="M102" s="26" t="s">
        <v>59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L1"/>
    <mergeCell ref="A2:L2"/>
    <mergeCell ref="A5:L5"/>
    <mergeCell ref="A12:L12"/>
    <mergeCell ref="A18:L18"/>
    <mergeCell ref="A21:L21"/>
    <mergeCell ref="A28:L28"/>
    <mergeCell ref="A64:L64"/>
    <mergeCell ref="A74:L74"/>
    <mergeCell ref="A79:L79"/>
    <mergeCell ref="A86:L86"/>
    <mergeCell ref="A92:L92"/>
    <mergeCell ref="A95:L95"/>
    <mergeCell ref="A99:L99"/>
    <mergeCell ref="A31:L31"/>
    <mergeCell ref="A38:L38"/>
    <mergeCell ref="A42:L42"/>
    <mergeCell ref="A45:L45"/>
    <mergeCell ref="A51:L51"/>
    <mergeCell ref="A56:L56"/>
    <mergeCell ref="A61:L61"/>
  </mergeCells>
  <dataValidations>
    <dataValidation type="list" allowBlank="1" sqref="E6:E11 E13:E17 E19:E20 E22:E27 E29:E30 E32:E37 E39:E41 E43:E44 E46:E50 E52:E55 E57:E60 E62:E63 E65:E73 E75:E78 E80:E85 E87:E91 E93 E96:E97 E100:E102">
      <formula1>"P1,P2,P3"</formula1>
    </dataValidation>
    <dataValidation type="list" allowBlank="1" sqref="J6:J11 J13:J17 J19:J20 J22:J27 J29:J30 J32:J37 J39:J41 J43:J44 J46:J50 J52:J55 J57:J60 J62:J63 J65:J73 J75:J78 J80:J85 J87:J91 J93 J96:J97 J100:J102">
      <formula1>"Not Run,Pass,Fail,Blocked,Skip,N/A"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30.0"/>
    <col customWidth="1" min="4" max="4" width="26.0"/>
    <col customWidth="1" min="5" max="5" width="9.0"/>
    <col customWidth="1" min="6" max="6" width="36.0"/>
    <col customWidth="1" min="7" max="7" width="32.0"/>
    <col customWidth="1" min="8" max="8" width="48.0"/>
    <col customWidth="1" min="9" max="9" width="11.0"/>
    <col customWidth="1" min="10" max="11" width="10.0"/>
    <col customWidth="1" min="12" max="12" width="40.0"/>
    <col customWidth="1" min="13" max="13" width="55.0"/>
  </cols>
  <sheetData>
    <row r="1" ht="24.0" customHeight="1">
      <c r="A1" s="1" t="s">
        <v>397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15.0" customHeight="1">
      <c r="A2" s="10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4" ht="25.5" customHeight="1">
      <c r="A4" s="12" t="s">
        <v>10</v>
      </c>
      <c r="B4" s="12" t="s">
        <v>12</v>
      </c>
      <c r="C4" s="12" t="s">
        <v>14</v>
      </c>
      <c r="D4" s="12" t="s">
        <v>16</v>
      </c>
      <c r="E4" s="12" t="s">
        <v>17</v>
      </c>
      <c r="F4" s="12" t="s">
        <v>19</v>
      </c>
      <c r="G4" s="12" t="s">
        <v>20</v>
      </c>
      <c r="H4" s="12" t="s">
        <v>21</v>
      </c>
      <c r="I4" s="12" t="s">
        <v>23</v>
      </c>
      <c r="J4" s="12" t="s">
        <v>24</v>
      </c>
      <c r="K4" s="12" t="s">
        <v>26</v>
      </c>
      <c r="L4" s="12" t="s">
        <v>27</v>
      </c>
      <c r="M4" s="12" t="s">
        <v>29</v>
      </c>
    </row>
    <row r="5" ht="18.0" customHeight="1">
      <c r="A5" s="16" t="s">
        <v>412</v>
      </c>
      <c r="B5" s="4"/>
      <c r="C5" s="4"/>
      <c r="D5" s="4"/>
      <c r="E5" s="4"/>
      <c r="F5" s="4"/>
      <c r="G5" s="4"/>
      <c r="H5" s="4"/>
      <c r="I5" s="4"/>
      <c r="J5" s="4"/>
      <c r="K5" s="4"/>
      <c r="L5" s="5"/>
    </row>
    <row r="6" ht="43.5" customHeight="1">
      <c r="A6" s="18" t="s">
        <v>420</v>
      </c>
      <c r="B6" s="19" t="s">
        <v>421</v>
      </c>
      <c r="C6" s="21" t="s">
        <v>422</v>
      </c>
      <c r="D6" s="21" t="s">
        <v>417</v>
      </c>
      <c r="E6" s="23" t="s">
        <v>15</v>
      </c>
      <c r="F6" s="21" t="s">
        <v>425</v>
      </c>
      <c r="G6" s="21" t="s">
        <v>427</v>
      </c>
      <c r="H6" s="21" t="s">
        <v>428</v>
      </c>
      <c r="I6" s="21" t="s">
        <v>55</v>
      </c>
      <c r="J6" s="26" t="s">
        <v>41</v>
      </c>
      <c r="K6" s="21"/>
      <c r="L6" s="21"/>
      <c r="M6" s="26" t="s">
        <v>59</v>
      </c>
    </row>
    <row r="7" ht="30.0" customHeight="1">
      <c r="A7" s="27" t="s">
        <v>431</v>
      </c>
      <c r="B7" s="19" t="s">
        <v>415</v>
      </c>
      <c r="C7" s="28" t="s">
        <v>432</v>
      </c>
      <c r="D7" s="28" t="s">
        <v>426</v>
      </c>
      <c r="E7" s="23" t="s">
        <v>15</v>
      </c>
      <c r="F7" s="28" t="s">
        <v>434</v>
      </c>
      <c r="G7" s="28" t="s">
        <v>427</v>
      </c>
      <c r="H7" s="28" t="s">
        <v>435</v>
      </c>
      <c r="I7" s="41" t="s">
        <v>56</v>
      </c>
      <c r="J7" s="26" t="s">
        <v>41</v>
      </c>
      <c r="K7" s="28"/>
      <c r="L7" s="28"/>
      <c r="M7" s="26" t="s">
        <v>59</v>
      </c>
    </row>
    <row r="8" ht="18.0" customHeight="1">
      <c r="A8" s="16" t="s">
        <v>438</v>
      </c>
      <c r="B8" s="4"/>
      <c r="C8" s="4"/>
      <c r="D8" s="4"/>
      <c r="E8" s="4"/>
      <c r="F8" s="4"/>
      <c r="G8" s="4"/>
      <c r="H8" s="4"/>
      <c r="I8" s="4"/>
      <c r="J8" s="4"/>
      <c r="K8" s="4"/>
      <c r="L8" s="5"/>
    </row>
    <row r="9" ht="43.5" customHeight="1">
      <c r="A9" s="18" t="s">
        <v>444</v>
      </c>
      <c r="B9" s="19" t="s">
        <v>445</v>
      </c>
      <c r="C9" s="21" t="s">
        <v>447</v>
      </c>
      <c r="D9" s="21" t="s">
        <v>448</v>
      </c>
      <c r="E9" s="23" t="s">
        <v>15</v>
      </c>
      <c r="F9" s="21" t="s">
        <v>450</v>
      </c>
      <c r="G9" s="21" t="s">
        <v>451</v>
      </c>
      <c r="H9" s="21" t="s">
        <v>453</v>
      </c>
      <c r="I9" s="21" t="s">
        <v>55</v>
      </c>
      <c r="J9" s="26" t="s">
        <v>41</v>
      </c>
      <c r="K9" s="21"/>
      <c r="L9" s="21"/>
      <c r="M9" s="26" t="s">
        <v>59</v>
      </c>
    </row>
    <row r="10" ht="30.0" customHeight="1">
      <c r="A10" s="27" t="s">
        <v>455</v>
      </c>
      <c r="B10" s="19" t="s">
        <v>38</v>
      </c>
      <c r="C10" s="28" t="s">
        <v>460</v>
      </c>
      <c r="D10" s="28" t="s">
        <v>462</v>
      </c>
      <c r="E10" s="23" t="s">
        <v>15</v>
      </c>
      <c r="F10" s="28" t="s">
        <v>464</v>
      </c>
      <c r="G10" s="28" t="s">
        <v>451</v>
      </c>
      <c r="H10" s="28" t="s">
        <v>466</v>
      </c>
      <c r="I10" s="41" t="s">
        <v>56</v>
      </c>
      <c r="J10" s="26" t="s">
        <v>41</v>
      </c>
      <c r="K10" s="28"/>
      <c r="L10" s="28"/>
      <c r="M10" s="26" t="s">
        <v>59</v>
      </c>
    </row>
    <row r="11" ht="18.0" customHeight="1">
      <c r="A11" s="16" t="s">
        <v>470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</row>
    <row r="12" ht="43.5" customHeight="1">
      <c r="A12" s="18" t="s">
        <v>474</v>
      </c>
      <c r="B12" s="19" t="s">
        <v>445</v>
      </c>
      <c r="C12" s="21" t="s">
        <v>476</v>
      </c>
      <c r="D12" s="21" t="s">
        <v>477</v>
      </c>
      <c r="E12" s="23" t="s">
        <v>15</v>
      </c>
      <c r="F12" s="21" t="s">
        <v>479</v>
      </c>
      <c r="G12" s="21" t="s">
        <v>481</v>
      </c>
      <c r="H12" s="21" t="s">
        <v>483</v>
      </c>
      <c r="I12" s="21" t="s">
        <v>55</v>
      </c>
      <c r="J12" s="26" t="s">
        <v>41</v>
      </c>
      <c r="K12" s="21"/>
      <c r="L12" s="21"/>
      <c r="M12" s="26" t="s">
        <v>59</v>
      </c>
    </row>
    <row r="13" ht="30.0" customHeight="1">
      <c r="A13" s="27" t="s">
        <v>488</v>
      </c>
      <c r="B13" s="19" t="s">
        <v>38</v>
      </c>
      <c r="C13" s="28" t="s">
        <v>490</v>
      </c>
      <c r="D13" s="28" t="s">
        <v>462</v>
      </c>
      <c r="E13" s="23" t="s">
        <v>15</v>
      </c>
      <c r="F13" s="28" t="s">
        <v>493</v>
      </c>
      <c r="G13" s="28" t="s">
        <v>494</v>
      </c>
      <c r="H13" s="28" t="s">
        <v>495</v>
      </c>
      <c r="I13" s="41" t="s">
        <v>56</v>
      </c>
      <c r="J13" s="26" t="s">
        <v>41</v>
      </c>
      <c r="K13" s="28"/>
      <c r="L13" s="28"/>
      <c r="M13" s="26" t="s">
        <v>59</v>
      </c>
    </row>
    <row r="14" ht="18.0" customHeight="1">
      <c r="A14" s="16" t="s">
        <v>501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5"/>
    </row>
    <row r="15" ht="43.5" customHeight="1">
      <c r="A15" s="18" t="s">
        <v>503</v>
      </c>
      <c r="B15" s="19" t="s">
        <v>445</v>
      </c>
      <c r="C15" s="21" t="s">
        <v>506</v>
      </c>
      <c r="D15" s="21" t="s">
        <v>448</v>
      </c>
      <c r="E15" s="23" t="s">
        <v>15</v>
      </c>
      <c r="F15" s="21" t="s">
        <v>509</v>
      </c>
      <c r="G15" s="21" t="s">
        <v>510</v>
      </c>
      <c r="H15" s="21" t="s">
        <v>512</v>
      </c>
      <c r="I15" s="21" t="s">
        <v>55</v>
      </c>
      <c r="J15" s="26" t="s">
        <v>41</v>
      </c>
      <c r="K15" s="21"/>
      <c r="L15" s="21"/>
      <c r="M15" s="26" t="s">
        <v>59</v>
      </c>
    </row>
    <row r="16" ht="30.0" customHeight="1">
      <c r="A16" s="27" t="s">
        <v>515</v>
      </c>
      <c r="B16" s="19" t="s">
        <v>445</v>
      </c>
      <c r="C16" s="28" t="s">
        <v>518</v>
      </c>
      <c r="D16" s="28" t="s">
        <v>448</v>
      </c>
      <c r="E16" s="23" t="s">
        <v>15</v>
      </c>
      <c r="F16" s="28" t="s">
        <v>519</v>
      </c>
      <c r="G16" s="28" t="s">
        <v>520</v>
      </c>
      <c r="H16" s="28" t="s">
        <v>521</v>
      </c>
      <c r="I16" s="28" t="s">
        <v>55</v>
      </c>
      <c r="J16" s="26" t="s">
        <v>41</v>
      </c>
      <c r="K16" s="28"/>
      <c r="L16" s="28"/>
      <c r="M16" s="26" t="s">
        <v>59</v>
      </c>
    </row>
    <row r="17" ht="30.0" customHeight="1">
      <c r="A17" s="18" t="s">
        <v>525</v>
      </c>
      <c r="B17" s="19" t="s">
        <v>38</v>
      </c>
      <c r="C17" s="21" t="s">
        <v>526</v>
      </c>
      <c r="D17" s="21" t="s">
        <v>528</v>
      </c>
      <c r="E17" s="23" t="s">
        <v>15</v>
      </c>
      <c r="F17" s="21" t="s">
        <v>531</v>
      </c>
      <c r="G17" s="21" t="s">
        <v>532</v>
      </c>
      <c r="H17" s="21" t="s">
        <v>533</v>
      </c>
      <c r="I17" s="25" t="s">
        <v>56</v>
      </c>
      <c r="J17" s="26" t="s">
        <v>41</v>
      </c>
      <c r="K17" s="21"/>
      <c r="L17" s="21" t="s">
        <v>535</v>
      </c>
      <c r="M17" s="26" t="s">
        <v>539</v>
      </c>
    </row>
    <row r="18" ht="18.0" customHeight="1">
      <c r="A18" s="16" t="s">
        <v>541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5"/>
    </row>
    <row r="19" ht="43.5" customHeight="1">
      <c r="A19" s="18" t="s">
        <v>544</v>
      </c>
      <c r="B19" s="19" t="s">
        <v>445</v>
      </c>
      <c r="C19" s="21" t="s">
        <v>547</v>
      </c>
      <c r="D19" s="21" t="s">
        <v>549</v>
      </c>
      <c r="E19" s="23" t="s">
        <v>15</v>
      </c>
      <c r="F19" s="21" t="s">
        <v>552</v>
      </c>
      <c r="G19" s="21" t="s">
        <v>553</v>
      </c>
      <c r="H19" s="21" t="s">
        <v>554</v>
      </c>
      <c r="I19" s="21" t="s">
        <v>55</v>
      </c>
      <c r="J19" s="26" t="s">
        <v>41</v>
      </c>
      <c r="K19" s="21"/>
      <c r="L19" s="21"/>
      <c r="M19" s="26" t="s">
        <v>59</v>
      </c>
    </row>
    <row r="20" ht="43.5" customHeight="1">
      <c r="A20" s="27" t="s">
        <v>555</v>
      </c>
      <c r="B20" s="19" t="s">
        <v>87</v>
      </c>
      <c r="C20" s="28" t="s">
        <v>556</v>
      </c>
      <c r="D20" s="28" t="s">
        <v>559</v>
      </c>
      <c r="E20" s="23" t="s">
        <v>15</v>
      </c>
      <c r="F20" s="28" t="s">
        <v>561</v>
      </c>
      <c r="G20" s="28" t="s">
        <v>562</v>
      </c>
      <c r="H20" s="28" t="s">
        <v>563</v>
      </c>
      <c r="I20" s="28" t="s">
        <v>55</v>
      </c>
      <c r="J20" s="26" t="s">
        <v>41</v>
      </c>
      <c r="K20" s="28"/>
      <c r="L20" s="55"/>
      <c r="M20" s="26" t="s">
        <v>59</v>
      </c>
    </row>
    <row r="21" ht="43.5" customHeight="1">
      <c r="A21" s="18" t="s">
        <v>566</v>
      </c>
      <c r="B21" s="19" t="s">
        <v>305</v>
      </c>
      <c r="C21" s="21" t="s">
        <v>568</v>
      </c>
      <c r="D21" s="21" t="s">
        <v>559</v>
      </c>
      <c r="E21" s="23" t="s">
        <v>15</v>
      </c>
      <c r="F21" s="21" t="s">
        <v>570</v>
      </c>
      <c r="G21" s="21" t="s">
        <v>562</v>
      </c>
      <c r="H21" s="21" t="s">
        <v>571</v>
      </c>
      <c r="I21" s="25" t="s">
        <v>56</v>
      </c>
      <c r="J21" s="26" t="s">
        <v>41</v>
      </c>
      <c r="K21" s="21"/>
      <c r="L21" s="53" t="s">
        <v>573</v>
      </c>
      <c r="M21" s="26" t="s">
        <v>575</v>
      </c>
    </row>
    <row r="22" ht="30.0" customHeight="1">
      <c r="A22" s="27" t="s">
        <v>577</v>
      </c>
      <c r="B22" s="19" t="s">
        <v>38</v>
      </c>
      <c r="C22" s="28" t="s">
        <v>579</v>
      </c>
      <c r="D22" s="28" t="s">
        <v>528</v>
      </c>
      <c r="E22" s="23" t="s">
        <v>15</v>
      </c>
      <c r="F22" s="28" t="s">
        <v>582</v>
      </c>
      <c r="G22" s="28" t="s">
        <v>583</v>
      </c>
      <c r="H22" s="28" t="s">
        <v>584</v>
      </c>
      <c r="I22" s="41" t="s">
        <v>56</v>
      </c>
      <c r="J22" s="26" t="s">
        <v>41</v>
      </c>
      <c r="K22" s="28"/>
      <c r="L22" s="28"/>
      <c r="M22" s="26" t="s">
        <v>59</v>
      </c>
    </row>
    <row r="23" ht="18.0" customHeight="1">
      <c r="A23" s="16" t="s">
        <v>589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5"/>
    </row>
    <row r="24" ht="30.0" customHeight="1">
      <c r="A24" s="18" t="s">
        <v>592</v>
      </c>
      <c r="B24" s="19" t="s">
        <v>445</v>
      </c>
      <c r="C24" s="21" t="s">
        <v>593</v>
      </c>
      <c r="D24" s="21" t="s">
        <v>595</v>
      </c>
      <c r="E24" s="32" t="s">
        <v>25</v>
      </c>
      <c r="F24" s="21" t="s">
        <v>596</v>
      </c>
      <c r="G24" s="21" t="s">
        <v>598</v>
      </c>
      <c r="H24" s="21" t="s">
        <v>599</v>
      </c>
      <c r="I24" s="21" t="s">
        <v>55</v>
      </c>
      <c r="J24" s="26" t="s">
        <v>41</v>
      </c>
      <c r="K24" s="21"/>
      <c r="L24" s="21"/>
      <c r="M24" s="26" t="s">
        <v>59</v>
      </c>
    </row>
    <row r="25" ht="30.0" customHeight="1">
      <c r="A25" s="27" t="s">
        <v>604</v>
      </c>
      <c r="B25" s="19" t="s">
        <v>505</v>
      </c>
      <c r="C25" s="28" t="s">
        <v>606</v>
      </c>
      <c r="D25" s="28" t="s">
        <v>607</v>
      </c>
      <c r="E25" s="23" t="s">
        <v>15</v>
      </c>
      <c r="F25" s="28" t="s">
        <v>608</v>
      </c>
      <c r="G25" s="28" t="s">
        <v>598</v>
      </c>
      <c r="H25" s="28" t="s">
        <v>609</v>
      </c>
      <c r="I25" s="41" t="s">
        <v>56</v>
      </c>
      <c r="J25" s="26" t="s">
        <v>41</v>
      </c>
      <c r="K25" s="28"/>
      <c r="L25" s="28"/>
      <c r="M25" s="26" t="s">
        <v>59</v>
      </c>
    </row>
    <row r="26" ht="18.0" customHeight="1">
      <c r="A26" s="16" t="s">
        <v>613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5"/>
    </row>
    <row r="27" ht="30.0" customHeight="1">
      <c r="A27" s="18" t="s">
        <v>619</v>
      </c>
      <c r="B27" s="19" t="s">
        <v>42</v>
      </c>
      <c r="C27" s="21" t="s">
        <v>620</v>
      </c>
      <c r="D27" s="21" t="s">
        <v>622</v>
      </c>
      <c r="E27" s="32" t="s">
        <v>25</v>
      </c>
      <c r="F27" s="21" t="s">
        <v>624</v>
      </c>
      <c r="G27" s="21" t="s">
        <v>625</v>
      </c>
      <c r="H27" s="21" t="s">
        <v>627</v>
      </c>
      <c r="I27" s="21" t="s">
        <v>55</v>
      </c>
      <c r="J27" s="26" t="s">
        <v>41</v>
      </c>
      <c r="K27" s="21"/>
      <c r="L27" s="54"/>
      <c r="M27" s="26" t="s">
        <v>59</v>
      </c>
    </row>
    <row r="28" ht="30.0" customHeight="1">
      <c r="A28" s="27" t="s">
        <v>634</v>
      </c>
      <c r="B28" s="19" t="s">
        <v>38</v>
      </c>
      <c r="C28" s="28" t="s">
        <v>636</v>
      </c>
      <c r="D28" s="28" t="s">
        <v>528</v>
      </c>
      <c r="E28" s="23" t="s">
        <v>15</v>
      </c>
      <c r="F28" s="28" t="s">
        <v>638</v>
      </c>
      <c r="G28" s="28" t="s">
        <v>640</v>
      </c>
      <c r="H28" s="28" t="s">
        <v>641</v>
      </c>
      <c r="I28" s="41" t="s">
        <v>56</v>
      </c>
      <c r="J28" s="26" t="s">
        <v>41</v>
      </c>
      <c r="K28" s="28"/>
      <c r="L28" s="28"/>
      <c r="M28" s="26" t="s">
        <v>59</v>
      </c>
    </row>
    <row r="29" ht="15.0" customHeight="1">
      <c r="A29" s="52" t="s">
        <v>203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5"/>
    </row>
    <row r="30" ht="53.25" customHeight="1">
      <c r="A30" s="26" t="s">
        <v>207</v>
      </c>
      <c r="B30" s="26" t="s">
        <v>209</v>
      </c>
      <c r="C30" s="26" t="s">
        <v>211</v>
      </c>
      <c r="D30" s="26" t="s">
        <v>212</v>
      </c>
      <c r="E30" s="26" t="s">
        <v>25</v>
      </c>
      <c r="F30" s="26" t="s">
        <v>215</v>
      </c>
      <c r="G30" s="26" t="s">
        <v>217</v>
      </c>
      <c r="H30" s="26" t="s">
        <v>218</v>
      </c>
      <c r="I30" s="26" t="s">
        <v>55</v>
      </c>
      <c r="J30" s="26" t="s">
        <v>54</v>
      </c>
      <c r="K30" s="26"/>
      <c r="L30" s="26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3:L23"/>
    <mergeCell ref="A26:L26"/>
    <mergeCell ref="A29:L29"/>
    <mergeCell ref="A1:L1"/>
    <mergeCell ref="A2:L2"/>
    <mergeCell ref="A5:L5"/>
    <mergeCell ref="A8:L8"/>
    <mergeCell ref="A11:L11"/>
    <mergeCell ref="A14:L14"/>
    <mergeCell ref="A18:L18"/>
  </mergeCells>
  <dataValidations>
    <dataValidation type="list" allowBlank="1" sqref="E6:E7 E9:E10 E12:E13 E15:E17 E19:E22 E24:E25 E27:E28 E30">
      <formula1>"P1,P2,P3"</formula1>
    </dataValidation>
    <dataValidation type="list" allowBlank="1" sqref="J6:J7 J9:J10 J12:J13 J15:J17 J19:J22 J24:J25 J27:J28 J30">
      <formula1>"Not Run,Pass,Fail,Blocked,Skip,N/A"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30.0"/>
    <col customWidth="1" min="4" max="4" width="26.0"/>
    <col customWidth="1" min="5" max="5" width="9.0"/>
    <col customWidth="1" min="6" max="6" width="36.0"/>
    <col customWidth="1" min="7" max="7" width="32.0"/>
    <col customWidth="1" min="8" max="8" width="48.0"/>
    <col customWidth="1" min="9" max="9" width="11.0"/>
    <col customWidth="1" min="10" max="11" width="10.0"/>
    <col customWidth="1" min="12" max="12" width="40.0"/>
    <col customWidth="1" min="13" max="13" width="55.0"/>
  </cols>
  <sheetData>
    <row r="1" ht="24.0" customHeight="1">
      <c r="A1" s="1" t="s">
        <v>591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15.0" customHeight="1">
      <c r="A2" s="10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4" ht="25.5" customHeight="1">
      <c r="A4" s="12" t="s">
        <v>10</v>
      </c>
      <c r="B4" s="12" t="s">
        <v>12</v>
      </c>
      <c r="C4" s="12" t="s">
        <v>14</v>
      </c>
      <c r="D4" s="12" t="s">
        <v>16</v>
      </c>
      <c r="E4" s="12" t="s">
        <v>17</v>
      </c>
      <c r="F4" s="12" t="s">
        <v>19</v>
      </c>
      <c r="G4" s="12" t="s">
        <v>20</v>
      </c>
      <c r="H4" s="12" t="s">
        <v>21</v>
      </c>
      <c r="I4" s="12" t="s">
        <v>23</v>
      </c>
      <c r="J4" s="12" t="s">
        <v>24</v>
      </c>
      <c r="K4" s="12" t="s">
        <v>26</v>
      </c>
      <c r="L4" s="12" t="s">
        <v>27</v>
      </c>
      <c r="M4" s="12" t="s">
        <v>29</v>
      </c>
    </row>
    <row r="5" ht="18.0" customHeight="1">
      <c r="A5" s="16" t="s">
        <v>618</v>
      </c>
      <c r="B5" s="4"/>
      <c r="C5" s="4"/>
      <c r="D5" s="4"/>
      <c r="E5" s="4"/>
      <c r="F5" s="4"/>
      <c r="G5" s="4"/>
      <c r="H5" s="4"/>
      <c r="I5" s="4"/>
      <c r="J5" s="4"/>
      <c r="K5" s="4"/>
      <c r="L5" s="5"/>
    </row>
    <row r="6" ht="43.5" customHeight="1">
      <c r="A6" s="18" t="s">
        <v>623</v>
      </c>
      <c r="B6" s="19" t="s">
        <v>445</v>
      </c>
      <c r="C6" s="21" t="s">
        <v>626</v>
      </c>
      <c r="D6" s="21" t="s">
        <v>628</v>
      </c>
      <c r="E6" s="23" t="s">
        <v>15</v>
      </c>
      <c r="F6" s="21" t="s">
        <v>630</v>
      </c>
      <c r="G6" s="21" t="s">
        <v>632</v>
      </c>
      <c r="H6" s="21" t="s">
        <v>635</v>
      </c>
      <c r="I6" s="21" t="s">
        <v>55</v>
      </c>
      <c r="J6" s="26" t="s">
        <v>41</v>
      </c>
      <c r="K6" s="21"/>
      <c r="L6" s="54"/>
      <c r="M6" s="26" t="s">
        <v>59</v>
      </c>
    </row>
    <row r="7" ht="43.5" customHeight="1">
      <c r="A7" s="27" t="s">
        <v>643</v>
      </c>
      <c r="B7" s="19" t="s">
        <v>505</v>
      </c>
      <c r="C7" s="28" t="s">
        <v>644</v>
      </c>
      <c r="D7" s="28" t="s">
        <v>646</v>
      </c>
      <c r="E7" s="23" t="s">
        <v>15</v>
      </c>
      <c r="F7" s="28" t="s">
        <v>649</v>
      </c>
      <c r="G7" s="28" t="s">
        <v>651</v>
      </c>
      <c r="H7" s="28" t="s">
        <v>652</v>
      </c>
      <c r="I7" s="41" t="s">
        <v>56</v>
      </c>
      <c r="J7" s="26" t="s">
        <v>41</v>
      </c>
      <c r="K7" s="28"/>
      <c r="L7" s="28"/>
      <c r="M7" s="26" t="s">
        <v>59</v>
      </c>
    </row>
    <row r="8" ht="43.5" customHeight="1">
      <c r="A8" s="18" t="s">
        <v>656</v>
      </c>
      <c r="B8" s="19" t="s">
        <v>505</v>
      </c>
      <c r="C8" s="21" t="s">
        <v>658</v>
      </c>
      <c r="D8" s="21" t="s">
        <v>508</v>
      </c>
      <c r="E8" s="23" t="s">
        <v>15</v>
      </c>
      <c r="F8" s="21" t="s">
        <v>661</v>
      </c>
      <c r="G8" s="21" t="s">
        <v>632</v>
      </c>
      <c r="H8" s="21" t="s">
        <v>663</v>
      </c>
      <c r="I8" s="25" t="s">
        <v>56</v>
      </c>
      <c r="J8" s="26" t="s">
        <v>41</v>
      </c>
      <c r="K8" s="21"/>
      <c r="L8" s="21"/>
      <c r="M8" s="26" t="s">
        <v>59</v>
      </c>
    </row>
    <row r="9" ht="18.0" customHeight="1">
      <c r="A9" s="16" t="s">
        <v>666</v>
      </c>
      <c r="B9" s="4"/>
      <c r="C9" s="4"/>
      <c r="D9" s="4"/>
      <c r="E9" s="4"/>
      <c r="F9" s="4"/>
      <c r="G9" s="4"/>
      <c r="H9" s="4"/>
      <c r="I9" s="4"/>
      <c r="J9" s="4"/>
      <c r="K9" s="4"/>
      <c r="L9" s="5"/>
    </row>
    <row r="10" ht="30.0" customHeight="1">
      <c r="A10" s="18" t="s">
        <v>670</v>
      </c>
      <c r="B10" s="19" t="s">
        <v>42</v>
      </c>
      <c r="C10" s="21" t="s">
        <v>672</v>
      </c>
      <c r="D10" s="21" t="s">
        <v>674</v>
      </c>
      <c r="E10" s="32" t="s">
        <v>25</v>
      </c>
      <c r="F10" s="21" t="s">
        <v>676</v>
      </c>
      <c r="G10" s="21" t="s">
        <v>678</v>
      </c>
      <c r="H10" s="21" t="s">
        <v>679</v>
      </c>
      <c r="I10" s="21" t="s">
        <v>55</v>
      </c>
      <c r="J10" s="26" t="s">
        <v>41</v>
      </c>
      <c r="K10" s="21"/>
      <c r="L10" s="21"/>
      <c r="M10" s="26" t="s">
        <v>59</v>
      </c>
    </row>
    <row r="11" ht="30.0" customHeight="1">
      <c r="A11" s="27" t="s">
        <v>682</v>
      </c>
      <c r="B11" s="19" t="s">
        <v>42</v>
      </c>
      <c r="C11" s="28" t="s">
        <v>684</v>
      </c>
      <c r="D11" s="28" t="s">
        <v>685</v>
      </c>
      <c r="E11" s="30" t="s">
        <v>25</v>
      </c>
      <c r="F11" s="28" t="s">
        <v>688</v>
      </c>
      <c r="G11" s="28" t="s">
        <v>689</v>
      </c>
      <c r="H11" s="28" t="s">
        <v>690</v>
      </c>
      <c r="I11" s="28" t="s">
        <v>55</v>
      </c>
      <c r="J11" s="26" t="s">
        <v>41</v>
      </c>
      <c r="K11" s="28"/>
      <c r="L11" s="28"/>
      <c r="M11" s="26" t="s">
        <v>59</v>
      </c>
    </row>
    <row r="12" ht="15.0" customHeight="1">
      <c r="A12" s="52" t="s">
        <v>203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5"/>
    </row>
    <row r="13" ht="53.25" customHeight="1">
      <c r="A13" s="26" t="s">
        <v>207</v>
      </c>
      <c r="B13" s="26" t="s">
        <v>209</v>
      </c>
      <c r="C13" s="26" t="s">
        <v>211</v>
      </c>
      <c r="D13" s="26" t="s">
        <v>212</v>
      </c>
      <c r="E13" s="26" t="s">
        <v>25</v>
      </c>
      <c r="F13" s="26" t="s">
        <v>215</v>
      </c>
      <c r="G13" s="26" t="s">
        <v>217</v>
      </c>
      <c r="H13" s="26" t="s">
        <v>218</v>
      </c>
      <c r="I13" s="26" t="s">
        <v>55</v>
      </c>
      <c r="J13" s="26" t="s">
        <v>54</v>
      </c>
      <c r="K13" s="26"/>
      <c r="L13" s="2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L1"/>
    <mergeCell ref="A2:L2"/>
    <mergeCell ref="A5:L5"/>
    <mergeCell ref="A9:L9"/>
    <mergeCell ref="A12:L12"/>
  </mergeCells>
  <dataValidations>
    <dataValidation type="list" allowBlank="1" sqref="E6:E8 E10:E11 E13">
      <formula1>"P1,P2,P3"</formula1>
    </dataValidation>
    <dataValidation type="list" allowBlank="1" sqref="J6:J8 J10:J11 J13">
      <formula1>"Not Run,Pass,Fail,Blocked,Skip,N/A"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30.0"/>
    <col customWidth="1" min="4" max="4" width="26.0"/>
    <col customWidth="1" min="5" max="5" width="9.0"/>
    <col customWidth="1" min="6" max="6" width="36.0"/>
    <col customWidth="1" min="7" max="7" width="32.0"/>
    <col customWidth="1" min="8" max="8" width="48.0"/>
    <col customWidth="1" min="9" max="9" width="11.0"/>
    <col customWidth="1" min="10" max="11" width="10.0"/>
    <col customWidth="1" min="12" max="12" width="40.0"/>
    <col customWidth="1" min="13" max="13" width="55.0"/>
  </cols>
  <sheetData>
    <row r="1" ht="24.0" customHeight="1">
      <c r="A1" s="1" t="s">
        <v>782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15.0" customHeight="1">
      <c r="A2" s="10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4" ht="25.5" customHeight="1">
      <c r="A4" s="12" t="s">
        <v>10</v>
      </c>
      <c r="B4" s="12" t="s">
        <v>12</v>
      </c>
      <c r="C4" s="12" t="s">
        <v>14</v>
      </c>
      <c r="D4" s="12" t="s">
        <v>16</v>
      </c>
      <c r="E4" s="12" t="s">
        <v>17</v>
      </c>
      <c r="F4" s="12" t="s">
        <v>19</v>
      </c>
      <c r="G4" s="12" t="s">
        <v>20</v>
      </c>
      <c r="H4" s="12" t="s">
        <v>21</v>
      </c>
      <c r="I4" s="12" t="s">
        <v>23</v>
      </c>
      <c r="J4" s="12" t="s">
        <v>24</v>
      </c>
      <c r="K4" s="12" t="s">
        <v>26</v>
      </c>
      <c r="L4" s="12" t="s">
        <v>27</v>
      </c>
      <c r="M4" s="12" t="s">
        <v>29</v>
      </c>
    </row>
    <row r="5" ht="18.0" customHeight="1">
      <c r="A5" s="16" t="s">
        <v>794</v>
      </c>
      <c r="B5" s="4"/>
      <c r="C5" s="4"/>
      <c r="D5" s="4"/>
      <c r="E5" s="4"/>
      <c r="F5" s="4"/>
      <c r="G5" s="4"/>
      <c r="H5" s="4"/>
      <c r="I5" s="4"/>
      <c r="J5" s="4"/>
      <c r="K5" s="4"/>
      <c r="L5" s="5"/>
    </row>
    <row r="6" ht="30.0" customHeight="1">
      <c r="A6" s="18" t="s">
        <v>798</v>
      </c>
      <c r="B6" s="19" t="s">
        <v>42</v>
      </c>
      <c r="C6" s="21" t="s">
        <v>800</v>
      </c>
      <c r="D6" s="21" t="s">
        <v>601</v>
      </c>
      <c r="E6" s="23" t="s">
        <v>15</v>
      </c>
      <c r="F6" s="21" t="s">
        <v>804</v>
      </c>
      <c r="G6" s="21" t="s">
        <v>805</v>
      </c>
      <c r="H6" s="21" t="s">
        <v>807</v>
      </c>
      <c r="I6" s="21" t="s">
        <v>55</v>
      </c>
      <c r="J6" s="26" t="s">
        <v>41</v>
      </c>
      <c r="K6" s="21"/>
      <c r="L6" s="54"/>
      <c r="M6" s="26" t="s">
        <v>59</v>
      </c>
    </row>
    <row r="7" ht="30.0" customHeight="1">
      <c r="A7" s="27" t="s">
        <v>813</v>
      </c>
      <c r="B7" s="19" t="s">
        <v>42</v>
      </c>
      <c r="C7" s="28" t="s">
        <v>815</v>
      </c>
      <c r="D7" s="28" t="s">
        <v>817</v>
      </c>
      <c r="E7" s="30" t="s">
        <v>25</v>
      </c>
      <c r="F7" s="28" t="s">
        <v>819</v>
      </c>
      <c r="G7" s="28" t="s">
        <v>821</v>
      </c>
      <c r="H7" s="28" t="s">
        <v>823</v>
      </c>
      <c r="I7" s="28" t="s">
        <v>55</v>
      </c>
      <c r="J7" s="26" t="s">
        <v>41</v>
      </c>
      <c r="K7" s="28"/>
      <c r="L7" s="28"/>
      <c r="M7" s="26" t="s">
        <v>59</v>
      </c>
    </row>
    <row r="8" ht="18.0" customHeight="1">
      <c r="A8" s="16" t="s">
        <v>827</v>
      </c>
      <c r="B8" s="4"/>
      <c r="C8" s="4"/>
      <c r="D8" s="4"/>
      <c r="E8" s="4"/>
      <c r="F8" s="4"/>
      <c r="G8" s="4"/>
      <c r="H8" s="4"/>
      <c r="I8" s="4"/>
      <c r="J8" s="4"/>
      <c r="K8" s="4"/>
      <c r="L8" s="5"/>
    </row>
    <row r="9" ht="43.5" customHeight="1">
      <c r="A9" s="18" t="s">
        <v>828</v>
      </c>
      <c r="B9" s="19" t="s">
        <v>445</v>
      </c>
      <c r="C9" s="21" t="s">
        <v>830</v>
      </c>
      <c r="D9" s="21" t="s">
        <v>831</v>
      </c>
      <c r="E9" s="23" t="s">
        <v>15</v>
      </c>
      <c r="F9" s="21" t="s">
        <v>832</v>
      </c>
      <c r="G9" s="21" t="s">
        <v>833</v>
      </c>
      <c r="H9" s="21" t="s">
        <v>834</v>
      </c>
      <c r="I9" s="21" t="s">
        <v>55</v>
      </c>
      <c r="J9" s="26" t="s">
        <v>41</v>
      </c>
      <c r="K9" s="21"/>
      <c r="L9" s="21"/>
      <c r="M9" s="26" t="s">
        <v>59</v>
      </c>
    </row>
    <row r="10" ht="30.0" customHeight="1">
      <c r="A10" s="27" t="s">
        <v>839</v>
      </c>
      <c r="B10" s="19" t="s">
        <v>505</v>
      </c>
      <c r="C10" s="28" t="s">
        <v>840</v>
      </c>
      <c r="D10" s="28" t="s">
        <v>842</v>
      </c>
      <c r="E10" s="23" t="s">
        <v>15</v>
      </c>
      <c r="F10" s="28" t="s">
        <v>845</v>
      </c>
      <c r="G10" s="28" t="s">
        <v>833</v>
      </c>
      <c r="H10" s="28" t="s">
        <v>847</v>
      </c>
      <c r="I10" s="41" t="s">
        <v>56</v>
      </c>
      <c r="J10" s="26" t="s">
        <v>41</v>
      </c>
      <c r="K10" s="28"/>
      <c r="L10" s="28"/>
      <c r="M10" s="26" t="s">
        <v>59</v>
      </c>
    </row>
    <row r="11" ht="18.0" customHeight="1">
      <c r="A11" s="16" t="s">
        <v>850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</row>
    <row r="12" ht="43.5" customHeight="1">
      <c r="A12" s="18" t="s">
        <v>858</v>
      </c>
      <c r="B12" s="19" t="s">
        <v>445</v>
      </c>
      <c r="C12" s="21" t="s">
        <v>859</v>
      </c>
      <c r="D12" s="21" t="s">
        <v>861</v>
      </c>
      <c r="E12" s="23" t="s">
        <v>15</v>
      </c>
      <c r="F12" s="21" t="s">
        <v>864</v>
      </c>
      <c r="G12" s="21" t="s">
        <v>865</v>
      </c>
      <c r="H12" s="21" t="s">
        <v>867</v>
      </c>
      <c r="I12" s="21" t="s">
        <v>55</v>
      </c>
      <c r="J12" s="26" t="s">
        <v>41</v>
      </c>
      <c r="K12" s="21"/>
      <c r="L12" s="21"/>
      <c r="M12" s="26" t="s">
        <v>59</v>
      </c>
    </row>
    <row r="13" ht="30.0" customHeight="1">
      <c r="A13" s="27" t="s">
        <v>875</v>
      </c>
      <c r="B13" s="19" t="s">
        <v>38</v>
      </c>
      <c r="C13" s="28" t="s">
        <v>876</v>
      </c>
      <c r="D13" s="28" t="s">
        <v>877</v>
      </c>
      <c r="E13" s="30" t="s">
        <v>25</v>
      </c>
      <c r="F13" s="28" t="s">
        <v>878</v>
      </c>
      <c r="G13" s="28" t="s">
        <v>865</v>
      </c>
      <c r="H13" s="28" t="s">
        <v>881</v>
      </c>
      <c r="I13" s="41" t="s">
        <v>56</v>
      </c>
      <c r="J13" s="26" t="s">
        <v>41</v>
      </c>
      <c r="K13" s="28"/>
      <c r="L13" s="28"/>
      <c r="M13" s="26" t="s">
        <v>59</v>
      </c>
    </row>
    <row r="14" ht="18.0" customHeight="1">
      <c r="A14" s="16" t="s">
        <v>887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5"/>
    </row>
    <row r="15" ht="43.5" customHeight="1">
      <c r="A15" s="18" t="s">
        <v>893</v>
      </c>
      <c r="B15" s="19" t="s">
        <v>445</v>
      </c>
      <c r="C15" s="21" t="s">
        <v>895</v>
      </c>
      <c r="D15" s="21" t="s">
        <v>897</v>
      </c>
      <c r="E15" s="23" t="s">
        <v>15</v>
      </c>
      <c r="F15" s="21" t="s">
        <v>899</v>
      </c>
      <c r="G15" s="21" t="s">
        <v>901</v>
      </c>
      <c r="H15" s="21" t="s">
        <v>902</v>
      </c>
      <c r="I15" s="21" t="s">
        <v>55</v>
      </c>
      <c r="J15" s="26" t="s">
        <v>41</v>
      </c>
      <c r="K15" s="21"/>
      <c r="L15" s="54"/>
      <c r="M15" s="26" t="s">
        <v>59</v>
      </c>
    </row>
    <row r="16" ht="30.0" customHeight="1">
      <c r="A16" s="27" t="s">
        <v>910</v>
      </c>
      <c r="B16" s="19" t="s">
        <v>38</v>
      </c>
      <c r="C16" s="28" t="s">
        <v>911</v>
      </c>
      <c r="D16" s="28" t="s">
        <v>913</v>
      </c>
      <c r="E16" s="23" t="s">
        <v>15</v>
      </c>
      <c r="F16" s="28" t="s">
        <v>915</v>
      </c>
      <c r="G16" s="28" t="s">
        <v>901</v>
      </c>
      <c r="H16" s="28" t="s">
        <v>917</v>
      </c>
      <c r="I16" s="41" t="s">
        <v>56</v>
      </c>
      <c r="J16" s="26" t="s">
        <v>41</v>
      </c>
      <c r="K16" s="28"/>
      <c r="L16" s="28"/>
      <c r="M16" s="26" t="s">
        <v>59</v>
      </c>
    </row>
    <row r="17" ht="30.0" customHeight="1">
      <c r="A17" s="18" t="s">
        <v>924</v>
      </c>
      <c r="B17" s="19" t="s">
        <v>445</v>
      </c>
      <c r="C17" s="21" t="s">
        <v>926</v>
      </c>
      <c r="D17" s="21" t="s">
        <v>927</v>
      </c>
      <c r="E17" s="32" t="s">
        <v>25</v>
      </c>
      <c r="F17" s="21" t="s">
        <v>929</v>
      </c>
      <c r="G17" s="21" t="s">
        <v>931</v>
      </c>
      <c r="H17" s="21" t="s">
        <v>933</v>
      </c>
      <c r="I17" s="21" t="s">
        <v>55</v>
      </c>
      <c r="J17" s="26" t="s">
        <v>41</v>
      </c>
      <c r="K17" s="21"/>
      <c r="L17" s="54"/>
      <c r="M17" s="26" t="s">
        <v>59</v>
      </c>
    </row>
    <row r="18" ht="18.0" customHeight="1">
      <c r="A18" s="16" t="s">
        <v>938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5"/>
    </row>
    <row r="19" ht="43.5" customHeight="1">
      <c r="A19" s="18" t="s">
        <v>943</v>
      </c>
      <c r="B19" s="19" t="s">
        <v>42</v>
      </c>
      <c r="C19" s="21" t="s">
        <v>945</v>
      </c>
      <c r="D19" s="21" t="s">
        <v>947</v>
      </c>
      <c r="E19" s="32" t="s">
        <v>25</v>
      </c>
      <c r="F19" s="21" t="s">
        <v>950</v>
      </c>
      <c r="G19" s="21" t="s">
        <v>953</v>
      </c>
      <c r="H19" s="21" t="s">
        <v>955</v>
      </c>
      <c r="I19" s="21" t="s">
        <v>55</v>
      </c>
      <c r="J19" s="26" t="s">
        <v>41</v>
      </c>
      <c r="K19" s="21"/>
      <c r="L19" s="54"/>
      <c r="M19" s="26" t="s">
        <v>59</v>
      </c>
    </row>
    <row r="20" ht="43.5" customHeight="1">
      <c r="A20" s="27" t="s">
        <v>959</v>
      </c>
      <c r="B20" s="19" t="s">
        <v>445</v>
      </c>
      <c r="C20" s="28" t="s">
        <v>960</v>
      </c>
      <c r="D20" s="28" t="s">
        <v>963</v>
      </c>
      <c r="E20" s="23" t="s">
        <v>15</v>
      </c>
      <c r="F20" s="28" t="s">
        <v>967</v>
      </c>
      <c r="G20" s="28" t="s">
        <v>972</v>
      </c>
      <c r="H20" s="28" t="s">
        <v>975</v>
      </c>
      <c r="I20" s="28" t="s">
        <v>55</v>
      </c>
      <c r="J20" s="26" t="s">
        <v>41</v>
      </c>
      <c r="K20" s="28"/>
      <c r="L20" s="28"/>
      <c r="M20" s="26" t="s">
        <v>59</v>
      </c>
    </row>
    <row r="21" ht="43.5" customHeight="1">
      <c r="A21" s="18" t="s">
        <v>982</v>
      </c>
      <c r="B21" s="19" t="s">
        <v>38</v>
      </c>
      <c r="C21" s="21" t="s">
        <v>985</v>
      </c>
      <c r="D21" s="21" t="s">
        <v>986</v>
      </c>
      <c r="E21" s="23" t="s">
        <v>15</v>
      </c>
      <c r="F21" s="21" t="s">
        <v>989</v>
      </c>
      <c r="G21" s="21" t="s">
        <v>972</v>
      </c>
      <c r="H21" s="21" t="s">
        <v>990</v>
      </c>
      <c r="I21" s="25" t="s">
        <v>56</v>
      </c>
      <c r="J21" s="26" t="s">
        <v>41</v>
      </c>
      <c r="K21" s="21"/>
      <c r="L21" s="21"/>
      <c r="M21" s="26" t="s">
        <v>59</v>
      </c>
    </row>
    <row r="22" ht="15.0" customHeight="1">
      <c r="A22" s="52" t="s">
        <v>203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5"/>
    </row>
    <row r="23" ht="53.25" customHeight="1">
      <c r="A23" s="26" t="s">
        <v>207</v>
      </c>
      <c r="B23" s="26" t="s">
        <v>209</v>
      </c>
      <c r="C23" s="26" t="s">
        <v>211</v>
      </c>
      <c r="D23" s="26" t="s">
        <v>212</v>
      </c>
      <c r="E23" s="26" t="s">
        <v>25</v>
      </c>
      <c r="F23" s="26" t="s">
        <v>215</v>
      </c>
      <c r="G23" s="26" t="s">
        <v>217</v>
      </c>
      <c r="H23" s="26" t="s">
        <v>218</v>
      </c>
      <c r="I23" s="26" t="s">
        <v>55</v>
      </c>
      <c r="J23" s="26" t="s">
        <v>54</v>
      </c>
      <c r="K23" s="26"/>
      <c r="L23" s="26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L1"/>
    <mergeCell ref="A2:L2"/>
    <mergeCell ref="A5:L5"/>
    <mergeCell ref="A8:L8"/>
    <mergeCell ref="A11:L11"/>
    <mergeCell ref="A14:L14"/>
    <mergeCell ref="A18:L18"/>
    <mergeCell ref="A22:L22"/>
  </mergeCells>
  <dataValidations>
    <dataValidation type="list" allowBlank="1" sqref="E6:E7 E9:E10 E12:E13 E15:E17 E19:E21 E23">
      <formula1>"P1,P2,P3"</formula1>
    </dataValidation>
    <dataValidation type="list" allowBlank="1" sqref="J6:J7 J9:J10 J12:J13 J15:J17 J19:J21 J23">
      <formula1>"Not Run,Pass,Fail,Blocked,Skip,N/A"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30.0"/>
    <col customWidth="1" min="4" max="4" width="26.0"/>
    <col customWidth="1" min="5" max="5" width="9.0"/>
    <col customWidth="1" min="6" max="6" width="36.0"/>
    <col customWidth="1" min="7" max="7" width="32.0"/>
    <col customWidth="1" min="8" max="8" width="48.0"/>
    <col customWidth="1" min="9" max="9" width="11.0"/>
    <col customWidth="1" min="10" max="11" width="10.0"/>
    <col customWidth="1" min="12" max="12" width="40.0"/>
    <col customWidth="1" min="13" max="13" width="55.0"/>
  </cols>
  <sheetData>
    <row r="1" ht="24.0" customHeight="1">
      <c r="A1" s="1" t="s">
        <v>812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15.0" customHeight="1">
      <c r="A2" s="10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4" ht="25.5" customHeight="1">
      <c r="A4" s="12" t="s">
        <v>10</v>
      </c>
      <c r="B4" s="12" t="s">
        <v>12</v>
      </c>
      <c r="C4" s="12" t="s">
        <v>14</v>
      </c>
      <c r="D4" s="12" t="s">
        <v>16</v>
      </c>
      <c r="E4" s="12" t="s">
        <v>17</v>
      </c>
      <c r="F4" s="12" t="s">
        <v>19</v>
      </c>
      <c r="G4" s="12" t="s">
        <v>20</v>
      </c>
      <c r="H4" s="12" t="s">
        <v>21</v>
      </c>
      <c r="I4" s="12" t="s">
        <v>23</v>
      </c>
      <c r="J4" s="12" t="s">
        <v>24</v>
      </c>
      <c r="K4" s="12" t="s">
        <v>26</v>
      </c>
      <c r="L4" s="12" t="s">
        <v>27</v>
      </c>
      <c r="M4" s="12" t="s">
        <v>29</v>
      </c>
    </row>
    <row r="5" ht="18.0" customHeight="1">
      <c r="A5" s="16" t="s">
        <v>838</v>
      </c>
      <c r="B5" s="4"/>
      <c r="C5" s="4"/>
      <c r="D5" s="4"/>
      <c r="E5" s="4"/>
      <c r="F5" s="4"/>
      <c r="G5" s="4"/>
      <c r="H5" s="4"/>
      <c r="I5" s="4"/>
      <c r="J5" s="4"/>
      <c r="K5" s="4"/>
      <c r="L5" s="5"/>
    </row>
    <row r="6" ht="30.0" customHeight="1">
      <c r="A6" s="18" t="s">
        <v>846</v>
      </c>
      <c r="B6" s="19" t="s">
        <v>42</v>
      </c>
      <c r="C6" s="21" t="s">
        <v>848</v>
      </c>
      <c r="D6" s="21" t="s">
        <v>849</v>
      </c>
      <c r="E6" s="32" t="s">
        <v>25</v>
      </c>
      <c r="F6" s="21" t="s">
        <v>852</v>
      </c>
      <c r="G6" s="21" t="s">
        <v>853</v>
      </c>
      <c r="H6" s="21" t="s">
        <v>856</v>
      </c>
      <c r="I6" s="21" t="s">
        <v>55</v>
      </c>
      <c r="J6" s="26" t="s">
        <v>41</v>
      </c>
      <c r="K6" s="21"/>
      <c r="L6" s="54"/>
      <c r="M6" s="26" t="s">
        <v>59</v>
      </c>
    </row>
    <row r="7" ht="30.0" customHeight="1">
      <c r="A7" s="27" t="s">
        <v>863</v>
      </c>
      <c r="B7" s="19" t="s">
        <v>505</v>
      </c>
      <c r="C7" s="28" t="s">
        <v>866</v>
      </c>
      <c r="D7" s="28" t="s">
        <v>868</v>
      </c>
      <c r="E7" s="23" t="s">
        <v>15</v>
      </c>
      <c r="F7" s="28" t="s">
        <v>870</v>
      </c>
      <c r="G7" s="28" t="s">
        <v>871</v>
      </c>
      <c r="H7" s="28" t="s">
        <v>873</v>
      </c>
      <c r="I7" s="41" t="s">
        <v>56</v>
      </c>
      <c r="J7" s="26" t="s">
        <v>41</v>
      </c>
      <c r="K7" s="28"/>
      <c r="L7" s="55"/>
      <c r="M7" s="26" t="s">
        <v>59</v>
      </c>
    </row>
    <row r="8" ht="18.0" customHeight="1">
      <c r="A8" s="16" t="s">
        <v>880</v>
      </c>
      <c r="B8" s="4"/>
      <c r="C8" s="4"/>
      <c r="D8" s="4"/>
      <c r="E8" s="4"/>
      <c r="F8" s="4"/>
      <c r="G8" s="4"/>
      <c r="H8" s="4"/>
      <c r="I8" s="4"/>
      <c r="J8" s="4"/>
      <c r="K8" s="4"/>
      <c r="L8" s="5"/>
    </row>
    <row r="9" ht="30.0" customHeight="1">
      <c r="A9" s="18" t="s">
        <v>885</v>
      </c>
      <c r="B9" s="19" t="s">
        <v>445</v>
      </c>
      <c r="C9" s="21" t="s">
        <v>890</v>
      </c>
      <c r="D9" s="21" t="s">
        <v>849</v>
      </c>
      <c r="E9" s="23" t="s">
        <v>15</v>
      </c>
      <c r="F9" s="21" t="s">
        <v>891</v>
      </c>
      <c r="G9" s="21" t="s">
        <v>892</v>
      </c>
      <c r="H9" s="21" t="s">
        <v>894</v>
      </c>
      <c r="I9" s="21" t="s">
        <v>55</v>
      </c>
      <c r="J9" s="26" t="s">
        <v>41</v>
      </c>
      <c r="K9" s="21"/>
      <c r="L9" s="54"/>
      <c r="M9" s="26" t="s">
        <v>59</v>
      </c>
    </row>
    <row r="10" ht="30.0" customHeight="1">
      <c r="A10" s="27" t="s">
        <v>903</v>
      </c>
      <c r="B10" s="19" t="s">
        <v>505</v>
      </c>
      <c r="C10" s="28" t="s">
        <v>906</v>
      </c>
      <c r="D10" s="28" t="s">
        <v>908</v>
      </c>
      <c r="E10" s="23" t="s">
        <v>15</v>
      </c>
      <c r="F10" s="28" t="s">
        <v>909</v>
      </c>
      <c r="G10" s="28" t="s">
        <v>892</v>
      </c>
      <c r="H10" s="28" t="s">
        <v>912</v>
      </c>
      <c r="I10" s="41" t="s">
        <v>56</v>
      </c>
      <c r="J10" s="26" t="s">
        <v>41</v>
      </c>
      <c r="K10" s="28"/>
      <c r="L10" s="55"/>
      <c r="M10" s="26" t="s">
        <v>59</v>
      </c>
    </row>
    <row r="11" ht="30.0" customHeight="1">
      <c r="A11" s="18" t="s">
        <v>920</v>
      </c>
      <c r="B11" s="19" t="s">
        <v>445</v>
      </c>
      <c r="C11" s="21" t="s">
        <v>923</v>
      </c>
      <c r="D11" s="21" t="s">
        <v>925</v>
      </c>
      <c r="E11" s="32" t="s">
        <v>25</v>
      </c>
      <c r="F11" s="21" t="s">
        <v>870</v>
      </c>
      <c r="G11" s="21" t="s">
        <v>928</v>
      </c>
      <c r="H11" s="21" t="s">
        <v>930</v>
      </c>
      <c r="I11" s="21" t="s">
        <v>55</v>
      </c>
      <c r="J11" s="26" t="s">
        <v>41</v>
      </c>
      <c r="K11" s="21"/>
      <c r="L11" s="54"/>
      <c r="M11" s="26" t="s">
        <v>59</v>
      </c>
    </row>
    <row r="12" ht="18.0" customHeight="1">
      <c r="A12" s="16" t="s">
        <v>937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5"/>
    </row>
    <row r="13" ht="30.0" customHeight="1">
      <c r="A13" s="18" t="s">
        <v>942</v>
      </c>
      <c r="B13" s="19" t="s">
        <v>445</v>
      </c>
      <c r="C13" s="21" t="s">
        <v>946</v>
      </c>
      <c r="D13" s="21" t="s">
        <v>849</v>
      </c>
      <c r="E13" s="32" t="s">
        <v>25</v>
      </c>
      <c r="F13" s="21" t="s">
        <v>951</v>
      </c>
      <c r="G13" s="21" t="s">
        <v>954</v>
      </c>
      <c r="H13" s="21" t="s">
        <v>956</v>
      </c>
      <c r="I13" s="21" t="s">
        <v>55</v>
      </c>
      <c r="J13" s="26" t="s">
        <v>41</v>
      </c>
      <c r="K13" s="21"/>
      <c r="L13" s="54"/>
      <c r="M13" s="26" t="s">
        <v>59</v>
      </c>
    </row>
    <row r="14" ht="30.0" customHeight="1">
      <c r="A14" s="27" t="s">
        <v>961</v>
      </c>
      <c r="B14" s="19" t="s">
        <v>505</v>
      </c>
      <c r="C14" s="28" t="s">
        <v>965</v>
      </c>
      <c r="D14" s="28" t="s">
        <v>968</v>
      </c>
      <c r="E14" s="23" t="s">
        <v>15</v>
      </c>
      <c r="F14" s="28" t="s">
        <v>969</v>
      </c>
      <c r="G14" s="28" t="s">
        <v>970</v>
      </c>
      <c r="H14" s="28" t="s">
        <v>973</v>
      </c>
      <c r="I14" s="41" t="s">
        <v>56</v>
      </c>
      <c r="J14" s="26" t="s">
        <v>41</v>
      </c>
      <c r="K14" s="28"/>
      <c r="L14" s="55"/>
      <c r="M14" s="26" t="s">
        <v>59</v>
      </c>
    </row>
    <row r="15" ht="15.0" customHeight="1">
      <c r="A15" s="52" t="s">
        <v>203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5"/>
    </row>
    <row r="16" ht="53.25" customHeight="1">
      <c r="A16" s="26" t="s">
        <v>207</v>
      </c>
      <c r="B16" s="26" t="s">
        <v>209</v>
      </c>
      <c r="C16" s="26" t="s">
        <v>211</v>
      </c>
      <c r="D16" s="26" t="s">
        <v>212</v>
      </c>
      <c r="E16" s="26" t="s">
        <v>25</v>
      </c>
      <c r="F16" s="26" t="s">
        <v>215</v>
      </c>
      <c r="G16" s="26" t="s">
        <v>217</v>
      </c>
      <c r="H16" s="26" t="s">
        <v>218</v>
      </c>
      <c r="I16" s="26" t="s">
        <v>55</v>
      </c>
      <c r="J16" s="26" t="s">
        <v>54</v>
      </c>
      <c r="K16" s="26"/>
      <c r="L16" s="2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L1"/>
    <mergeCell ref="A2:L2"/>
    <mergeCell ref="A5:L5"/>
    <mergeCell ref="A8:L8"/>
    <mergeCell ref="A12:L12"/>
    <mergeCell ref="A15:L15"/>
  </mergeCells>
  <dataValidations>
    <dataValidation type="list" allowBlank="1" sqref="E6:E7 E9:E11 E13:E14 E16">
      <formula1>"P1,P2,P3"</formula1>
    </dataValidation>
    <dataValidation type="list" allowBlank="1" sqref="J6:J7 J9:J11 J13:J14 J16">
      <formula1>"Not Run,Pass,Fail,Blocked,Skip,N/A"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30.0"/>
    <col customWidth="1" min="4" max="4" width="26.0"/>
    <col customWidth="1" min="5" max="5" width="9.0"/>
    <col customWidth="1" min="6" max="6" width="36.0"/>
    <col customWidth="1" min="7" max="7" width="32.0"/>
    <col customWidth="1" min="8" max="8" width="48.0"/>
    <col customWidth="1" min="9" max="9" width="11.0"/>
    <col customWidth="1" min="10" max="11" width="10.0"/>
    <col customWidth="1" min="12" max="12" width="40.0"/>
    <col customWidth="1" min="13" max="13" width="55.0"/>
  </cols>
  <sheetData>
    <row r="1" ht="24.0" customHeight="1">
      <c r="A1" s="1" t="s">
        <v>1094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15.0" customHeight="1">
      <c r="A2" s="10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4" ht="25.5" customHeight="1">
      <c r="A4" s="12" t="s">
        <v>10</v>
      </c>
      <c r="B4" s="12" t="s">
        <v>12</v>
      </c>
      <c r="C4" s="12" t="s">
        <v>14</v>
      </c>
      <c r="D4" s="12" t="s">
        <v>16</v>
      </c>
      <c r="E4" s="12" t="s">
        <v>17</v>
      </c>
      <c r="F4" s="12" t="s">
        <v>19</v>
      </c>
      <c r="G4" s="12" t="s">
        <v>20</v>
      </c>
      <c r="H4" s="12" t="s">
        <v>21</v>
      </c>
      <c r="I4" s="12" t="s">
        <v>23</v>
      </c>
      <c r="J4" s="12" t="s">
        <v>24</v>
      </c>
      <c r="K4" s="12" t="s">
        <v>26</v>
      </c>
      <c r="L4" s="12" t="s">
        <v>27</v>
      </c>
      <c r="M4" s="12" t="s">
        <v>29</v>
      </c>
    </row>
    <row r="5" ht="18.0" customHeight="1">
      <c r="A5" s="16" t="s">
        <v>1108</v>
      </c>
      <c r="B5" s="4"/>
      <c r="C5" s="4"/>
      <c r="D5" s="4"/>
      <c r="E5" s="4"/>
      <c r="F5" s="4"/>
      <c r="G5" s="4"/>
      <c r="H5" s="4"/>
      <c r="I5" s="4"/>
      <c r="J5" s="4"/>
      <c r="K5" s="4"/>
      <c r="L5" s="5"/>
    </row>
    <row r="6" ht="30.0" customHeight="1">
      <c r="A6" s="18" t="s">
        <v>1110</v>
      </c>
      <c r="B6" s="19" t="s">
        <v>42</v>
      </c>
      <c r="C6" s="21" t="s">
        <v>1112</v>
      </c>
      <c r="D6" s="21" t="s">
        <v>1113</v>
      </c>
      <c r="E6" s="32" t="s">
        <v>25</v>
      </c>
      <c r="F6" s="21" t="s">
        <v>1114</v>
      </c>
      <c r="G6" s="21" t="s">
        <v>1116</v>
      </c>
      <c r="H6" s="21" t="s">
        <v>1120</v>
      </c>
      <c r="I6" s="21" t="s">
        <v>55</v>
      </c>
      <c r="J6" s="26" t="s">
        <v>41</v>
      </c>
      <c r="K6" s="21"/>
      <c r="L6" s="54"/>
      <c r="M6" s="26" t="s">
        <v>59</v>
      </c>
    </row>
    <row r="7" ht="30.0" customHeight="1">
      <c r="A7" s="27" t="s">
        <v>1125</v>
      </c>
      <c r="B7" s="19" t="s">
        <v>505</v>
      </c>
      <c r="C7" s="28" t="s">
        <v>1129</v>
      </c>
      <c r="D7" s="28" t="s">
        <v>1131</v>
      </c>
      <c r="E7" s="23" t="s">
        <v>15</v>
      </c>
      <c r="F7" s="28" t="s">
        <v>951</v>
      </c>
      <c r="G7" s="28" t="s">
        <v>1116</v>
      </c>
      <c r="H7" s="28" t="s">
        <v>1138</v>
      </c>
      <c r="I7" s="41" t="s">
        <v>56</v>
      </c>
      <c r="J7" s="26" t="s">
        <v>41</v>
      </c>
      <c r="K7" s="28"/>
      <c r="L7" s="55"/>
      <c r="M7" s="26" t="s">
        <v>59</v>
      </c>
    </row>
    <row r="8" ht="18.0" customHeight="1">
      <c r="A8" s="16" t="s">
        <v>1141</v>
      </c>
      <c r="B8" s="4"/>
      <c r="C8" s="4"/>
      <c r="D8" s="4"/>
      <c r="E8" s="4"/>
      <c r="F8" s="4"/>
      <c r="G8" s="4"/>
      <c r="H8" s="4"/>
      <c r="I8" s="4"/>
      <c r="J8" s="4"/>
      <c r="K8" s="4"/>
      <c r="L8" s="5"/>
    </row>
    <row r="9" ht="43.5" customHeight="1">
      <c r="A9" s="18" t="s">
        <v>1149</v>
      </c>
      <c r="B9" s="19" t="s">
        <v>42</v>
      </c>
      <c r="C9" s="21" t="s">
        <v>1152</v>
      </c>
      <c r="D9" s="21" t="s">
        <v>1154</v>
      </c>
      <c r="E9" s="23" t="s">
        <v>15</v>
      </c>
      <c r="F9" s="21" t="s">
        <v>1157</v>
      </c>
      <c r="G9" s="21" t="s">
        <v>1158</v>
      </c>
      <c r="H9" s="21" t="s">
        <v>1159</v>
      </c>
      <c r="I9" s="21" t="s">
        <v>55</v>
      </c>
      <c r="J9" s="26" t="s">
        <v>41</v>
      </c>
      <c r="K9" s="21"/>
      <c r="L9" s="54"/>
      <c r="M9" s="26" t="s">
        <v>59</v>
      </c>
    </row>
    <row r="10" ht="30.0" customHeight="1">
      <c r="A10" s="27" t="s">
        <v>1161</v>
      </c>
      <c r="B10" s="19" t="s">
        <v>505</v>
      </c>
      <c r="C10" s="28" t="s">
        <v>1162</v>
      </c>
      <c r="D10" s="28" t="s">
        <v>1163</v>
      </c>
      <c r="E10" s="23" t="s">
        <v>15</v>
      </c>
      <c r="F10" s="28" t="s">
        <v>1165</v>
      </c>
      <c r="G10" s="28" t="s">
        <v>1158</v>
      </c>
      <c r="H10" s="28" t="s">
        <v>1166</v>
      </c>
      <c r="I10" s="41" t="s">
        <v>56</v>
      </c>
      <c r="J10" s="26" t="s">
        <v>41</v>
      </c>
      <c r="K10" s="28"/>
      <c r="L10" s="55"/>
      <c r="M10" s="26" t="s">
        <v>59</v>
      </c>
    </row>
    <row r="11" ht="18.0" customHeight="1">
      <c r="A11" s="16" t="s">
        <v>1171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</row>
    <row r="12" ht="30.0" customHeight="1">
      <c r="A12" s="18" t="s">
        <v>1174</v>
      </c>
      <c r="B12" s="19" t="s">
        <v>42</v>
      </c>
      <c r="C12" s="21" t="s">
        <v>1175</v>
      </c>
      <c r="D12" s="21" t="s">
        <v>1177</v>
      </c>
      <c r="E12" s="32" t="s">
        <v>25</v>
      </c>
      <c r="F12" s="21" t="s">
        <v>1178</v>
      </c>
      <c r="G12" s="21" t="s">
        <v>1179</v>
      </c>
      <c r="H12" s="21" t="s">
        <v>1180</v>
      </c>
      <c r="I12" s="21" t="s">
        <v>55</v>
      </c>
      <c r="J12" s="26" t="s">
        <v>41</v>
      </c>
      <c r="K12" s="21"/>
      <c r="L12" s="54"/>
      <c r="M12" s="26" t="s">
        <v>59</v>
      </c>
    </row>
    <row r="13" ht="30.0" customHeight="1">
      <c r="A13" s="27" t="s">
        <v>1184</v>
      </c>
      <c r="B13" s="19" t="s">
        <v>38</v>
      </c>
      <c r="C13" s="28" t="s">
        <v>1186</v>
      </c>
      <c r="D13" s="28" t="s">
        <v>1188</v>
      </c>
      <c r="E13" s="23" t="s">
        <v>15</v>
      </c>
      <c r="F13" s="28" t="s">
        <v>1190</v>
      </c>
      <c r="G13" s="28" t="s">
        <v>1191</v>
      </c>
      <c r="H13" s="28" t="s">
        <v>1192</v>
      </c>
      <c r="I13" s="41" t="s">
        <v>56</v>
      </c>
      <c r="J13" s="26" t="s">
        <v>41</v>
      </c>
      <c r="K13" s="28"/>
      <c r="L13" s="55"/>
      <c r="M13" s="26" t="s">
        <v>59</v>
      </c>
    </row>
    <row r="14" ht="30.0" customHeight="1">
      <c r="A14" s="18" t="s">
        <v>1195</v>
      </c>
      <c r="B14" s="19" t="s">
        <v>42</v>
      </c>
      <c r="C14" s="21" t="s">
        <v>1197</v>
      </c>
      <c r="D14" s="21" t="s">
        <v>1199</v>
      </c>
      <c r="E14" s="32" t="s">
        <v>32</v>
      </c>
      <c r="F14" s="21" t="s">
        <v>1202</v>
      </c>
      <c r="G14" s="21" t="s">
        <v>1203</v>
      </c>
      <c r="H14" s="21" t="s">
        <v>1204</v>
      </c>
      <c r="I14" s="21" t="s">
        <v>55</v>
      </c>
      <c r="J14" s="26" t="s">
        <v>41</v>
      </c>
      <c r="K14" s="21"/>
      <c r="L14" s="54"/>
      <c r="M14" s="26" t="s">
        <v>59</v>
      </c>
    </row>
    <row r="15" ht="15.0" customHeight="1">
      <c r="A15" s="52" t="s">
        <v>203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5"/>
    </row>
    <row r="16" ht="53.25" customHeight="1">
      <c r="A16" s="26" t="s">
        <v>207</v>
      </c>
      <c r="B16" s="26" t="s">
        <v>209</v>
      </c>
      <c r="C16" s="26" t="s">
        <v>211</v>
      </c>
      <c r="D16" s="26" t="s">
        <v>212</v>
      </c>
      <c r="E16" s="26" t="s">
        <v>25</v>
      </c>
      <c r="F16" s="26" t="s">
        <v>215</v>
      </c>
      <c r="G16" s="26" t="s">
        <v>217</v>
      </c>
      <c r="H16" s="26" t="s">
        <v>218</v>
      </c>
      <c r="I16" s="26" t="s">
        <v>55</v>
      </c>
      <c r="J16" s="26" t="s">
        <v>54</v>
      </c>
      <c r="K16" s="26"/>
      <c r="L16" s="2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L1"/>
    <mergeCell ref="A2:L2"/>
    <mergeCell ref="A5:L5"/>
    <mergeCell ref="A8:L8"/>
    <mergeCell ref="A11:L11"/>
    <mergeCell ref="A15:L15"/>
  </mergeCells>
  <dataValidations>
    <dataValidation type="list" allowBlank="1" sqref="E6:E7 E9:E10 E12:E14 E16">
      <formula1>"P1,P2,P3"</formula1>
    </dataValidation>
    <dataValidation type="list" allowBlank="1" sqref="J6:J7 J9:J10 J12:J14 J16">
      <formula1>"Not Run,Pass,Fail,Blocked,Skip,N/A"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30.0"/>
    <col customWidth="1" min="4" max="4" width="26.0"/>
    <col customWidth="1" min="5" max="5" width="9.0"/>
    <col customWidth="1" min="6" max="6" width="36.0"/>
    <col customWidth="1" min="7" max="7" width="32.0"/>
    <col customWidth="1" min="8" max="8" width="48.0"/>
    <col customWidth="1" min="9" max="9" width="11.0"/>
    <col customWidth="1" min="10" max="11" width="10.0"/>
    <col customWidth="1" min="12" max="12" width="40.0"/>
    <col customWidth="1" min="13" max="13" width="55.0"/>
  </cols>
  <sheetData>
    <row r="1" ht="24.0" customHeight="1">
      <c r="A1" s="1" t="s">
        <v>1101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15.0" customHeight="1">
      <c r="A2" s="10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4" ht="25.5" customHeight="1">
      <c r="A4" s="12" t="s">
        <v>10</v>
      </c>
      <c r="B4" s="12" t="s">
        <v>12</v>
      </c>
      <c r="C4" s="12" t="s">
        <v>14</v>
      </c>
      <c r="D4" s="12" t="s">
        <v>16</v>
      </c>
      <c r="E4" s="12" t="s">
        <v>17</v>
      </c>
      <c r="F4" s="12" t="s">
        <v>19</v>
      </c>
      <c r="G4" s="12" t="s">
        <v>20</v>
      </c>
      <c r="H4" s="12" t="s">
        <v>21</v>
      </c>
      <c r="I4" s="12" t="s">
        <v>23</v>
      </c>
      <c r="J4" s="12" t="s">
        <v>24</v>
      </c>
      <c r="K4" s="12" t="s">
        <v>26</v>
      </c>
      <c r="L4" s="12" t="s">
        <v>27</v>
      </c>
      <c r="M4" s="12" t="s">
        <v>29</v>
      </c>
    </row>
    <row r="5" ht="18.0" customHeight="1">
      <c r="A5" s="16" t="s">
        <v>1118</v>
      </c>
      <c r="B5" s="4"/>
      <c r="C5" s="4"/>
      <c r="D5" s="4"/>
      <c r="E5" s="4"/>
      <c r="F5" s="4"/>
      <c r="G5" s="4"/>
      <c r="H5" s="4"/>
      <c r="I5" s="4"/>
      <c r="J5" s="4"/>
      <c r="K5" s="4"/>
      <c r="L5" s="5"/>
    </row>
    <row r="6" ht="30.0" customHeight="1">
      <c r="A6" s="18" t="s">
        <v>1124</v>
      </c>
      <c r="B6" s="19" t="s">
        <v>42</v>
      </c>
      <c r="C6" s="21" t="s">
        <v>1126</v>
      </c>
      <c r="D6" s="21" t="s">
        <v>1128</v>
      </c>
      <c r="E6" s="32" t="s">
        <v>25</v>
      </c>
      <c r="F6" s="21" t="s">
        <v>1133</v>
      </c>
      <c r="G6" s="21" t="s">
        <v>1135</v>
      </c>
      <c r="H6" s="21" t="s">
        <v>1137</v>
      </c>
      <c r="I6" s="21" t="s">
        <v>55</v>
      </c>
      <c r="J6" s="26" t="s">
        <v>41</v>
      </c>
      <c r="K6" s="21"/>
      <c r="L6" s="54"/>
      <c r="M6" s="26" t="s">
        <v>59</v>
      </c>
    </row>
    <row r="7" ht="30.0" customHeight="1">
      <c r="A7" s="27" t="s">
        <v>1144</v>
      </c>
      <c r="B7" s="19" t="s">
        <v>42</v>
      </c>
      <c r="C7" s="28" t="s">
        <v>1146</v>
      </c>
      <c r="D7" s="28" t="s">
        <v>1148</v>
      </c>
      <c r="E7" s="30" t="s">
        <v>25</v>
      </c>
      <c r="F7" s="28" t="s">
        <v>1151</v>
      </c>
      <c r="G7" s="28" t="s">
        <v>1135</v>
      </c>
      <c r="H7" s="28" t="s">
        <v>1155</v>
      </c>
      <c r="I7" s="28" t="s">
        <v>55</v>
      </c>
      <c r="J7" s="26" t="s">
        <v>41</v>
      </c>
      <c r="K7" s="28"/>
      <c r="L7" s="55"/>
      <c r="M7" s="26" t="s">
        <v>59</v>
      </c>
    </row>
    <row r="8" ht="18.0" customHeight="1">
      <c r="A8" s="16" t="s">
        <v>1160</v>
      </c>
      <c r="B8" s="4"/>
      <c r="C8" s="4"/>
      <c r="D8" s="4"/>
      <c r="E8" s="4"/>
      <c r="F8" s="4"/>
      <c r="G8" s="4"/>
      <c r="H8" s="4"/>
      <c r="I8" s="4"/>
      <c r="J8" s="4"/>
      <c r="K8" s="4"/>
      <c r="L8" s="5"/>
    </row>
    <row r="9" ht="43.5" customHeight="1">
      <c r="A9" s="18" t="s">
        <v>1164</v>
      </c>
      <c r="B9" s="19" t="s">
        <v>42</v>
      </c>
      <c r="C9" s="21" t="s">
        <v>1167</v>
      </c>
      <c r="D9" s="21" t="s">
        <v>1168</v>
      </c>
      <c r="E9" s="32" t="s">
        <v>25</v>
      </c>
      <c r="F9" s="21" t="s">
        <v>1170</v>
      </c>
      <c r="G9" s="21" t="s">
        <v>1172</v>
      </c>
      <c r="H9" s="21" t="s">
        <v>1173</v>
      </c>
      <c r="I9" s="21" t="s">
        <v>55</v>
      </c>
      <c r="J9" s="26" t="s">
        <v>41</v>
      </c>
      <c r="K9" s="21"/>
      <c r="L9" s="54"/>
      <c r="M9" s="26" t="s">
        <v>59</v>
      </c>
    </row>
    <row r="10" ht="18.0" customHeight="1">
      <c r="A10" s="16" t="s">
        <v>1176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5"/>
    </row>
    <row r="11" ht="30.0" customHeight="1">
      <c r="A11" s="18" t="s">
        <v>1181</v>
      </c>
      <c r="B11" s="19" t="s">
        <v>38</v>
      </c>
      <c r="C11" s="21" t="s">
        <v>1182</v>
      </c>
      <c r="D11" s="21" t="s">
        <v>1183</v>
      </c>
      <c r="E11" s="23" t="s">
        <v>15</v>
      </c>
      <c r="F11" s="21" t="s">
        <v>1185</v>
      </c>
      <c r="G11" s="21" t="s">
        <v>1187</v>
      </c>
      <c r="H11" s="21" t="s">
        <v>1189</v>
      </c>
      <c r="I11" s="25" t="s">
        <v>56</v>
      </c>
      <c r="J11" s="26" t="s">
        <v>41</v>
      </c>
      <c r="K11" s="21"/>
      <c r="L11" s="54"/>
      <c r="M11" s="26" t="s">
        <v>59</v>
      </c>
    </row>
    <row r="12" ht="30.0" customHeight="1">
      <c r="A12" s="27" t="s">
        <v>1193</v>
      </c>
      <c r="B12" s="19" t="s">
        <v>42</v>
      </c>
      <c r="C12" s="28" t="s">
        <v>1194</v>
      </c>
      <c r="D12" s="28" t="s">
        <v>1196</v>
      </c>
      <c r="E12" s="30" t="s">
        <v>32</v>
      </c>
      <c r="F12" s="28" t="s">
        <v>1198</v>
      </c>
      <c r="G12" s="28" t="s">
        <v>1200</v>
      </c>
      <c r="H12" s="28" t="s">
        <v>1201</v>
      </c>
      <c r="I12" s="28" t="s">
        <v>55</v>
      </c>
      <c r="J12" s="26" t="s">
        <v>41</v>
      </c>
      <c r="K12" s="28"/>
      <c r="L12" s="55"/>
      <c r="M12" s="26" t="s">
        <v>59</v>
      </c>
    </row>
    <row r="13" ht="18.0" customHeight="1">
      <c r="A13" s="16" t="s">
        <v>1205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</row>
    <row r="14" ht="30.0" customHeight="1">
      <c r="A14" s="18" t="s">
        <v>1206</v>
      </c>
      <c r="B14" s="19" t="s">
        <v>42</v>
      </c>
      <c r="C14" s="21" t="s">
        <v>1207</v>
      </c>
      <c r="D14" s="21" t="s">
        <v>1209</v>
      </c>
      <c r="E14" s="23" t="s">
        <v>15</v>
      </c>
      <c r="F14" s="21" t="s">
        <v>1210</v>
      </c>
      <c r="G14" s="21" t="s">
        <v>1211</v>
      </c>
      <c r="H14" s="21" t="s">
        <v>1212</v>
      </c>
      <c r="I14" s="21" t="s">
        <v>55</v>
      </c>
      <c r="J14" s="26" t="s">
        <v>41</v>
      </c>
      <c r="K14" s="21"/>
      <c r="L14" s="54"/>
      <c r="M14" s="26" t="s">
        <v>59</v>
      </c>
    </row>
    <row r="15" ht="30.0" customHeight="1">
      <c r="A15" s="27" t="s">
        <v>1213</v>
      </c>
      <c r="B15" s="19" t="s">
        <v>38</v>
      </c>
      <c r="C15" s="28" t="s">
        <v>1214</v>
      </c>
      <c r="D15" s="28" t="s">
        <v>1215</v>
      </c>
      <c r="E15" s="23" t="s">
        <v>15</v>
      </c>
      <c r="F15" s="28" t="s">
        <v>1216</v>
      </c>
      <c r="G15" s="28" t="s">
        <v>1217</v>
      </c>
      <c r="H15" s="28" t="s">
        <v>1218</v>
      </c>
      <c r="I15" s="41" t="s">
        <v>56</v>
      </c>
      <c r="J15" s="26" t="s">
        <v>41</v>
      </c>
      <c r="K15" s="28"/>
      <c r="L15" s="55"/>
      <c r="M15" s="26" t="s">
        <v>59</v>
      </c>
    </row>
    <row r="16" ht="30.0" customHeight="1">
      <c r="A16" s="18" t="s">
        <v>1219</v>
      </c>
      <c r="B16" s="19" t="s">
        <v>38</v>
      </c>
      <c r="C16" s="21" t="s">
        <v>1220</v>
      </c>
      <c r="D16" s="21" t="s">
        <v>1215</v>
      </c>
      <c r="E16" s="23" t="s">
        <v>15</v>
      </c>
      <c r="F16" s="21" t="s">
        <v>1221</v>
      </c>
      <c r="G16" s="21" t="s">
        <v>1222</v>
      </c>
      <c r="H16" s="21" t="s">
        <v>1223</v>
      </c>
      <c r="I16" s="25" t="s">
        <v>56</v>
      </c>
      <c r="J16" s="26" t="s">
        <v>41</v>
      </c>
      <c r="K16" s="21"/>
      <c r="L16" s="54"/>
      <c r="M16" s="26" t="s">
        <v>1225</v>
      </c>
    </row>
    <row r="17" ht="30.0" customHeight="1">
      <c r="A17" s="27" t="s">
        <v>1226</v>
      </c>
      <c r="B17" s="19" t="s">
        <v>38</v>
      </c>
      <c r="C17" s="28" t="s">
        <v>1227</v>
      </c>
      <c r="D17" s="28" t="s">
        <v>1215</v>
      </c>
      <c r="E17" s="23" t="s">
        <v>15</v>
      </c>
      <c r="F17" s="28" t="s">
        <v>1228</v>
      </c>
      <c r="G17" s="28" t="s">
        <v>1229</v>
      </c>
      <c r="H17" s="28" t="s">
        <v>1230</v>
      </c>
      <c r="I17" s="41" t="s">
        <v>56</v>
      </c>
      <c r="J17" s="26" t="s">
        <v>41</v>
      </c>
      <c r="K17" s="28"/>
      <c r="L17" s="55"/>
      <c r="M17" s="26" t="s">
        <v>59</v>
      </c>
    </row>
    <row r="18" ht="30.0" customHeight="1">
      <c r="A18" s="18" t="s">
        <v>1231</v>
      </c>
      <c r="B18" s="19" t="s">
        <v>42</v>
      </c>
      <c r="C18" s="21" t="s">
        <v>1232</v>
      </c>
      <c r="D18" s="21" t="s">
        <v>1233</v>
      </c>
      <c r="E18" s="23" t="s">
        <v>15</v>
      </c>
      <c r="F18" s="21" t="s">
        <v>1234</v>
      </c>
      <c r="G18" s="21" t="s">
        <v>1235</v>
      </c>
      <c r="H18" s="21" t="s">
        <v>1236</v>
      </c>
      <c r="I18" s="21" t="s">
        <v>55</v>
      </c>
      <c r="J18" s="26" t="s">
        <v>41</v>
      </c>
      <c r="K18" s="21"/>
      <c r="L18" s="54"/>
      <c r="M18" s="26" t="s">
        <v>59</v>
      </c>
    </row>
    <row r="19" ht="43.5" customHeight="1">
      <c r="A19" s="27" t="s">
        <v>1237</v>
      </c>
      <c r="B19" s="19" t="s">
        <v>42</v>
      </c>
      <c r="C19" s="28" t="s">
        <v>1238</v>
      </c>
      <c r="D19" s="28" t="s">
        <v>1148</v>
      </c>
      <c r="E19" s="23" t="s">
        <v>15</v>
      </c>
      <c r="F19" s="28" t="s">
        <v>1239</v>
      </c>
      <c r="G19" s="28" t="s">
        <v>1240</v>
      </c>
      <c r="H19" s="28" t="s">
        <v>1241</v>
      </c>
      <c r="I19" s="28" t="s">
        <v>55</v>
      </c>
      <c r="J19" s="26" t="s">
        <v>41</v>
      </c>
      <c r="K19" s="28"/>
      <c r="L19" s="55"/>
      <c r="M19" s="26" t="s">
        <v>59</v>
      </c>
    </row>
    <row r="20" ht="30.0" customHeight="1">
      <c r="A20" s="18" t="s">
        <v>1242</v>
      </c>
      <c r="B20" s="19" t="s">
        <v>38</v>
      </c>
      <c r="C20" s="21" t="s">
        <v>1245</v>
      </c>
      <c r="D20" s="21" t="s">
        <v>1246</v>
      </c>
      <c r="E20" s="23" t="s">
        <v>15</v>
      </c>
      <c r="F20" s="21" t="s">
        <v>1247</v>
      </c>
      <c r="G20" s="21" t="s">
        <v>1248</v>
      </c>
      <c r="H20" s="21" t="s">
        <v>1249</v>
      </c>
      <c r="I20" s="25" t="s">
        <v>56</v>
      </c>
      <c r="J20" s="26" t="s">
        <v>41</v>
      </c>
      <c r="K20" s="21"/>
      <c r="L20" s="54"/>
      <c r="M20" s="26" t="s">
        <v>59</v>
      </c>
    </row>
    <row r="21" ht="30.0" customHeight="1">
      <c r="A21" s="27" t="s">
        <v>1250</v>
      </c>
      <c r="B21" s="19" t="s">
        <v>42</v>
      </c>
      <c r="C21" s="28" t="s">
        <v>1251</v>
      </c>
      <c r="D21" s="28" t="s">
        <v>1252</v>
      </c>
      <c r="E21" s="30" t="s">
        <v>25</v>
      </c>
      <c r="F21" s="28" t="s">
        <v>1253</v>
      </c>
      <c r="G21" s="28" t="s">
        <v>1254</v>
      </c>
      <c r="H21" s="28" t="s">
        <v>1255</v>
      </c>
      <c r="I21" s="28" t="s">
        <v>55</v>
      </c>
      <c r="J21" s="26" t="s">
        <v>41</v>
      </c>
      <c r="K21" s="28"/>
      <c r="L21" s="55"/>
      <c r="M21" s="26" t="s">
        <v>59</v>
      </c>
    </row>
    <row r="22" ht="15.0" customHeight="1">
      <c r="A22" s="52" t="s">
        <v>203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5"/>
    </row>
    <row r="23" ht="53.25" customHeight="1">
      <c r="A23" s="26" t="s">
        <v>207</v>
      </c>
      <c r="B23" s="26" t="s">
        <v>209</v>
      </c>
      <c r="C23" s="26" t="s">
        <v>211</v>
      </c>
      <c r="D23" s="26" t="s">
        <v>212</v>
      </c>
      <c r="E23" s="26" t="s">
        <v>25</v>
      </c>
      <c r="F23" s="26" t="s">
        <v>215</v>
      </c>
      <c r="G23" s="26" t="s">
        <v>217</v>
      </c>
      <c r="H23" s="26" t="s">
        <v>218</v>
      </c>
      <c r="I23" s="26" t="s">
        <v>55</v>
      </c>
      <c r="J23" s="26" t="s">
        <v>54</v>
      </c>
      <c r="K23" s="26"/>
      <c r="L23" s="26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L1"/>
    <mergeCell ref="A2:L2"/>
    <mergeCell ref="A5:L5"/>
    <mergeCell ref="A8:L8"/>
    <mergeCell ref="A10:L10"/>
    <mergeCell ref="A13:L13"/>
    <mergeCell ref="A22:L22"/>
  </mergeCells>
  <dataValidations>
    <dataValidation type="list" allowBlank="1" sqref="E6:E7 E9 E11:E12 E14:E21 E23">
      <formula1>"P1,P2,P3"</formula1>
    </dataValidation>
    <dataValidation type="list" allowBlank="1" sqref="J6:J7 J9 J11:J12 J14:J21 J23">
      <formula1>"Not Run,Pass,Fail,Blocked,Skip,N/A"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30.0"/>
    <col customWidth="1" min="4" max="4" width="26.0"/>
    <col customWidth="1" min="5" max="5" width="9.0"/>
    <col customWidth="1" min="6" max="6" width="36.0"/>
    <col customWidth="1" min="7" max="7" width="32.0"/>
    <col customWidth="1" min="8" max="8" width="48.0"/>
    <col customWidth="1" min="9" max="9" width="11.0"/>
    <col customWidth="1" min="10" max="11" width="10.0"/>
    <col customWidth="1" min="12" max="12" width="40.0"/>
    <col customWidth="1" min="13" max="13" width="55.0"/>
  </cols>
  <sheetData>
    <row r="1" ht="24.0" customHeight="1">
      <c r="A1" s="1" t="s">
        <v>1259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15.0" customHeight="1">
      <c r="A2" s="10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4" ht="25.5" customHeight="1">
      <c r="A4" s="12" t="s">
        <v>10</v>
      </c>
      <c r="B4" s="12" t="s">
        <v>12</v>
      </c>
      <c r="C4" s="12" t="s">
        <v>14</v>
      </c>
      <c r="D4" s="12" t="s">
        <v>16</v>
      </c>
      <c r="E4" s="12" t="s">
        <v>17</v>
      </c>
      <c r="F4" s="12" t="s">
        <v>19</v>
      </c>
      <c r="G4" s="12" t="s">
        <v>20</v>
      </c>
      <c r="H4" s="12" t="s">
        <v>21</v>
      </c>
      <c r="I4" s="12" t="s">
        <v>23</v>
      </c>
      <c r="J4" s="12" t="s">
        <v>24</v>
      </c>
      <c r="K4" s="12" t="s">
        <v>26</v>
      </c>
      <c r="L4" s="12" t="s">
        <v>27</v>
      </c>
      <c r="M4" s="12" t="s">
        <v>29</v>
      </c>
    </row>
    <row r="5" ht="18.0" customHeight="1">
      <c r="A5" s="16" t="s">
        <v>1261</v>
      </c>
      <c r="B5" s="4"/>
      <c r="C5" s="4"/>
      <c r="D5" s="4"/>
      <c r="E5" s="4"/>
      <c r="F5" s="4"/>
      <c r="G5" s="4"/>
      <c r="H5" s="4"/>
      <c r="I5" s="4"/>
      <c r="J5" s="4"/>
      <c r="K5" s="4"/>
      <c r="L5" s="5"/>
    </row>
    <row r="6" ht="43.5" customHeight="1">
      <c r="A6" s="18" t="s">
        <v>1262</v>
      </c>
      <c r="B6" s="19" t="s">
        <v>42</v>
      </c>
      <c r="C6" s="21" t="s">
        <v>1263</v>
      </c>
      <c r="D6" s="21" t="s">
        <v>1038</v>
      </c>
      <c r="E6" s="23" t="s">
        <v>15</v>
      </c>
      <c r="F6" s="21" t="s">
        <v>1264</v>
      </c>
      <c r="G6" s="21" t="s">
        <v>1265</v>
      </c>
      <c r="H6" s="21" t="s">
        <v>1266</v>
      </c>
      <c r="I6" s="21" t="s">
        <v>55</v>
      </c>
      <c r="J6" s="26" t="s">
        <v>41</v>
      </c>
      <c r="K6" s="21"/>
      <c r="L6" s="21"/>
      <c r="M6" s="26" t="s">
        <v>59</v>
      </c>
    </row>
    <row r="7" ht="30.0" customHeight="1">
      <c r="A7" s="27" t="s">
        <v>1269</v>
      </c>
      <c r="B7" s="19" t="s">
        <v>42</v>
      </c>
      <c r="C7" s="28" t="s">
        <v>1270</v>
      </c>
      <c r="D7" s="28" t="s">
        <v>174</v>
      </c>
      <c r="E7" s="30" t="s">
        <v>25</v>
      </c>
      <c r="F7" s="28" t="s">
        <v>1271</v>
      </c>
      <c r="G7" s="28" t="s">
        <v>1272</v>
      </c>
      <c r="H7" s="28" t="s">
        <v>1273</v>
      </c>
      <c r="I7" s="28" t="s">
        <v>55</v>
      </c>
      <c r="J7" s="26" t="s">
        <v>41</v>
      </c>
      <c r="K7" s="28"/>
      <c r="L7" s="28"/>
      <c r="M7" s="26" t="s">
        <v>59</v>
      </c>
    </row>
    <row r="8" ht="18.0" customHeight="1">
      <c r="A8" s="16" t="s">
        <v>1274</v>
      </c>
      <c r="B8" s="4"/>
      <c r="C8" s="4"/>
      <c r="D8" s="4"/>
      <c r="E8" s="4"/>
      <c r="F8" s="4"/>
      <c r="G8" s="4"/>
      <c r="H8" s="4"/>
      <c r="I8" s="4"/>
      <c r="J8" s="4"/>
      <c r="K8" s="4"/>
      <c r="L8" s="5"/>
    </row>
    <row r="9" ht="30.0" customHeight="1">
      <c r="A9" s="18" t="s">
        <v>1276</v>
      </c>
      <c r="B9" s="19" t="s">
        <v>42</v>
      </c>
      <c r="C9" s="21" t="s">
        <v>1278</v>
      </c>
      <c r="D9" s="21" t="s">
        <v>174</v>
      </c>
      <c r="E9" s="32" t="s">
        <v>25</v>
      </c>
      <c r="F9" s="21" t="s">
        <v>662</v>
      </c>
      <c r="G9" s="21" t="s">
        <v>1280</v>
      </c>
      <c r="H9" s="21" t="s">
        <v>1282</v>
      </c>
      <c r="I9" s="21" t="s">
        <v>55</v>
      </c>
      <c r="J9" s="26" t="s">
        <v>41</v>
      </c>
      <c r="K9" s="21"/>
      <c r="L9" s="21"/>
      <c r="M9" s="26" t="s">
        <v>59</v>
      </c>
    </row>
    <row r="10" ht="18.0" customHeight="1">
      <c r="A10" s="16" t="s">
        <v>1287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5"/>
    </row>
    <row r="11" ht="43.5" customHeight="1">
      <c r="A11" s="18" t="s">
        <v>1289</v>
      </c>
      <c r="B11" s="19" t="s">
        <v>42</v>
      </c>
      <c r="C11" s="21" t="s">
        <v>1290</v>
      </c>
      <c r="D11" s="21" t="s">
        <v>174</v>
      </c>
      <c r="E11" s="23" t="s">
        <v>15</v>
      </c>
      <c r="F11" s="21" t="s">
        <v>1292</v>
      </c>
      <c r="G11" s="21" t="s">
        <v>1295</v>
      </c>
      <c r="H11" s="21" t="s">
        <v>1297</v>
      </c>
      <c r="I11" s="21" t="s">
        <v>55</v>
      </c>
      <c r="J11" s="26" t="s">
        <v>41</v>
      </c>
      <c r="K11" s="21"/>
      <c r="L11" s="21"/>
      <c r="M11" s="26" t="s">
        <v>59</v>
      </c>
    </row>
    <row r="12" ht="43.5" customHeight="1">
      <c r="A12" s="27" t="s">
        <v>1301</v>
      </c>
      <c r="B12" s="19" t="s">
        <v>38</v>
      </c>
      <c r="C12" s="28" t="s">
        <v>1302</v>
      </c>
      <c r="D12" s="28" t="s">
        <v>174</v>
      </c>
      <c r="E12" s="23" t="s">
        <v>15</v>
      </c>
      <c r="F12" s="28" t="s">
        <v>1306</v>
      </c>
      <c r="G12" s="28" t="s">
        <v>1307</v>
      </c>
      <c r="H12" s="28" t="s">
        <v>1309</v>
      </c>
      <c r="I12" s="41" t="s">
        <v>56</v>
      </c>
      <c r="J12" s="26" t="s">
        <v>41</v>
      </c>
      <c r="K12" s="28"/>
      <c r="L12" s="28"/>
      <c r="M12" s="26" t="s">
        <v>59</v>
      </c>
    </row>
    <row r="13" ht="15.0" customHeight="1">
      <c r="A13" s="52" t="s">
        <v>203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</row>
    <row r="14" ht="53.25" customHeight="1">
      <c r="A14" s="26" t="s">
        <v>207</v>
      </c>
      <c r="B14" s="26" t="s">
        <v>209</v>
      </c>
      <c r="C14" s="26" t="s">
        <v>211</v>
      </c>
      <c r="D14" s="26" t="s">
        <v>212</v>
      </c>
      <c r="E14" s="26" t="s">
        <v>25</v>
      </c>
      <c r="F14" s="26" t="s">
        <v>215</v>
      </c>
      <c r="G14" s="26" t="s">
        <v>217</v>
      </c>
      <c r="H14" s="26" t="s">
        <v>218</v>
      </c>
      <c r="I14" s="26" t="s">
        <v>55</v>
      </c>
      <c r="J14" s="26" t="s">
        <v>54</v>
      </c>
      <c r="K14" s="26"/>
      <c r="L14" s="2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L1"/>
    <mergeCell ref="A2:L2"/>
    <mergeCell ref="A5:L5"/>
    <mergeCell ref="A8:L8"/>
    <mergeCell ref="A10:L10"/>
    <mergeCell ref="A13:L13"/>
  </mergeCells>
  <dataValidations>
    <dataValidation type="list" allowBlank="1" sqref="E6:E7 E9 E11:E12 E14">
      <formula1>"P1,P2,P3"</formula1>
    </dataValidation>
    <dataValidation type="list" allowBlank="1" sqref="J6:J7 J9 J11:J12 J14">
      <formula1>"Not Run,Pass,Fail,Blocked,Skip,N/A"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30.0"/>
    <col customWidth="1" min="4" max="4" width="26.0"/>
    <col customWidth="1" min="5" max="5" width="9.0"/>
    <col customWidth="1" min="6" max="6" width="36.0"/>
    <col customWidth="1" min="7" max="7" width="32.0"/>
    <col customWidth="1" min="8" max="8" width="48.0"/>
    <col customWidth="1" min="9" max="9" width="11.0"/>
    <col customWidth="1" min="10" max="11" width="10.0"/>
    <col customWidth="1" min="12" max="12" width="40.0"/>
    <col customWidth="1" min="13" max="13" width="55.0"/>
  </cols>
  <sheetData>
    <row r="1" ht="24.0" customHeight="1">
      <c r="A1" s="1" t="s">
        <v>1267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15.0" customHeight="1">
      <c r="A2" s="10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4" ht="25.5" customHeight="1">
      <c r="A4" s="12" t="s">
        <v>10</v>
      </c>
      <c r="B4" s="12" t="s">
        <v>12</v>
      </c>
      <c r="C4" s="12" t="s">
        <v>14</v>
      </c>
      <c r="D4" s="12" t="s">
        <v>16</v>
      </c>
      <c r="E4" s="12" t="s">
        <v>17</v>
      </c>
      <c r="F4" s="12" t="s">
        <v>19</v>
      </c>
      <c r="G4" s="12" t="s">
        <v>20</v>
      </c>
      <c r="H4" s="12" t="s">
        <v>21</v>
      </c>
      <c r="I4" s="12" t="s">
        <v>23</v>
      </c>
      <c r="J4" s="12" t="s">
        <v>24</v>
      </c>
      <c r="K4" s="12" t="s">
        <v>26</v>
      </c>
      <c r="L4" s="12" t="s">
        <v>27</v>
      </c>
      <c r="M4" s="12" t="s">
        <v>29</v>
      </c>
    </row>
    <row r="5" ht="18.0" customHeight="1">
      <c r="A5" s="16" t="s">
        <v>1277</v>
      </c>
      <c r="B5" s="4"/>
      <c r="C5" s="4"/>
      <c r="D5" s="4"/>
      <c r="E5" s="4"/>
      <c r="F5" s="4"/>
      <c r="G5" s="4"/>
      <c r="H5" s="4"/>
      <c r="I5" s="4"/>
      <c r="J5" s="4"/>
      <c r="K5" s="4"/>
      <c r="L5" s="5"/>
    </row>
    <row r="6" ht="43.5" customHeight="1">
      <c r="A6" s="18" t="s">
        <v>1279</v>
      </c>
      <c r="B6" s="19" t="s">
        <v>42</v>
      </c>
      <c r="C6" s="21" t="s">
        <v>1281</v>
      </c>
      <c r="D6" s="21" t="s">
        <v>1283</v>
      </c>
      <c r="E6" s="23" t="s">
        <v>15</v>
      </c>
      <c r="F6" s="21" t="s">
        <v>1284</v>
      </c>
      <c r="G6" s="21" t="s">
        <v>1285</v>
      </c>
      <c r="H6" s="21" t="s">
        <v>1286</v>
      </c>
      <c r="I6" s="21" t="s">
        <v>55</v>
      </c>
      <c r="J6" s="26" t="s">
        <v>41</v>
      </c>
      <c r="K6" s="21"/>
      <c r="L6" s="21"/>
      <c r="M6" s="26" t="s">
        <v>59</v>
      </c>
    </row>
    <row r="7" ht="18.0" customHeight="1">
      <c r="A7" s="16" t="s">
        <v>1288</v>
      </c>
      <c r="B7" s="4"/>
      <c r="C7" s="4"/>
      <c r="D7" s="4"/>
      <c r="E7" s="4"/>
      <c r="F7" s="4"/>
      <c r="G7" s="4"/>
      <c r="H7" s="4"/>
      <c r="I7" s="4"/>
      <c r="J7" s="4"/>
      <c r="K7" s="4"/>
      <c r="L7" s="5"/>
    </row>
    <row r="8" ht="30.0" customHeight="1">
      <c r="A8" s="18" t="s">
        <v>1291</v>
      </c>
      <c r="B8" s="19" t="s">
        <v>38</v>
      </c>
      <c r="C8" s="21" t="s">
        <v>1294</v>
      </c>
      <c r="D8" s="21" t="s">
        <v>183</v>
      </c>
      <c r="E8" s="23" t="s">
        <v>15</v>
      </c>
      <c r="F8" s="21" t="s">
        <v>1298</v>
      </c>
      <c r="G8" s="21" t="s">
        <v>1299</v>
      </c>
      <c r="H8" s="21" t="s">
        <v>1300</v>
      </c>
      <c r="I8" s="25" t="s">
        <v>56</v>
      </c>
      <c r="J8" s="26" t="s">
        <v>41</v>
      </c>
      <c r="K8" s="21"/>
      <c r="L8" s="21"/>
      <c r="M8" s="26" t="s">
        <v>59</v>
      </c>
    </row>
    <row r="9" ht="30.0" customHeight="1">
      <c r="A9" s="27" t="s">
        <v>1303</v>
      </c>
      <c r="B9" s="19" t="s">
        <v>42</v>
      </c>
      <c r="C9" s="28" t="s">
        <v>1304</v>
      </c>
      <c r="D9" s="28" t="s">
        <v>1305</v>
      </c>
      <c r="E9" s="30" t="s">
        <v>32</v>
      </c>
      <c r="F9" s="28" t="s">
        <v>1308</v>
      </c>
      <c r="G9" s="28" t="s">
        <v>1310</v>
      </c>
      <c r="H9" s="28" t="s">
        <v>1311</v>
      </c>
      <c r="I9" s="28" t="s">
        <v>55</v>
      </c>
      <c r="J9" s="26" t="s">
        <v>41</v>
      </c>
      <c r="K9" s="28"/>
      <c r="L9" s="55"/>
      <c r="M9" s="26" t="s">
        <v>59</v>
      </c>
    </row>
    <row r="10" ht="30.0" customHeight="1">
      <c r="A10" s="18" t="s">
        <v>1312</v>
      </c>
      <c r="B10" s="19" t="s">
        <v>42</v>
      </c>
      <c r="C10" s="21" t="s">
        <v>1313</v>
      </c>
      <c r="D10" s="21" t="s">
        <v>1314</v>
      </c>
      <c r="E10" s="32" t="s">
        <v>32</v>
      </c>
      <c r="F10" s="21" t="s">
        <v>1315</v>
      </c>
      <c r="G10" s="21" t="s">
        <v>1316</v>
      </c>
      <c r="H10" s="21" t="s">
        <v>1317</v>
      </c>
      <c r="I10" s="21" t="s">
        <v>55</v>
      </c>
      <c r="J10" s="26" t="s">
        <v>41</v>
      </c>
      <c r="K10" s="21"/>
      <c r="L10" s="21"/>
      <c r="M10" s="26" t="s">
        <v>59</v>
      </c>
    </row>
    <row r="11" ht="15.0" customHeight="1">
      <c r="A11" s="52" t="s">
        <v>203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</row>
    <row r="12" ht="53.25" customHeight="1">
      <c r="A12" s="26" t="s">
        <v>207</v>
      </c>
      <c r="B12" s="26" t="s">
        <v>209</v>
      </c>
      <c r="C12" s="26" t="s">
        <v>211</v>
      </c>
      <c r="D12" s="26" t="s">
        <v>212</v>
      </c>
      <c r="E12" s="26" t="s">
        <v>25</v>
      </c>
      <c r="F12" s="26" t="s">
        <v>215</v>
      </c>
      <c r="G12" s="26" t="s">
        <v>217</v>
      </c>
      <c r="H12" s="26" t="s">
        <v>218</v>
      </c>
      <c r="I12" s="26" t="s">
        <v>55</v>
      </c>
      <c r="J12" s="26" t="s">
        <v>54</v>
      </c>
      <c r="K12" s="26"/>
      <c r="L12" s="2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L1"/>
    <mergeCell ref="A2:L2"/>
    <mergeCell ref="A5:L5"/>
    <mergeCell ref="A7:L7"/>
    <mergeCell ref="A11:L11"/>
  </mergeCells>
  <dataValidations>
    <dataValidation type="list" allowBlank="1" sqref="E6 E8:E10 E12">
      <formula1>"P1,P2,P3"</formula1>
    </dataValidation>
    <dataValidation type="list" allowBlank="1" sqref="J6 J8:J10 J12">
      <formula1>"Not Run,Pass,Fail,Blocked,Skip,N/A"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30.0"/>
    <col customWidth="1" min="4" max="4" width="26.0"/>
    <col customWidth="1" min="5" max="5" width="9.0"/>
    <col customWidth="1" min="6" max="6" width="36.0"/>
    <col customWidth="1" min="7" max="7" width="32.0"/>
    <col customWidth="1" min="8" max="8" width="48.0"/>
    <col customWidth="1" min="9" max="9" width="11.0"/>
    <col customWidth="1" min="10" max="11" width="10.0"/>
    <col customWidth="1" min="12" max="12" width="40.0"/>
    <col customWidth="1" min="13" max="13" width="55.0"/>
  </cols>
  <sheetData>
    <row r="1" ht="24.0" customHeight="1">
      <c r="A1" s="1" t="s">
        <v>1319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15.0" customHeight="1">
      <c r="A2" s="10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4" ht="25.5" customHeight="1">
      <c r="A4" s="12" t="s">
        <v>10</v>
      </c>
      <c r="B4" s="12" t="s">
        <v>12</v>
      </c>
      <c r="C4" s="12" t="s">
        <v>14</v>
      </c>
      <c r="D4" s="12" t="s">
        <v>16</v>
      </c>
      <c r="E4" s="12" t="s">
        <v>17</v>
      </c>
      <c r="F4" s="12" t="s">
        <v>19</v>
      </c>
      <c r="G4" s="12" t="s">
        <v>20</v>
      </c>
      <c r="H4" s="12" t="s">
        <v>21</v>
      </c>
      <c r="I4" s="12" t="s">
        <v>23</v>
      </c>
      <c r="J4" s="12" t="s">
        <v>24</v>
      </c>
      <c r="K4" s="12" t="s">
        <v>26</v>
      </c>
      <c r="L4" s="12" t="s">
        <v>27</v>
      </c>
      <c r="M4" s="12" t="s">
        <v>29</v>
      </c>
    </row>
    <row r="5" ht="18.0" customHeight="1">
      <c r="A5" s="16" t="s">
        <v>1322</v>
      </c>
      <c r="B5" s="4"/>
      <c r="C5" s="4"/>
      <c r="D5" s="4"/>
      <c r="E5" s="4"/>
      <c r="F5" s="4"/>
      <c r="G5" s="4"/>
      <c r="H5" s="4"/>
      <c r="I5" s="4"/>
      <c r="J5" s="4"/>
      <c r="K5" s="4"/>
      <c r="L5" s="5"/>
    </row>
    <row r="6" ht="43.5" customHeight="1">
      <c r="A6" s="18" t="s">
        <v>1325</v>
      </c>
      <c r="B6" s="19" t="s">
        <v>38</v>
      </c>
      <c r="C6" s="21" t="s">
        <v>1326</v>
      </c>
      <c r="D6" s="21" t="s">
        <v>174</v>
      </c>
      <c r="E6" s="23" t="s">
        <v>15</v>
      </c>
      <c r="F6" s="21" t="s">
        <v>1327</v>
      </c>
      <c r="G6" s="21" t="s">
        <v>1328</v>
      </c>
      <c r="H6" s="21" t="s">
        <v>1330</v>
      </c>
      <c r="I6" s="25" t="s">
        <v>56</v>
      </c>
      <c r="J6" s="26" t="s">
        <v>41</v>
      </c>
      <c r="K6" s="21"/>
      <c r="L6" s="21"/>
      <c r="M6" s="26" t="s">
        <v>59</v>
      </c>
    </row>
    <row r="7" ht="43.5" customHeight="1">
      <c r="A7" s="27" t="s">
        <v>1331</v>
      </c>
      <c r="B7" s="19" t="s">
        <v>42</v>
      </c>
      <c r="C7" s="28" t="s">
        <v>1332</v>
      </c>
      <c r="D7" s="28" t="s">
        <v>174</v>
      </c>
      <c r="E7" s="23" t="s">
        <v>15</v>
      </c>
      <c r="F7" s="28" t="s">
        <v>1327</v>
      </c>
      <c r="G7" s="28" t="s">
        <v>1333</v>
      </c>
      <c r="H7" s="28" t="s">
        <v>1334</v>
      </c>
      <c r="I7" s="28" t="s">
        <v>55</v>
      </c>
      <c r="J7" s="26" t="s">
        <v>41</v>
      </c>
      <c r="K7" s="28"/>
      <c r="L7" s="28"/>
      <c r="M7" s="26" t="s">
        <v>59</v>
      </c>
    </row>
    <row r="8" ht="18.0" customHeight="1">
      <c r="A8" s="16" t="s">
        <v>1336</v>
      </c>
      <c r="B8" s="4"/>
      <c r="C8" s="4"/>
      <c r="D8" s="4"/>
      <c r="E8" s="4"/>
      <c r="F8" s="4"/>
      <c r="G8" s="4"/>
      <c r="H8" s="4"/>
      <c r="I8" s="4"/>
      <c r="J8" s="4"/>
      <c r="K8" s="4"/>
      <c r="L8" s="5"/>
    </row>
    <row r="9" ht="30.0" customHeight="1">
      <c r="A9" s="18" t="s">
        <v>1337</v>
      </c>
      <c r="B9" s="19" t="s">
        <v>42</v>
      </c>
      <c r="C9" s="21" t="s">
        <v>1338</v>
      </c>
      <c r="D9" s="21" t="s">
        <v>1339</v>
      </c>
      <c r="E9" s="32" t="s">
        <v>25</v>
      </c>
      <c r="F9" s="21" t="s">
        <v>1340</v>
      </c>
      <c r="G9" s="21" t="s">
        <v>1341</v>
      </c>
      <c r="H9" s="21" t="s">
        <v>1342</v>
      </c>
      <c r="I9" s="21" t="s">
        <v>55</v>
      </c>
      <c r="J9" s="26" t="s">
        <v>41</v>
      </c>
      <c r="K9" s="21"/>
      <c r="L9" s="21"/>
      <c r="M9" s="26" t="s">
        <v>59</v>
      </c>
    </row>
    <row r="10" ht="30.0" customHeight="1">
      <c r="A10" s="27" t="s">
        <v>1343</v>
      </c>
      <c r="B10" s="19" t="s">
        <v>42</v>
      </c>
      <c r="C10" s="28" t="s">
        <v>1344</v>
      </c>
      <c r="D10" s="28" t="s">
        <v>1345</v>
      </c>
      <c r="E10" s="30" t="s">
        <v>32</v>
      </c>
      <c r="F10" s="28" t="s">
        <v>1346</v>
      </c>
      <c r="G10" s="28" t="s">
        <v>1347</v>
      </c>
      <c r="H10" s="28" t="s">
        <v>1348</v>
      </c>
      <c r="I10" s="28" t="s">
        <v>55</v>
      </c>
      <c r="J10" s="26" t="s">
        <v>41</v>
      </c>
      <c r="K10" s="28"/>
      <c r="L10" s="28"/>
      <c r="M10" s="26" t="s">
        <v>59</v>
      </c>
    </row>
    <row r="11" ht="30.0" customHeight="1">
      <c r="A11" s="18" t="s">
        <v>1349</v>
      </c>
      <c r="B11" s="19" t="s">
        <v>42</v>
      </c>
      <c r="C11" s="21" t="s">
        <v>1350</v>
      </c>
      <c r="D11" s="21" t="s">
        <v>1345</v>
      </c>
      <c r="E11" s="32" t="s">
        <v>32</v>
      </c>
      <c r="F11" s="21" t="s">
        <v>1351</v>
      </c>
      <c r="G11" s="21" t="s">
        <v>1352</v>
      </c>
      <c r="H11" s="21" t="s">
        <v>1353</v>
      </c>
      <c r="I11" s="21" t="s">
        <v>55</v>
      </c>
      <c r="J11" s="26" t="s">
        <v>41</v>
      </c>
      <c r="K11" s="21"/>
      <c r="L11" s="21"/>
      <c r="M11" s="26" t="s">
        <v>59</v>
      </c>
    </row>
    <row r="12" ht="15.0" customHeight="1">
      <c r="A12" s="52" t="s">
        <v>203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5"/>
    </row>
    <row r="13" ht="53.25" customHeight="1">
      <c r="A13" s="26" t="s">
        <v>207</v>
      </c>
      <c r="B13" s="26" t="s">
        <v>209</v>
      </c>
      <c r="C13" s="26" t="s">
        <v>211</v>
      </c>
      <c r="D13" s="26" t="s">
        <v>212</v>
      </c>
      <c r="E13" s="26" t="s">
        <v>25</v>
      </c>
      <c r="F13" s="26" t="s">
        <v>215</v>
      </c>
      <c r="G13" s="26" t="s">
        <v>217</v>
      </c>
      <c r="H13" s="26" t="s">
        <v>218</v>
      </c>
      <c r="I13" s="26" t="s">
        <v>55</v>
      </c>
      <c r="J13" s="26" t="s">
        <v>54</v>
      </c>
      <c r="K13" s="26"/>
      <c r="L13" s="2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L1"/>
    <mergeCell ref="A2:L2"/>
    <mergeCell ref="A5:L5"/>
    <mergeCell ref="A8:L8"/>
    <mergeCell ref="A12:L12"/>
  </mergeCells>
  <dataValidations>
    <dataValidation type="list" allowBlank="1" sqref="E6:E7 E9:E11 E13">
      <formula1>"P1,P2,P3"</formula1>
    </dataValidation>
    <dataValidation type="list" allowBlank="1" sqref="J6:J7 J9:J11 J13">
      <formula1>"Not Run,Pass,Fail,Blocked,Skip,N/A"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30.0"/>
    <col customWidth="1" min="4" max="4" width="26.0"/>
    <col customWidth="1" min="5" max="5" width="9.0"/>
    <col customWidth="1" min="6" max="6" width="36.0"/>
    <col customWidth="1" min="7" max="7" width="32.0"/>
    <col customWidth="1" min="8" max="8" width="48.0"/>
    <col customWidth="1" min="9" max="9" width="11.0"/>
    <col customWidth="1" min="10" max="11" width="10.0"/>
    <col customWidth="1" min="12" max="12" width="40.0"/>
    <col customWidth="1" min="13" max="13" width="55.0"/>
  </cols>
  <sheetData>
    <row r="1" ht="24.0" customHeight="1">
      <c r="A1" s="1" t="s">
        <v>1357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15.0" customHeight="1">
      <c r="A2" s="10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4" ht="25.5" customHeight="1">
      <c r="A4" s="12" t="s">
        <v>10</v>
      </c>
      <c r="B4" s="12" t="s">
        <v>12</v>
      </c>
      <c r="C4" s="12" t="s">
        <v>14</v>
      </c>
      <c r="D4" s="12" t="s">
        <v>16</v>
      </c>
      <c r="E4" s="12" t="s">
        <v>17</v>
      </c>
      <c r="F4" s="12" t="s">
        <v>19</v>
      </c>
      <c r="G4" s="12" t="s">
        <v>20</v>
      </c>
      <c r="H4" s="12" t="s">
        <v>21</v>
      </c>
      <c r="I4" s="12" t="s">
        <v>23</v>
      </c>
      <c r="J4" s="12" t="s">
        <v>24</v>
      </c>
      <c r="K4" s="12" t="s">
        <v>26</v>
      </c>
      <c r="L4" s="12" t="s">
        <v>27</v>
      </c>
      <c r="M4" s="12" t="s">
        <v>29</v>
      </c>
    </row>
    <row r="5" ht="18.0" customHeight="1">
      <c r="A5" s="16" t="s">
        <v>1360</v>
      </c>
      <c r="B5" s="4"/>
      <c r="C5" s="4"/>
      <c r="D5" s="4"/>
      <c r="E5" s="4"/>
      <c r="F5" s="4"/>
      <c r="G5" s="4"/>
      <c r="H5" s="4"/>
      <c r="I5" s="4"/>
      <c r="J5" s="4"/>
      <c r="K5" s="4"/>
      <c r="L5" s="5"/>
    </row>
    <row r="6" ht="30.0" customHeight="1">
      <c r="A6" s="18" t="s">
        <v>1363</v>
      </c>
      <c r="B6" s="19" t="s">
        <v>42</v>
      </c>
      <c r="C6" s="21" t="s">
        <v>1364</v>
      </c>
      <c r="D6" s="21" t="s">
        <v>1365</v>
      </c>
      <c r="E6" s="32" t="s">
        <v>32</v>
      </c>
      <c r="F6" s="21" t="s">
        <v>1366</v>
      </c>
      <c r="G6" s="21" t="s">
        <v>1367</v>
      </c>
      <c r="H6" s="21" t="s">
        <v>1368</v>
      </c>
      <c r="I6" s="21" t="s">
        <v>55</v>
      </c>
      <c r="J6" s="26" t="s">
        <v>41</v>
      </c>
      <c r="K6" s="21"/>
      <c r="L6" s="54"/>
      <c r="M6" s="26" t="s">
        <v>59</v>
      </c>
    </row>
    <row r="7" ht="30.0" customHeight="1">
      <c r="A7" s="27" t="s">
        <v>1369</v>
      </c>
      <c r="B7" s="19" t="s">
        <v>38</v>
      </c>
      <c r="C7" s="28" t="s">
        <v>1370</v>
      </c>
      <c r="D7" s="28" t="s">
        <v>1371</v>
      </c>
      <c r="E7" s="30" t="s">
        <v>32</v>
      </c>
      <c r="F7" s="28" t="s">
        <v>1372</v>
      </c>
      <c r="G7" s="28" t="s">
        <v>1373</v>
      </c>
      <c r="H7" s="28" t="s">
        <v>1374</v>
      </c>
      <c r="I7" s="41" t="s">
        <v>56</v>
      </c>
      <c r="J7" s="26" t="s">
        <v>41</v>
      </c>
      <c r="K7" s="28"/>
      <c r="L7" s="55"/>
      <c r="M7" s="26" t="s">
        <v>59</v>
      </c>
    </row>
    <row r="8" ht="30.0" customHeight="1">
      <c r="A8" s="18" t="s">
        <v>1377</v>
      </c>
      <c r="B8" s="19" t="s">
        <v>38</v>
      </c>
      <c r="C8" s="21" t="s">
        <v>1378</v>
      </c>
      <c r="D8" s="21" t="s">
        <v>1371</v>
      </c>
      <c r="E8" s="32" t="s">
        <v>32</v>
      </c>
      <c r="F8" s="21" t="s">
        <v>1379</v>
      </c>
      <c r="G8" s="21" t="s">
        <v>1380</v>
      </c>
      <c r="H8" s="21" t="s">
        <v>1382</v>
      </c>
      <c r="I8" s="25" t="s">
        <v>56</v>
      </c>
      <c r="J8" s="26" t="s">
        <v>41</v>
      </c>
      <c r="K8" s="21"/>
      <c r="L8" s="54"/>
      <c r="M8" s="26" t="s">
        <v>59</v>
      </c>
    </row>
    <row r="9" ht="15.0" customHeight="1">
      <c r="A9" s="52" t="s">
        <v>203</v>
      </c>
      <c r="B9" s="4"/>
      <c r="C9" s="4"/>
      <c r="D9" s="4"/>
      <c r="E9" s="4"/>
      <c r="F9" s="4"/>
      <c r="G9" s="4"/>
      <c r="H9" s="4"/>
      <c r="I9" s="4"/>
      <c r="J9" s="4"/>
      <c r="K9" s="4"/>
      <c r="L9" s="5"/>
    </row>
    <row r="10" ht="53.25" customHeight="1">
      <c r="A10" s="26" t="s">
        <v>207</v>
      </c>
      <c r="B10" s="26" t="s">
        <v>209</v>
      </c>
      <c r="C10" s="26" t="s">
        <v>211</v>
      </c>
      <c r="D10" s="26" t="s">
        <v>212</v>
      </c>
      <c r="E10" s="26" t="s">
        <v>25</v>
      </c>
      <c r="F10" s="26" t="s">
        <v>215</v>
      </c>
      <c r="G10" s="26" t="s">
        <v>217</v>
      </c>
      <c r="H10" s="26" t="s">
        <v>218</v>
      </c>
      <c r="I10" s="26" t="s">
        <v>55</v>
      </c>
      <c r="J10" s="26" t="s">
        <v>54</v>
      </c>
      <c r="K10" s="26"/>
      <c r="L10" s="2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L1"/>
    <mergeCell ref="A2:L2"/>
    <mergeCell ref="A5:L5"/>
    <mergeCell ref="A9:L9"/>
  </mergeCells>
  <dataValidations>
    <dataValidation type="list" allowBlank="1" sqref="E6:E8 E10">
      <formula1>"P1,P2,P3"</formula1>
    </dataValidation>
    <dataValidation type="list" allowBlank="1" sqref="J6:J8 J10">
      <formula1>"Not Run,Pass,Fail,Blocked,Skip,N/A"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30.0"/>
    <col customWidth="1" min="4" max="4" width="26.0"/>
    <col customWidth="1" min="5" max="5" width="9.0"/>
    <col customWidth="1" min="6" max="6" width="36.0"/>
    <col customWidth="1" min="7" max="7" width="32.0"/>
    <col customWidth="1" min="8" max="8" width="48.0"/>
    <col customWidth="1" min="9" max="9" width="11.0"/>
    <col customWidth="1" min="10" max="11" width="10.0"/>
    <col customWidth="1" min="12" max="12" width="40.0"/>
    <col customWidth="1" min="13" max="13" width="55.0"/>
  </cols>
  <sheetData>
    <row r="1" ht="24.0" customHeight="1">
      <c r="A1" s="1" t="s">
        <v>1359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15.0" customHeight="1">
      <c r="A2" s="10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4" ht="25.5" customHeight="1">
      <c r="A4" s="12" t="s">
        <v>10</v>
      </c>
      <c r="B4" s="12" t="s">
        <v>12</v>
      </c>
      <c r="C4" s="12" t="s">
        <v>14</v>
      </c>
      <c r="D4" s="12" t="s">
        <v>16</v>
      </c>
      <c r="E4" s="12" t="s">
        <v>17</v>
      </c>
      <c r="F4" s="12" t="s">
        <v>19</v>
      </c>
      <c r="G4" s="12" t="s">
        <v>20</v>
      </c>
      <c r="H4" s="12" t="s">
        <v>21</v>
      </c>
      <c r="I4" s="12" t="s">
        <v>23</v>
      </c>
      <c r="J4" s="12" t="s">
        <v>24</v>
      </c>
      <c r="K4" s="12" t="s">
        <v>26</v>
      </c>
      <c r="L4" s="12" t="s">
        <v>27</v>
      </c>
      <c r="M4" s="12" t="s">
        <v>29</v>
      </c>
    </row>
    <row r="5" ht="18.0" customHeight="1">
      <c r="A5" s="16" t="s">
        <v>1376</v>
      </c>
      <c r="B5" s="4"/>
      <c r="C5" s="4"/>
      <c r="D5" s="4"/>
      <c r="E5" s="4"/>
      <c r="F5" s="4"/>
      <c r="G5" s="4"/>
      <c r="H5" s="4"/>
      <c r="I5" s="4"/>
      <c r="J5" s="4"/>
      <c r="K5" s="4"/>
      <c r="L5" s="5"/>
    </row>
    <row r="6" ht="30.0" customHeight="1">
      <c r="A6" s="18" t="s">
        <v>1381</v>
      </c>
      <c r="B6" s="19" t="s">
        <v>42</v>
      </c>
      <c r="C6" s="21" t="s">
        <v>1383</v>
      </c>
      <c r="D6" s="21" t="s">
        <v>1384</v>
      </c>
      <c r="E6" s="32" t="s">
        <v>25</v>
      </c>
      <c r="F6" s="21" t="s">
        <v>1385</v>
      </c>
      <c r="G6" s="21" t="s">
        <v>1386</v>
      </c>
      <c r="H6" s="21" t="s">
        <v>1387</v>
      </c>
      <c r="I6" s="21" t="s">
        <v>55</v>
      </c>
      <c r="J6" s="26" t="s">
        <v>41</v>
      </c>
      <c r="K6" s="21"/>
      <c r="L6" s="54"/>
      <c r="M6" s="26" t="s">
        <v>59</v>
      </c>
    </row>
    <row r="7" ht="18.0" customHeight="1">
      <c r="A7" s="16" t="s">
        <v>1388</v>
      </c>
      <c r="B7" s="4"/>
      <c r="C7" s="4"/>
      <c r="D7" s="4"/>
      <c r="E7" s="4"/>
      <c r="F7" s="4"/>
      <c r="G7" s="4"/>
      <c r="H7" s="4"/>
      <c r="I7" s="4"/>
      <c r="J7" s="4"/>
      <c r="K7" s="4"/>
      <c r="L7" s="5"/>
    </row>
    <row r="8" ht="30.0" customHeight="1">
      <c r="A8" s="18" t="s">
        <v>1390</v>
      </c>
      <c r="B8" s="19" t="s">
        <v>42</v>
      </c>
      <c r="C8" s="21" t="s">
        <v>1391</v>
      </c>
      <c r="D8" s="21" t="s">
        <v>1392</v>
      </c>
      <c r="E8" s="23" t="s">
        <v>15</v>
      </c>
      <c r="F8" s="21" t="s">
        <v>1393</v>
      </c>
      <c r="G8" s="21" t="s">
        <v>1394</v>
      </c>
      <c r="H8" s="21" t="s">
        <v>1395</v>
      </c>
      <c r="I8" s="21" t="s">
        <v>55</v>
      </c>
      <c r="J8" s="26" t="s">
        <v>41</v>
      </c>
      <c r="K8" s="21"/>
      <c r="L8" s="54"/>
      <c r="M8" s="26" t="s">
        <v>59</v>
      </c>
    </row>
    <row r="9" ht="46.5" customHeight="1">
      <c r="A9" s="27" t="s">
        <v>1396</v>
      </c>
      <c r="B9" s="19" t="s">
        <v>1397</v>
      </c>
      <c r="C9" s="28" t="s">
        <v>1398</v>
      </c>
      <c r="D9" s="28" t="s">
        <v>1399</v>
      </c>
      <c r="E9" s="23" t="s">
        <v>15</v>
      </c>
      <c r="F9" s="28" t="s">
        <v>1400</v>
      </c>
      <c r="G9" s="28" t="s">
        <v>1401</v>
      </c>
      <c r="H9" s="28" t="s">
        <v>1402</v>
      </c>
      <c r="I9" s="41" t="s">
        <v>56</v>
      </c>
      <c r="J9" s="26" t="s">
        <v>41</v>
      </c>
      <c r="K9" s="28"/>
      <c r="L9" s="55" t="s">
        <v>1403</v>
      </c>
      <c r="M9" s="26" t="s">
        <v>59</v>
      </c>
    </row>
    <row r="10" ht="18.0" customHeight="1">
      <c r="A10" s="16" t="s">
        <v>1404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5"/>
    </row>
    <row r="11" ht="30.0" customHeight="1">
      <c r="A11" s="18" t="s">
        <v>1405</v>
      </c>
      <c r="B11" s="19" t="s">
        <v>42</v>
      </c>
      <c r="C11" s="21" t="s">
        <v>1406</v>
      </c>
      <c r="D11" s="21" t="s">
        <v>1407</v>
      </c>
      <c r="E11" s="32" t="s">
        <v>25</v>
      </c>
      <c r="F11" s="21" t="s">
        <v>1410</v>
      </c>
      <c r="G11" s="21" t="s">
        <v>1411</v>
      </c>
      <c r="H11" s="21" t="s">
        <v>1412</v>
      </c>
      <c r="I11" s="21" t="s">
        <v>55</v>
      </c>
      <c r="J11" s="26" t="s">
        <v>41</v>
      </c>
      <c r="K11" s="21"/>
      <c r="L11" s="54"/>
      <c r="M11" s="26" t="s">
        <v>59</v>
      </c>
    </row>
    <row r="12" ht="30.0" customHeight="1">
      <c r="A12" s="27" t="s">
        <v>1413</v>
      </c>
      <c r="B12" s="19" t="s">
        <v>38</v>
      </c>
      <c r="C12" s="28" t="s">
        <v>1414</v>
      </c>
      <c r="D12" s="28" t="s">
        <v>1415</v>
      </c>
      <c r="E12" s="30" t="s">
        <v>25</v>
      </c>
      <c r="F12" s="28" t="s">
        <v>1416</v>
      </c>
      <c r="G12" s="28" t="s">
        <v>1417</v>
      </c>
      <c r="H12" s="28" t="s">
        <v>1418</v>
      </c>
      <c r="I12" s="41" t="s">
        <v>56</v>
      </c>
      <c r="J12" s="26" t="s">
        <v>41</v>
      </c>
      <c r="K12" s="28"/>
      <c r="L12" s="55"/>
      <c r="M12" s="26" t="s">
        <v>59</v>
      </c>
    </row>
    <row r="13" ht="15.0" customHeight="1">
      <c r="A13" s="52" t="s">
        <v>203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</row>
    <row r="14" ht="53.25" customHeight="1">
      <c r="A14" s="26" t="s">
        <v>207</v>
      </c>
      <c r="B14" s="26" t="s">
        <v>209</v>
      </c>
      <c r="C14" s="26" t="s">
        <v>211</v>
      </c>
      <c r="D14" s="26" t="s">
        <v>212</v>
      </c>
      <c r="E14" s="26" t="s">
        <v>25</v>
      </c>
      <c r="F14" s="26" t="s">
        <v>215</v>
      </c>
      <c r="G14" s="26" t="s">
        <v>217</v>
      </c>
      <c r="H14" s="26" t="s">
        <v>218</v>
      </c>
      <c r="I14" s="26" t="s">
        <v>55</v>
      </c>
      <c r="J14" s="26" t="s">
        <v>54</v>
      </c>
      <c r="K14" s="26"/>
      <c r="L14" s="2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L1"/>
    <mergeCell ref="A2:L2"/>
    <mergeCell ref="A5:L5"/>
    <mergeCell ref="A7:L7"/>
    <mergeCell ref="A10:L10"/>
    <mergeCell ref="A13:L13"/>
  </mergeCells>
  <dataValidations>
    <dataValidation type="list" allowBlank="1" sqref="E6 E8:E9 E11:E12 E14">
      <formula1>"P1,P2,P3"</formula1>
    </dataValidation>
    <dataValidation type="list" allowBlank="1" sqref="J6 J8:J9 J11:J12 J14">
      <formula1>"Not Run,Pass,Fail,Blocked,Skip,N/A"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30.0"/>
    <col customWidth="1" min="4" max="4" width="26.0"/>
    <col customWidth="1" min="5" max="5" width="9.0"/>
    <col customWidth="1" min="6" max="6" width="36.0"/>
    <col customWidth="1" min="7" max="7" width="32.0"/>
    <col customWidth="1" min="8" max="8" width="48.0"/>
    <col customWidth="1" min="9" max="9" width="11.0"/>
    <col customWidth="1" min="10" max="11" width="10.0"/>
    <col customWidth="1" min="12" max="12" width="40.0"/>
    <col customWidth="1" min="13" max="13" width="55.0"/>
  </cols>
  <sheetData>
    <row r="1" ht="24.0" customHeight="1">
      <c r="A1" s="1" t="s">
        <v>1422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15.0" customHeight="1">
      <c r="A2" s="10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4" ht="25.5" customHeight="1">
      <c r="A4" s="12" t="s">
        <v>10</v>
      </c>
      <c r="B4" s="12" t="s">
        <v>12</v>
      </c>
      <c r="C4" s="12" t="s">
        <v>14</v>
      </c>
      <c r="D4" s="12" t="s">
        <v>16</v>
      </c>
      <c r="E4" s="12" t="s">
        <v>17</v>
      </c>
      <c r="F4" s="12" t="s">
        <v>19</v>
      </c>
      <c r="G4" s="12" t="s">
        <v>20</v>
      </c>
      <c r="H4" s="12" t="s">
        <v>21</v>
      </c>
      <c r="I4" s="12" t="s">
        <v>23</v>
      </c>
      <c r="J4" s="12" t="s">
        <v>24</v>
      </c>
      <c r="K4" s="12" t="s">
        <v>26</v>
      </c>
      <c r="L4" s="12" t="s">
        <v>27</v>
      </c>
      <c r="M4" s="12" t="s">
        <v>29</v>
      </c>
    </row>
    <row r="5" ht="18.0" customHeight="1">
      <c r="A5" s="16" t="s">
        <v>1423</v>
      </c>
      <c r="B5" s="4"/>
      <c r="C5" s="4"/>
      <c r="D5" s="4"/>
      <c r="E5" s="4"/>
      <c r="F5" s="4"/>
      <c r="G5" s="4"/>
      <c r="H5" s="4"/>
      <c r="I5" s="4"/>
      <c r="J5" s="4"/>
      <c r="K5" s="4"/>
      <c r="L5" s="5"/>
    </row>
    <row r="6" ht="30.0" customHeight="1">
      <c r="A6" s="18" t="s">
        <v>1424</v>
      </c>
      <c r="B6" s="19" t="s">
        <v>42</v>
      </c>
      <c r="C6" s="21" t="s">
        <v>1425</v>
      </c>
      <c r="D6" s="21" t="s">
        <v>1426</v>
      </c>
      <c r="E6" s="32" t="s">
        <v>25</v>
      </c>
      <c r="F6" s="21" t="s">
        <v>1427</v>
      </c>
      <c r="G6" s="21" t="s">
        <v>1428</v>
      </c>
      <c r="H6" s="21" t="s">
        <v>1429</v>
      </c>
      <c r="I6" s="21" t="s">
        <v>55</v>
      </c>
      <c r="J6" s="26" t="s">
        <v>41</v>
      </c>
      <c r="K6" s="21"/>
      <c r="L6" s="54"/>
      <c r="M6" s="26" t="s">
        <v>59</v>
      </c>
    </row>
    <row r="7" ht="30.0" customHeight="1">
      <c r="A7" s="27" t="s">
        <v>1430</v>
      </c>
      <c r="B7" s="19" t="s">
        <v>42</v>
      </c>
      <c r="C7" s="28" t="s">
        <v>1431</v>
      </c>
      <c r="D7" s="28" t="s">
        <v>1432</v>
      </c>
      <c r="E7" s="30" t="s">
        <v>32</v>
      </c>
      <c r="F7" s="28" t="s">
        <v>1433</v>
      </c>
      <c r="G7" s="28" t="s">
        <v>1434</v>
      </c>
      <c r="H7" s="28" t="s">
        <v>1435</v>
      </c>
      <c r="I7" s="28" t="s">
        <v>55</v>
      </c>
      <c r="J7" s="26" t="s">
        <v>41</v>
      </c>
      <c r="K7" s="28"/>
      <c r="L7" s="55"/>
      <c r="M7" s="26" t="s">
        <v>59</v>
      </c>
    </row>
    <row r="8" ht="18.0" customHeight="1">
      <c r="A8" s="16" t="s">
        <v>1436</v>
      </c>
      <c r="B8" s="4"/>
      <c r="C8" s="4"/>
      <c r="D8" s="4"/>
      <c r="E8" s="4"/>
      <c r="F8" s="4"/>
      <c r="G8" s="4"/>
      <c r="H8" s="4"/>
      <c r="I8" s="4"/>
      <c r="J8" s="4"/>
      <c r="K8" s="4"/>
      <c r="L8" s="5"/>
    </row>
    <row r="9" ht="43.5" customHeight="1">
      <c r="A9" s="18" t="s">
        <v>1437</v>
      </c>
      <c r="B9" s="19" t="s">
        <v>445</v>
      </c>
      <c r="C9" s="21" t="s">
        <v>1438</v>
      </c>
      <c r="D9" s="21" t="s">
        <v>1439</v>
      </c>
      <c r="E9" s="23" t="s">
        <v>15</v>
      </c>
      <c r="F9" s="21" t="s">
        <v>1440</v>
      </c>
      <c r="G9" s="21" t="s">
        <v>1441</v>
      </c>
      <c r="H9" s="21" t="s">
        <v>1442</v>
      </c>
      <c r="I9" s="21" t="s">
        <v>55</v>
      </c>
      <c r="J9" s="26" t="s">
        <v>41</v>
      </c>
      <c r="K9" s="21"/>
      <c r="L9" s="54"/>
      <c r="M9" s="26" t="s">
        <v>59</v>
      </c>
    </row>
    <row r="10" ht="30.0" customHeight="1">
      <c r="A10" s="27" t="s">
        <v>1443</v>
      </c>
      <c r="B10" s="19" t="s">
        <v>505</v>
      </c>
      <c r="C10" s="28" t="s">
        <v>1444</v>
      </c>
      <c r="D10" s="28" t="s">
        <v>1445</v>
      </c>
      <c r="E10" s="23" t="s">
        <v>15</v>
      </c>
      <c r="F10" s="28" t="s">
        <v>1446</v>
      </c>
      <c r="G10" s="28" t="s">
        <v>1441</v>
      </c>
      <c r="H10" s="28" t="s">
        <v>1447</v>
      </c>
      <c r="I10" s="41" t="s">
        <v>56</v>
      </c>
      <c r="J10" s="26" t="s">
        <v>41</v>
      </c>
      <c r="K10" s="28"/>
      <c r="L10" s="55"/>
      <c r="M10" s="26" t="s">
        <v>59</v>
      </c>
    </row>
    <row r="11" ht="18.0" customHeight="1">
      <c r="A11" s="16" t="s">
        <v>1448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</row>
    <row r="12" ht="30.0" customHeight="1">
      <c r="A12" s="18" t="s">
        <v>1449</v>
      </c>
      <c r="B12" s="19" t="s">
        <v>42</v>
      </c>
      <c r="C12" s="21" t="s">
        <v>1450</v>
      </c>
      <c r="D12" s="21" t="s">
        <v>1451</v>
      </c>
      <c r="E12" s="23" t="s">
        <v>15</v>
      </c>
      <c r="F12" s="21" t="s">
        <v>1452</v>
      </c>
      <c r="G12" s="21" t="s">
        <v>1453</v>
      </c>
      <c r="H12" s="21" t="s">
        <v>1454</v>
      </c>
      <c r="I12" s="21" t="s">
        <v>55</v>
      </c>
      <c r="J12" s="26" t="s">
        <v>41</v>
      </c>
      <c r="K12" s="21"/>
      <c r="L12" s="54"/>
      <c r="M12" s="26" t="s">
        <v>59</v>
      </c>
    </row>
    <row r="13" ht="30.0" customHeight="1">
      <c r="A13" s="27" t="s">
        <v>1455</v>
      </c>
      <c r="B13" s="19" t="s">
        <v>505</v>
      </c>
      <c r="C13" s="28" t="s">
        <v>1456</v>
      </c>
      <c r="D13" s="28" t="s">
        <v>842</v>
      </c>
      <c r="E13" s="23" t="s">
        <v>15</v>
      </c>
      <c r="F13" s="28" t="s">
        <v>1457</v>
      </c>
      <c r="G13" s="28" t="s">
        <v>1458</v>
      </c>
      <c r="H13" s="28" t="s">
        <v>1460</v>
      </c>
      <c r="I13" s="41" t="s">
        <v>56</v>
      </c>
      <c r="J13" s="26" t="s">
        <v>41</v>
      </c>
      <c r="K13" s="28"/>
      <c r="L13" s="55"/>
      <c r="M13" s="26" t="s">
        <v>59</v>
      </c>
    </row>
    <row r="14" ht="43.5" customHeight="1">
      <c r="A14" s="18" t="s">
        <v>1462</v>
      </c>
      <c r="B14" s="19" t="s">
        <v>42</v>
      </c>
      <c r="C14" s="21" t="s">
        <v>1463</v>
      </c>
      <c r="D14" s="21" t="s">
        <v>842</v>
      </c>
      <c r="E14" s="23" t="s">
        <v>15</v>
      </c>
      <c r="F14" s="21" t="s">
        <v>1464</v>
      </c>
      <c r="G14" s="21" t="s">
        <v>1465</v>
      </c>
      <c r="H14" s="21" t="s">
        <v>1466</v>
      </c>
      <c r="I14" s="21" t="s">
        <v>55</v>
      </c>
      <c r="J14" s="26" t="s">
        <v>41</v>
      </c>
      <c r="K14" s="21"/>
      <c r="L14" s="54"/>
      <c r="M14" s="26" t="s">
        <v>59</v>
      </c>
    </row>
    <row r="15" ht="30.0" customHeight="1">
      <c r="A15" s="27" t="s">
        <v>1467</v>
      </c>
      <c r="B15" s="19" t="s">
        <v>505</v>
      </c>
      <c r="C15" s="28" t="s">
        <v>1468</v>
      </c>
      <c r="D15" s="28" t="s">
        <v>1469</v>
      </c>
      <c r="E15" s="23" t="s">
        <v>15</v>
      </c>
      <c r="F15" s="28" t="s">
        <v>1470</v>
      </c>
      <c r="G15" s="28" t="s">
        <v>1471</v>
      </c>
      <c r="H15" s="28" t="s">
        <v>1472</v>
      </c>
      <c r="I15" s="41" t="s">
        <v>56</v>
      </c>
      <c r="J15" s="26" t="s">
        <v>41</v>
      </c>
      <c r="K15" s="28"/>
      <c r="L15" s="55"/>
      <c r="M15" s="26" t="s">
        <v>59</v>
      </c>
    </row>
    <row r="16" ht="30.0" customHeight="1">
      <c r="A16" s="18" t="s">
        <v>1474</v>
      </c>
      <c r="B16" s="19" t="s">
        <v>1475</v>
      </c>
      <c r="C16" s="21" t="s">
        <v>1476</v>
      </c>
      <c r="D16" s="21" t="s">
        <v>1477</v>
      </c>
      <c r="E16" s="23" t="s">
        <v>15</v>
      </c>
      <c r="F16" s="21" t="s">
        <v>1478</v>
      </c>
      <c r="G16" s="21" t="s">
        <v>1471</v>
      </c>
      <c r="H16" s="21" t="s">
        <v>1480</v>
      </c>
      <c r="I16" s="25" t="s">
        <v>56</v>
      </c>
      <c r="J16" s="26" t="s">
        <v>41</v>
      </c>
      <c r="K16" s="21"/>
      <c r="L16" s="54"/>
      <c r="M16" s="26" t="s">
        <v>59</v>
      </c>
    </row>
    <row r="17" ht="15.0" customHeight="1">
      <c r="A17" s="52" t="s">
        <v>203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5"/>
    </row>
    <row r="18" ht="53.25" customHeight="1">
      <c r="A18" s="26" t="s">
        <v>207</v>
      </c>
      <c r="B18" s="26" t="s">
        <v>209</v>
      </c>
      <c r="C18" s="26" t="s">
        <v>211</v>
      </c>
      <c r="D18" s="26" t="s">
        <v>212</v>
      </c>
      <c r="E18" s="26" t="s">
        <v>25</v>
      </c>
      <c r="F18" s="26" t="s">
        <v>215</v>
      </c>
      <c r="G18" s="26" t="s">
        <v>217</v>
      </c>
      <c r="H18" s="26" t="s">
        <v>218</v>
      </c>
      <c r="I18" s="26" t="s">
        <v>55</v>
      </c>
      <c r="J18" s="26" t="s">
        <v>54</v>
      </c>
      <c r="K18" s="26"/>
      <c r="L18" s="2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L1"/>
    <mergeCell ref="A2:L2"/>
    <mergeCell ref="A5:L5"/>
    <mergeCell ref="A8:L8"/>
    <mergeCell ref="A11:L11"/>
    <mergeCell ref="A17:L17"/>
  </mergeCells>
  <dataValidations>
    <dataValidation type="list" allowBlank="1" sqref="E6:E7 E9:E10 E12:E16 E18">
      <formula1>"P1,P2,P3"</formula1>
    </dataValidation>
    <dataValidation type="list" allowBlank="1" sqref="J6:J7 J9:J10 J12:J16 J18">
      <formula1>"Not Run,Pass,Fail,Blocked,Skip,N/A"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30.0"/>
    <col customWidth="1" min="4" max="4" width="26.0"/>
    <col customWidth="1" min="5" max="5" width="9.0"/>
    <col customWidth="1" min="6" max="6" width="36.0"/>
    <col customWidth="1" min="7" max="7" width="32.0"/>
    <col customWidth="1" min="8" max="8" width="48.0"/>
    <col customWidth="1" min="9" max="9" width="11.0"/>
    <col customWidth="1" min="10" max="11" width="10.0"/>
    <col customWidth="1" min="12" max="12" width="40.0"/>
    <col customWidth="1" min="13" max="13" width="55.0"/>
  </cols>
  <sheetData>
    <row r="1" ht="24.0" customHeight="1">
      <c r="A1" s="1" t="s">
        <v>1473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15.0" customHeight="1">
      <c r="A2" s="10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4" ht="25.5" customHeight="1">
      <c r="A4" s="12" t="s">
        <v>10</v>
      </c>
      <c r="B4" s="12" t="s">
        <v>12</v>
      </c>
      <c r="C4" s="12" t="s">
        <v>14</v>
      </c>
      <c r="D4" s="12" t="s">
        <v>16</v>
      </c>
      <c r="E4" s="12" t="s">
        <v>17</v>
      </c>
      <c r="F4" s="12" t="s">
        <v>19</v>
      </c>
      <c r="G4" s="12" t="s">
        <v>20</v>
      </c>
      <c r="H4" s="12" t="s">
        <v>21</v>
      </c>
      <c r="I4" s="12" t="s">
        <v>23</v>
      </c>
      <c r="J4" s="12" t="s">
        <v>24</v>
      </c>
      <c r="K4" s="12" t="s">
        <v>26</v>
      </c>
      <c r="L4" s="12" t="s">
        <v>27</v>
      </c>
      <c r="M4" s="12" t="s">
        <v>29</v>
      </c>
    </row>
    <row r="5" ht="18.0" customHeight="1">
      <c r="A5" s="16" t="s">
        <v>1482</v>
      </c>
      <c r="B5" s="4"/>
      <c r="C5" s="4"/>
      <c r="D5" s="4"/>
      <c r="E5" s="4"/>
      <c r="F5" s="4"/>
      <c r="G5" s="4"/>
      <c r="H5" s="4"/>
      <c r="I5" s="4"/>
      <c r="J5" s="4"/>
      <c r="K5" s="4"/>
      <c r="L5" s="5"/>
    </row>
    <row r="6" ht="43.5" customHeight="1">
      <c r="A6" s="18" t="s">
        <v>1483</v>
      </c>
      <c r="B6" s="19" t="s">
        <v>42</v>
      </c>
      <c r="C6" s="21" t="s">
        <v>1484</v>
      </c>
      <c r="D6" s="21" t="s">
        <v>1485</v>
      </c>
      <c r="E6" s="32" t="s">
        <v>25</v>
      </c>
      <c r="F6" s="21" t="s">
        <v>1486</v>
      </c>
      <c r="G6" s="21" t="s">
        <v>1487</v>
      </c>
      <c r="H6" s="21" t="s">
        <v>1488</v>
      </c>
      <c r="I6" s="21" t="s">
        <v>55</v>
      </c>
      <c r="J6" s="26" t="s">
        <v>41</v>
      </c>
      <c r="K6" s="21"/>
      <c r="L6" s="54"/>
      <c r="M6" s="26" t="s">
        <v>59</v>
      </c>
    </row>
    <row r="7" ht="30.0" customHeight="1">
      <c r="A7" s="27" t="s">
        <v>1491</v>
      </c>
      <c r="B7" s="19" t="s">
        <v>38</v>
      </c>
      <c r="C7" s="28" t="s">
        <v>1492</v>
      </c>
      <c r="D7" s="28" t="s">
        <v>1493</v>
      </c>
      <c r="E7" s="30" t="s">
        <v>25</v>
      </c>
      <c r="F7" s="28" t="s">
        <v>1494</v>
      </c>
      <c r="G7" s="28" t="s">
        <v>1495</v>
      </c>
      <c r="H7" s="28" t="s">
        <v>1496</v>
      </c>
      <c r="I7" s="41" t="s">
        <v>56</v>
      </c>
      <c r="J7" s="26" t="s">
        <v>41</v>
      </c>
      <c r="K7" s="28"/>
      <c r="L7" s="55"/>
      <c r="M7" s="26" t="s">
        <v>59</v>
      </c>
    </row>
    <row r="8" ht="30.0" customHeight="1">
      <c r="A8" s="18" t="s">
        <v>1497</v>
      </c>
      <c r="B8" s="19" t="s">
        <v>445</v>
      </c>
      <c r="C8" s="21" t="s">
        <v>1498</v>
      </c>
      <c r="D8" s="21" t="s">
        <v>1499</v>
      </c>
      <c r="E8" s="23" t="s">
        <v>15</v>
      </c>
      <c r="F8" s="21" t="s">
        <v>1501</v>
      </c>
      <c r="G8" s="21" t="s">
        <v>1502</v>
      </c>
      <c r="H8" s="21" t="s">
        <v>1503</v>
      </c>
      <c r="I8" s="21" t="s">
        <v>55</v>
      </c>
      <c r="J8" s="26" t="s">
        <v>41</v>
      </c>
      <c r="K8" s="21"/>
      <c r="L8" s="54"/>
      <c r="M8" s="26" t="s">
        <v>59</v>
      </c>
    </row>
    <row r="9" ht="30.0" customHeight="1">
      <c r="A9" s="27" t="s">
        <v>1504</v>
      </c>
      <c r="B9" s="19" t="s">
        <v>505</v>
      </c>
      <c r="C9" s="28" t="s">
        <v>1505</v>
      </c>
      <c r="D9" s="28" t="s">
        <v>1506</v>
      </c>
      <c r="E9" s="23" t="s">
        <v>15</v>
      </c>
      <c r="F9" s="28" t="s">
        <v>1507</v>
      </c>
      <c r="G9" s="28" t="s">
        <v>1502</v>
      </c>
      <c r="H9" s="28" t="s">
        <v>1508</v>
      </c>
      <c r="I9" s="41" t="s">
        <v>56</v>
      </c>
      <c r="J9" s="26" t="s">
        <v>41</v>
      </c>
      <c r="K9" s="28"/>
      <c r="L9" s="55"/>
      <c r="M9" s="26" t="s">
        <v>59</v>
      </c>
    </row>
    <row r="10" ht="18.0" customHeight="1">
      <c r="A10" s="16" t="s">
        <v>1509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5"/>
    </row>
    <row r="11" ht="30.0" customHeight="1">
      <c r="A11" s="18" t="s">
        <v>1510</v>
      </c>
      <c r="B11" s="19" t="s">
        <v>445</v>
      </c>
      <c r="C11" s="21" t="s">
        <v>1511</v>
      </c>
      <c r="D11" s="21" t="s">
        <v>1512</v>
      </c>
      <c r="E11" s="23" t="s">
        <v>15</v>
      </c>
      <c r="F11" s="21" t="s">
        <v>1513</v>
      </c>
      <c r="G11" s="21" t="s">
        <v>1514</v>
      </c>
      <c r="H11" s="21" t="s">
        <v>1515</v>
      </c>
      <c r="I11" s="21" t="s">
        <v>55</v>
      </c>
      <c r="J11" s="26" t="s">
        <v>41</v>
      </c>
      <c r="K11" s="21"/>
      <c r="L11" s="54"/>
      <c r="M11" s="26" t="s">
        <v>59</v>
      </c>
    </row>
    <row r="12" ht="30.0" customHeight="1">
      <c r="A12" s="27" t="s">
        <v>1516</v>
      </c>
      <c r="B12" s="19" t="s">
        <v>38</v>
      </c>
      <c r="C12" s="28" t="s">
        <v>1517</v>
      </c>
      <c r="D12" s="28" t="s">
        <v>1518</v>
      </c>
      <c r="E12" s="23" t="s">
        <v>15</v>
      </c>
      <c r="F12" s="28" t="s">
        <v>1519</v>
      </c>
      <c r="G12" s="28" t="s">
        <v>1520</v>
      </c>
      <c r="H12" s="28" t="s">
        <v>1521</v>
      </c>
      <c r="I12" s="41" t="s">
        <v>56</v>
      </c>
      <c r="J12" s="26" t="s">
        <v>41</v>
      </c>
      <c r="K12" s="28"/>
      <c r="L12" s="55"/>
      <c r="M12" s="26" t="s">
        <v>59</v>
      </c>
    </row>
    <row r="13" ht="15.0" customHeight="1">
      <c r="A13" s="52" t="s">
        <v>203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</row>
    <row r="14" ht="53.25" customHeight="1">
      <c r="A14" s="26" t="s">
        <v>207</v>
      </c>
      <c r="B14" s="26" t="s">
        <v>209</v>
      </c>
      <c r="C14" s="26" t="s">
        <v>211</v>
      </c>
      <c r="D14" s="26" t="s">
        <v>212</v>
      </c>
      <c r="E14" s="26" t="s">
        <v>25</v>
      </c>
      <c r="F14" s="26" t="s">
        <v>215</v>
      </c>
      <c r="G14" s="26" t="s">
        <v>217</v>
      </c>
      <c r="H14" s="26" t="s">
        <v>218</v>
      </c>
      <c r="I14" s="26" t="s">
        <v>55</v>
      </c>
      <c r="J14" s="26" t="s">
        <v>54</v>
      </c>
      <c r="K14" s="26"/>
      <c r="L14" s="2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L1"/>
    <mergeCell ref="A2:L2"/>
    <mergeCell ref="A5:L5"/>
    <mergeCell ref="A10:L10"/>
    <mergeCell ref="A13:L13"/>
  </mergeCells>
  <dataValidations>
    <dataValidation type="list" allowBlank="1" sqref="E6:E9 E11:E12 E14">
      <formula1>"P1,P2,P3"</formula1>
    </dataValidation>
    <dataValidation type="list" allowBlank="1" sqref="J6:J9 J11:J12 J14">
      <formula1>"Not Run,Pass,Fail,Blocked,Skip,N/A"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30.0"/>
    <col customWidth="1" min="4" max="4" width="26.0"/>
    <col customWidth="1" min="5" max="5" width="9.0"/>
    <col customWidth="1" min="6" max="6" width="36.0"/>
    <col customWidth="1" min="7" max="7" width="32.0"/>
    <col customWidth="1" min="8" max="8" width="48.0"/>
    <col customWidth="1" min="9" max="9" width="11.0"/>
    <col customWidth="1" min="10" max="11" width="10.0"/>
    <col customWidth="1" min="12" max="12" width="40.0"/>
    <col customWidth="1" min="13" max="13" width="55.0"/>
  </cols>
  <sheetData>
    <row r="1" ht="24.0" customHeight="1">
      <c r="A1" s="1" t="s">
        <v>1522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15.0" customHeight="1">
      <c r="A2" s="10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4" ht="25.5" customHeight="1">
      <c r="A4" s="12" t="s">
        <v>10</v>
      </c>
      <c r="B4" s="12" t="s">
        <v>12</v>
      </c>
      <c r="C4" s="12" t="s">
        <v>14</v>
      </c>
      <c r="D4" s="12" t="s">
        <v>16</v>
      </c>
      <c r="E4" s="12" t="s">
        <v>17</v>
      </c>
      <c r="F4" s="12" t="s">
        <v>19</v>
      </c>
      <c r="G4" s="12" t="s">
        <v>20</v>
      </c>
      <c r="H4" s="12" t="s">
        <v>21</v>
      </c>
      <c r="I4" s="12" t="s">
        <v>23</v>
      </c>
      <c r="J4" s="12" t="s">
        <v>24</v>
      </c>
      <c r="K4" s="12" t="s">
        <v>26</v>
      </c>
      <c r="L4" s="12" t="s">
        <v>27</v>
      </c>
      <c r="M4" s="12" t="s">
        <v>29</v>
      </c>
    </row>
    <row r="5" ht="18.0" customHeight="1">
      <c r="A5" s="16" t="s">
        <v>1525</v>
      </c>
      <c r="B5" s="4"/>
      <c r="C5" s="4"/>
      <c r="D5" s="4"/>
      <c r="E5" s="4"/>
      <c r="F5" s="4"/>
      <c r="G5" s="4"/>
      <c r="H5" s="4"/>
      <c r="I5" s="4"/>
      <c r="J5" s="4"/>
      <c r="K5" s="4"/>
      <c r="L5" s="5"/>
    </row>
    <row r="6" ht="30.0" customHeight="1">
      <c r="A6" s="18" t="s">
        <v>1526</v>
      </c>
      <c r="B6" s="19" t="s">
        <v>42</v>
      </c>
      <c r="C6" s="21" t="s">
        <v>1527</v>
      </c>
      <c r="D6" s="21" t="s">
        <v>1371</v>
      </c>
      <c r="E6" s="32" t="s">
        <v>32</v>
      </c>
      <c r="F6" s="21" t="s">
        <v>1528</v>
      </c>
      <c r="G6" s="21" t="s">
        <v>1529</v>
      </c>
      <c r="H6" s="21" t="s">
        <v>1530</v>
      </c>
      <c r="I6" s="21" t="s">
        <v>55</v>
      </c>
      <c r="J6" s="26" t="s">
        <v>41</v>
      </c>
      <c r="K6" s="21"/>
      <c r="L6" s="54"/>
      <c r="M6" s="26" t="s">
        <v>59</v>
      </c>
    </row>
    <row r="7" ht="30.0" customHeight="1">
      <c r="A7" s="27" t="s">
        <v>1531</v>
      </c>
      <c r="B7" s="19" t="s">
        <v>38</v>
      </c>
      <c r="C7" s="28" t="s">
        <v>1532</v>
      </c>
      <c r="D7" s="28" t="s">
        <v>1533</v>
      </c>
      <c r="E7" s="23" t="s">
        <v>15</v>
      </c>
      <c r="F7" s="28" t="s">
        <v>1535</v>
      </c>
      <c r="G7" s="28" t="s">
        <v>1536</v>
      </c>
      <c r="H7" s="28" t="s">
        <v>1537</v>
      </c>
      <c r="I7" s="41" t="s">
        <v>56</v>
      </c>
      <c r="J7" s="26" t="s">
        <v>41</v>
      </c>
      <c r="K7" s="28"/>
      <c r="L7" s="55"/>
      <c r="M7" s="26" t="s">
        <v>59</v>
      </c>
    </row>
    <row r="8" ht="30.0" customHeight="1">
      <c r="A8" s="18" t="s">
        <v>1538</v>
      </c>
      <c r="B8" s="19" t="s">
        <v>38</v>
      </c>
      <c r="C8" s="21" t="s">
        <v>1539</v>
      </c>
      <c r="D8" s="21" t="s">
        <v>1371</v>
      </c>
      <c r="E8" s="32" t="s">
        <v>32</v>
      </c>
      <c r="F8" s="21" t="s">
        <v>1540</v>
      </c>
      <c r="G8" s="21" t="s">
        <v>1541</v>
      </c>
      <c r="H8" s="21" t="s">
        <v>1542</v>
      </c>
      <c r="I8" s="25" t="s">
        <v>56</v>
      </c>
      <c r="J8" s="26" t="s">
        <v>41</v>
      </c>
      <c r="K8" s="21"/>
      <c r="L8" s="54"/>
      <c r="M8" s="26" t="s">
        <v>59</v>
      </c>
    </row>
    <row r="9" ht="15.0" customHeight="1">
      <c r="A9" s="52" t="s">
        <v>203</v>
      </c>
      <c r="B9" s="4"/>
      <c r="C9" s="4"/>
      <c r="D9" s="4"/>
      <c r="E9" s="4"/>
      <c r="F9" s="4"/>
      <c r="G9" s="4"/>
      <c r="H9" s="4"/>
      <c r="I9" s="4"/>
      <c r="J9" s="4"/>
      <c r="K9" s="4"/>
      <c r="L9" s="5"/>
    </row>
    <row r="10" ht="53.25" customHeight="1">
      <c r="A10" s="26" t="s">
        <v>207</v>
      </c>
      <c r="B10" s="26" t="s">
        <v>209</v>
      </c>
      <c r="C10" s="26" t="s">
        <v>211</v>
      </c>
      <c r="D10" s="26" t="s">
        <v>212</v>
      </c>
      <c r="E10" s="26" t="s">
        <v>25</v>
      </c>
      <c r="F10" s="26" t="s">
        <v>215</v>
      </c>
      <c r="G10" s="26" t="s">
        <v>217</v>
      </c>
      <c r="H10" s="26" t="s">
        <v>218</v>
      </c>
      <c r="I10" s="26" t="s">
        <v>55</v>
      </c>
      <c r="J10" s="26" t="s">
        <v>54</v>
      </c>
      <c r="K10" s="26"/>
      <c r="L10" s="2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L1"/>
    <mergeCell ref="A2:L2"/>
    <mergeCell ref="A5:L5"/>
    <mergeCell ref="A9:L9"/>
  </mergeCells>
  <dataValidations>
    <dataValidation type="list" allowBlank="1" sqref="E6:E8 E10">
      <formula1>"P1,P2,P3"</formula1>
    </dataValidation>
    <dataValidation type="list" allowBlank="1" sqref="J6:J8 J10">
      <formula1>"Not Run,Pass,Fail,Blocked,Skip,N/A"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30.0"/>
    <col customWidth="1" min="4" max="4" width="26.0"/>
    <col customWidth="1" min="5" max="5" width="9.0"/>
    <col customWidth="1" min="6" max="6" width="36.0"/>
    <col customWidth="1" min="7" max="7" width="32.0"/>
    <col customWidth="1" min="8" max="8" width="48.0"/>
    <col customWidth="1" min="9" max="9" width="11.0"/>
    <col customWidth="1" min="10" max="11" width="10.0"/>
    <col customWidth="1" min="12" max="12" width="40.0"/>
    <col customWidth="1" min="13" max="13" width="55.0"/>
  </cols>
  <sheetData>
    <row r="1" ht="24.0" customHeight="1">
      <c r="A1" s="1" t="s">
        <v>1545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15.0" customHeight="1">
      <c r="A2" s="10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4" ht="25.5" customHeight="1">
      <c r="A4" s="12" t="s">
        <v>10</v>
      </c>
      <c r="B4" s="12" t="s">
        <v>12</v>
      </c>
      <c r="C4" s="12" t="s">
        <v>14</v>
      </c>
      <c r="D4" s="12" t="s">
        <v>16</v>
      </c>
      <c r="E4" s="12" t="s">
        <v>17</v>
      </c>
      <c r="F4" s="12" t="s">
        <v>19</v>
      </c>
      <c r="G4" s="12" t="s">
        <v>20</v>
      </c>
      <c r="H4" s="12" t="s">
        <v>21</v>
      </c>
      <c r="I4" s="12" t="s">
        <v>23</v>
      </c>
      <c r="J4" s="12" t="s">
        <v>24</v>
      </c>
      <c r="K4" s="12" t="s">
        <v>26</v>
      </c>
      <c r="L4" s="12" t="s">
        <v>27</v>
      </c>
      <c r="M4" s="12" t="s">
        <v>29</v>
      </c>
    </row>
    <row r="5" ht="18.0" customHeight="1">
      <c r="A5" s="16" t="s">
        <v>1549</v>
      </c>
      <c r="B5" s="4"/>
      <c r="C5" s="4"/>
      <c r="D5" s="4"/>
      <c r="E5" s="4"/>
      <c r="F5" s="4"/>
      <c r="G5" s="4"/>
      <c r="H5" s="4"/>
      <c r="I5" s="4"/>
      <c r="J5" s="4"/>
      <c r="K5" s="4"/>
      <c r="L5" s="5"/>
    </row>
    <row r="6" ht="30.0" customHeight="1">
      <c r="A6" s="18" t="s">
        <v>1550</v>
      </c>
      <c r="B6" s="19" t="s">
        <v>42</v>
      </c>
      <c r="C6" s="21" t="s">
        <v>1551</v>
      </c>
      <c r="D6" s="21" t="s">
        <v>1552</v>
      </c>
      <c r="E6" s="32" t="s">
        <v>32</v>
      </c>
      <c r="F6" s="21" t="s">
        <v>1553</v>
      </c>
      <c r="G6" s="21" t="s">
        <v>1554</v>
      </c>
      <c r="H6" s="21" t="s">
        <v>1555</v>
      </c>
      <c r="I6" s="21" t="s">
        <v>55</v>
      </c>
      <c r="J6" s="26" t="s">
        <v>41</v>
      </c>
      <c r="K6" s="21"/>
      <c r="L6" s="54"/>
      <c r="M6" s="26" t="s">
        <v>59</v>
      </c>
    </row>
    <row r="7" ht="30.0" customHeight="1">
      <c r="A7" s="27" t="s">
        <v>1557</v>
      </c>
      <c r="B7" s="19" t="s">
        <v>42</v>
      </c>
      <c r="C7" s="28" t="s">
        <v>1558</v>
      </c>
      <c r="D7" s="28" t="s">
        <v>1559</v>
      </c>
      <c r="E7" s="30" t="s">
        <v>32</v>
      </c>
      <c r="F7" s="28" t="s">
        <v>1560</v>
      </c>
      <c r="G7" s="28" t="s">
        <v>1561</v>
      </c>
      <c r="H7" s="28" t="s">
        <v>1562</v>
      </c>
      <c r="I7" s="28" t="s">
        <v>55</v>
      </c>
      <c r="J7" s="26" t="s">
        <v>41</v>
      </c>
      <c r="K7" s="28"/>
      <c r="L7" s="28"/>
      <c r="M7" s="26" t="s">
        <v>59</v>
      </c>
    </row>
    <row r="8" ht="30.0" customHeight="1">
      <c r="A8" s="18" t="s">
        <v>1563</v>
      </c>
      <c r="B8" s="19" t="s">
        <v>38</v>
      </c>
      <c r="C8" s="21" t="s">
        <v>1564</v>
      </c>
      <c r="D8" s="21" t="s">
        <v>1559</v>
      </c>
      <c r="E8" s="32" t="s">
        <v>32</v>
      </c>
      <c r="F8" s="21" t="s">
        <v>1565</v>
      </c>
      <c r="G8" s="21" t="s">
        <v>1566</v>
      </c>
      <c r="H8" s="21" t="s">
        <v>1567</v>
      </c>
      <c r="I8" s="25" t="s">
        <v>56</v>
      </c>
      <c r="J8" s="26" t="s">
        <v>41</v>
      </c>
      <c r="K8" s="21"/>
      <c r="L8" s="21"/>
      <c r="M8" s="26" t="s">
        <v>59</v>
      </c>
    </row>
    <row r="9" ht="15.0" customHeight="1">
      <c r="A9" s="52" t="s">
        <v>203</v>
      </c>
      <c r="B9" s="4"/>
      <c r="C9" s="4"/>
      <c r="D9" s="4"/>
      <c r="E9" s="4"/>
      <c r="F9" s="4"/>
      <c r="G9" s="4"/>
      <c r="H9" s="4"/>
      <c r="I9" s="4"/>
      <c r="J9" s="4"/>
      <c r="K9" s="4"/>
      <c r="L9" s="5"/>
    </row>
    <row r="10" ht="53.25" customHeight="1">
      <c r="A10" s="26" t="s">
        <v>207</v>
      </c>
      <c r="B10" s="26" t="s">
        <v>209</v>
      </c>
      <c r="C10" s="26" t="s">
        <v>211</v>
      </c>
      <c r="D10" s="26" t="s">
        <v>212</v>
      </c>
      <c r="E10" s="26" t="s">
        <v>25</v>
      </c>
      <c r="F10" s="26" t="s">
        <v>215</v>
      </c>
      <c r="G10" s="26" t="s">
        <v>217</v>
      </c>
      <c r="H10" s="26" t="s">
        <v>218</v>
      </c>
      <c r="I10" s="26" t="s">
        <v>55</v>
      </c>
      <c r="J10" s="26" t="s">
        <v>54</v>
      </c>
      <c r="K10" s="26"/>
      <c r="L10" s="2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L1"/>
    <mergeCell ref="A2:L2"/>
    <mergeCell ref="A5:L5"/>
    <mergeCell ref="A9:L9"/>
  </mergeCells>
  <dataValidations>
    <dataValidation type="list" allowBlank="1" sqref="E6:E8 E10">
      <formula1>"P1,P2,P3"</formula1>
    </dataValidation>
    <dataValidation type="list" allowBlank="1" sqref="J6:J8 J10">
      <formula1>"Not Run,Pass,Fail,Blocked,Skip,N/A"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30.0"/>
    <col customWidth="1" min="4" max="4" width="26.0"/>
    <col customWidth="1" min="5" max="5" width="9.0"/>
    <col customWidth="1" min="6" max="6" width="36.0"/>
    <col customWidth="1" min="7" max="7" width="32.0"/>
    <col customWidth="1" min="8" max="8" width="48.0"/>
    <col customWidth="1" min="9" max="9" width="11.0"/>
    <col customWidth="1" min="10" max="11" width="10.0"/>
    <col customWidth="1" min="12" max="12" width="40.0"/>
    <col customWidth="1" min="13" max="13" width="55.0"/>
  </cols>
  <sheetData>
    <row r="1" ht="24.0" customHeight="1">
      <c r="A1" s="1" t="s">
        <v>1572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15.0" customHeight="1">
      <c r="A2" s="10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4" ht="25.5" customHeight="1">
      <c r="A4" s="12" t="s">
        <v>10</v>
      </c>
      <c r="B4" s="12" t="s">
        <v>12</v>
      </c>
      <c r="C4" s="12" t="s">
        <v>14</v>
      </c>
      <c r="D4" s="12" t="s">
        <v>16</v>
      </c>
      <c r="E4" s="12" t="s">
        <v>17</v>
      </c>
      <c r="F4" s="12" t="s">
        <v>19</v>
      </c>
      <c r="G4" s="12" t="s">
        <v>20</v>
      </c>
      <c r="H4" s="12" t="s">
        <v>21</v>
      </c>
      <c r="I4" s="12" t="s">
        <v>23</v>
      </c>
      <c r="J4" s="12" t="s">
        <v>24</v>
      </c>
      <c r="K4" s="12" t="s">
        <v>26</v>
      </c>
      <c r="L4" s="12" t="s">
        <v>27</v>
      </c>
      <c r="M4" s="12" t="s">
        <v>29</v>
      </c>
    </row>
    <row r="5" ht="18.0" customHeight="1">
      <c r="A5" s="16" t="s">
        <v>1573</v>
      </c>
      <c r="B5" s="4"/>
      <c r="C5" s="4"/>
      <c r="D5" s="4"/>
      <c r="E5" s="4"/>
      <c r="F5" s="4"/>
      <c r="G5" s="4"/>
      <c r="H5" s="4"/>
      <c r="I5" s="4"/>
      <c r="J5" s="4"/>
      <c r="K5" s="4"/>
      <c r="L5" s="5"/>
    </row>
    <row r="6" ht="43.5" customHeight="1">
      <c r="A6" s="18" t="s">
        <v>1574</v>
      </c>
      <c r="B6" s="19" t="s">
        <v>42</v>
      </c>
      <c r="C6" s="21" t="s">
        <v>1576</v>
      </c>
      <c r="D6" s="21" t="s">
        <v>1578</v>
      </c>
      <c r="E6" s="32" t="s">
        <v>25</v>
      </c>
      <c r="F6" s="21" t="s">
        <v>1579</v>
      </c>
      <c r="G6" s="21" t="s">
        <v>1580</v>
      </c>
      <c r="H6" s="21" t="s">
        <v>1581</v>
      </c>
      <c r="I6" s="21" t="s">
        <v>55</v>
      </c>
      <c r="J6" s="26" t="s">
        <v>41</v>
      </c>
      <c r="K6" s="21"/>
      <c r="L6" s="54"/>
      <c r="M6" s="26" t="s">
        <v>59</v>
      </c>
    </row>
    <row r="7" ht="30.0" customHeight="1">
      <c r="A7" s="27" t="s">
        <v>1582</v>
      </c>
      <c r="B7" s="19" t="s">
        <v>38</v>
      </c>
      <c r="C7" s="28" t="s">
        <v>1583</v>
      </c>
      <c r="D7" s="28" t="s">
        <v>1584</v>
      </c>
      <c r="E7" s="30" t="s">
        <v>25</v>
      </c>
      <c r="F7" s="28" t="s">
        <v>1585</v>
      </c>
      <c r="G7" s="28" t="s">
        <v>1586</v>
      </c>
      <c r="H7" s="28" t="s">
        <v>1587</v>
      </c>
      <c r="I7" s="41" t="s">
        <v>56</v>
      </c>
      <c r="J7" s="26" t="s">
        <v>41</v>
      </c>
      <c r="K7" s="28"/>
      <c r="L7" s="55"/>
      <c r="M7" s="26" t="s">
        <v>59</v>
      </c>
    </row>
    <row r="8" ht="30.0" customHeight="1">
      <c r="A8" s="18" t="s">
        <v>1588</v>
      </c>
      <c r="B8" s="19" t="s">
        <v>38</v>
      </c>
      <c r="C8" s="21" t="s">
        <v>1589</v>
      </c>
      <c r="D8" s="21" t="s">
        <v>1183</v>
      </c>
      <c r="E8" s="23" t="s">
        <v>15</v>
      </c>
      <c r="F8" s="21" t="s">
        <v>1590</v>
      </c>
      <c r="G8" s="21" t="s">
        <v>1591</v>
      </c>
      <c r="H8" s="21" t="s">
        <v>1592</v>
      </c>
      <c r="I8" s="25" t="s">
        <v>56</v>
      </c>
      <c r="J8" s="26" t="s">
        <v>41</v>
      </c>
      <c r="K8" s="21"/>
      <c r="L8" s="54"/>
      <c r="M8" s="26" t="s">
        <v>59</v>
      </c>
    </row>
    <row r="9" ht="18.0" customHeight="1">
      <c r="A9" s="16" t="s">
        <v>1593</v>
      </c>
      <c r="B9" s="4"/>
      <c r="C9" s="4"/>
      <c r="D9" s="4"/>
      <c r="E9" s="4"/>
      <c r="F9" s="4"/>
      <c r="G9" s="4"/>
      <c r="H9" s="4"/>
      <c r="I9" s="4"/>
      <c r="J9" s="4"/>
      <c r="K9" s="4"/>
      <c r="L9" s="5"/>
    </row>
    <row r="10" ht="30.0" customHeight="1">
      <c r="A10" s="18" t="s">
        <v>1594</v>
      </c>
      <c r="B10" s="19" t="s">
        <v>445</v>
      </c>
      <c r="C10" s="21" t="s">
        <v>1595</v>
      </c>
      <c r="D10" s="21" t="s">
        <v>1196</v>
      </c>
      <c r="E10" s="32" t="s">
        <v>25</v>
      </c>
      <c r="F10" s="21" t="s">
        <v>1596</v>
      </c>
      <c r="G10" s="21" t="s">
        <v>1597</v>
      </c>
      <c r="H10" s="21" t="s">
        <v>1599</v>
      </c>
      <c r="I10" s="21" t="s">
        <v>55</v>
      </c>
      <c r="J10" s="26" t="s">
        <v>41</v>
      </c>
      <c r="K10" s="21"/>
      <c r="L10" s="54"/>
      <c r="M10" s="26" t="s">
        <v>59</v>
      </c>
    </row>
    <row r="11" ht="30.0" customHeight="1">
      <c r="A11" s="27" t="s">
        <v>1600</v>
      </c>
      <c r="B11" s="19" t="s">
        <v>445</v>
      </c>
      <c r="C11" s="28" t="s">
        <v>1601</v>
      </c>
      <c r="D11" s="28" t="s">
        <v>1196</v>
      </c>
      <c r="E11" s="30" t="s">
        <v>25</v>
      </c>
      <c r="F11" s="28" t="s">
        <v>1602</v>
      </c>
      <c r="G11" s="28" t="s">
        <v>1603</v>
      </c>
      <c r="H11" s="28" t="s">
        <v>1604</v>
      </c>
      <c r="I11" s="28" t="s">
        <v>55</v>
      </c>
      <c r="J11" s="26" t="s">
        <v>41</v>
      </c>
      <c r="K11" s="28"/>
      <c r="L11" s="55"/>
      <c r="M11" s="26" t="s">
        <v>59</v>
      </c>
    </row>
    <row r="12" ht="43.5" customHeight="1">
      <c r="A12" s="18" t="s">
        <v>1605</v>
      </c>
      <c r="B12" s="19" t="s">
        <v>445</v>
      </c>
      <c r="C12" s="21" t="s">
        <v>1606</v>
      </c>
      <c r="D12" s="21" t="s">
        <v>1608</v>
      </c>
      <c r="E12" s="23" t="s">
        <v>15</v>
      </c>
      <c r="F12" s="21" t="s">
        <v>1609</v>
      </c>
      <c r="G12" s="21" t="s">
        <v>1611</v>
      </c>
      <c r="H12" s="21" t="s">
        <v>1613</v>
      </c>
      <c r="I12" s="21" t="s">
        <v>55</v>
      </c>
      <c r="J12" s="26" t="s">
        <v>41</v>
      </c>
      <c r="K12" s="21"/>
      <c r="L12" s="54"/>
      <c r="M12" s="26" t="s">
        <v>59</v>
      </c>
    </row>
    <row r="13" ht="30.0" customHeight="1">
      <c r="A13" s="27" t="s">
        <v>1614</v>
      </c>
      <c r="B13" s="19" t="s">
        <v>445</v>
      </c>
      <c r="C13" s="28" t="s">
        <v>1615</v>
      </c>
      <c r="D13" s="28" t="s">
        <v>1196</v>
      </c>
      <c r="E13" s="30" t="s">
        <v>25</v>
      </c>
      <c r="F13" s="28" t="s">
        <v>1616</v>
      </c>
      <c r="G13" s="28" t="s">
        <v>1617</v>
      </c>
      <c r="H13" s="28" t="s">
        <v>1618</v>
      </c>
      <c r="I13" s="28" t="s">
        <v>55</v>
      </c>
      <c r="J13" s="26" t="s">
        <v>41</v>
      </c>
      <c r="K13" s="28"/>
      <c r="L13" s="55"/>
      <c r="M13" s="26" t="s">
        <v>59</v>
      </c>
    </row>
    <row r="14" ht="15.0" customHeight="1">
      <c r="A14" s="52" t="s">
        <v>203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5"/>
    </row>
    <row r="15" ht="53.25" customHeight="1">
      <c r="A15" s="26" t="s">
        <v>207</v>
      </c>
      <c r="B15" s="26" t="s">
        <v>209</v>
      </c>
      <c r="C15" s="26" t="s">
        <v>211</v>
      </c>
      <c r="D15" s="26" t="s">
        <v>212</v>
      </c>
      <c r="E15" s="26" t="s">
        <v>25</v>
      </c>
      <c r="F15" s="26" t="s">
        <v>215</v>
      </c>
      <c r="G15" s="26" t="s">
        <v>217</v>
      </c>
      <c r="H15" s="26" t="s">
        <v>218</v>
      </c>
      <c r="I15" s="26" t="s">
        <v>55</v>
      </c>
      <c r="J15" s="26" t="s">
        <v>54</v>
      </c>
      <c r="K15" s="26"/>
      <c r="L15" s="2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L1"/>
    <mergeCell ref="A2:L2"/>
    <mergeCell ref="A5:L5"/>
    <mergeCell ref="A9:L9"/>
    <mergeCell ref="A14:L14"/>
  </mergeCells>
  <dataValidations>
    <dataValidation type="list" allowBlank="1" sqref="E6:E8 E10:E13 E15">
      <formula1>"P1,P2,P3"</formula1>
    </dataValidation>
    <dataValidation type="list" allowBlank="1" sqref="J6:J8 J10:J13 J15">
      <formula1>"Not Run,Pass,Fail,Blocked,Skip,N/A"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30.0"/>
    <col customWidth="1" min="4" max="4" width="26.0"/>
    <col customWidth="1" min="5" max="5" width="9.0"/>
    <col customWidth="1" min="6" max="6" width="36.0"/>
    <col customWidth="1" min="7" max="7" width="32.0"/>
    <col customWidth="1" min="8" max="8" width="48.0"/>
    <col customWidth="1" min="9" max="9" width="11.0"/>
    <col customWidth="1" min="10" max="11" width="10.0"/>
    <col customWidth="1" min="12" max="12" width="40.0"/>
    <col customWidth="1" min="13" max="13" width="55.0"/>
  </cols>
  <sheetData>
    <row r="1" ht="24.0" customHeight="1">
      <c r="A1" s="1" t="s">
        <v>1607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15.0" customHeight="1">
      <c r="A2" s="10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4" ht="25.5" customHeight="1">
      <c r="A4" s="12" t="s">
        <v>10</v>
      </c>
      <c r="B4" s="12" t="s">
        <v>12</v>
      </c>
      <c r="C4" s="12" t="s">
        <v>14</v>
      </c>
      <c r="D4" s="12" t="s">
        <v>16</v>
      </c>
      <c r="E4" s="12" t="s">
        <v>17</v>
      </c>
      <c r="F4" s="12" t="s">
        <v>19</v>
      </c>
      <c r="G4" s="12" t="s">
        <v>20</v>
      </c>
      <c r="H4" s="12" t="s">
        <v>21</v>
      </c>
      <c r="I4" s="12" t="s">
        <v>23</v>
      </c>
      <c r="J4" s="12" t="s">
        <v>24</v>
      </c>
      <c r="K4" s="12" t="s">
        <v>26</v>
      </c>
      <c r="L4" s="12" t="s">
        <v>27</v>
      </c>
      <c r="M4" s="12" t="s">
        <v>29</v>
      </c>
    </row>
    <row r="5" ht="18.0" customHeight="1">
      <c r="A5" s="16" t="s">
        <v>1619</v>
      </c>
      <c r="B5" s="4"/>
      <c r="C5" s="4"/>
      <c r="D5" s="4"/>
      <c r="E5" s="4"/>
      <c r="F5" s="4"/>
      <c r="G5" s="4"/>
      <c r="H5" s="4"/>
      <c r="I5" s="4"/>
      <c r="J5" s="4"/>
      <c r="K5" s="4"/>
      <c r="L5" s="5"/>
    </row>
    <row r="6" ht="30.0" customHeight="1">
      <c r="A6" s="18" t="s">
        <v>1620</v>
      </c>
      <c r="B6" s="19" t="s">
        <v>42</v>
      </c>
      <c r="C6" s="21" t="s">
        <v>1621</v>
      </c>
      <c r="D6" s="21" t="s">
        <v>1622</v>
      </c>
      <c r="E6" s="32" t="s">
        <v>25</v>
      </c>
      <c r="F6" s="21" t="s">
        <v>1623</v>
      </c>
      <c r="G6" s="21" t="s">
        <v>1624</v>
      </c>
      <c r="H6" s="21" t="s">
        <v>1625</v>
      </c>
      <c r="I6" s="21" t="s">
        <v>55</v>
      </c>
      <c r="J6" s="26" t="s">
        <v>41</v>
      </c>
      <c r="K6" s="21"/>
      <c r="L6" s="21"/>
      <c r="M6" s="26" t="s">
        <v>59</v>
      </c>
    </row>
    <row r="7" ht="30.0" customHeight="1">
      <c r="A7" s="27" t="s">
        <v>1628</v>
      </c>
      <c r="B7" s="19" t="s">
        <v>42</v>
      </c>
      <c r="C7" s="28" t="s">
        <v>1629</v>
      </c>
      <c r="D7" s="28" t="s">
        <v>1622</v>
      </c>
      <c r="E7" s="23" t="s">
        <v>15</v>
      </c>
      <c r="F7" s="28" t="s">
        <v>1630</v>
      </c>
      <c r="G7" s="28" t="s">
        <v>1631</v>
      </c>
      <c r="H7" s="28" t="s">
        <v>1632</v>
      </c>
      <c r="I7" s="28" t="s">
        <v>55</v>
      </c>
      <c r="J7" s="26" t="s">
        <v>41</v>
      </c>
      <c r="K7" s="28"/>
      <c r="L7" s="28"/>
      <c r="M7" s="26" t="s">
        <v>59</v>
      </c>
    </row>
    <row r="8" ht="30.0" customHeight="1">
      <c r="A8" s="18" t="s">
        <v>1633</v>
      </c>
      <c r="B8" s="19" t="s">
        <v>38</v>
      </c>
      <c r="C8" s="21" t="s">
        <v>1634</v>
      </c>
      <c r="D8" s="21" t="s">
        <v>1622</v>
      </c>
      <c r="E8" s="32" t="s">
        <v>32</v>
      </c>
      <c r="F8" s="21" t="s">
        <v>1635</v>
      </c>
      <c r="G8" s="21" t="s">
        <v>1636</v>
      </c>
      <c r="H8" s="21" t="s">
        <v>1637</v>
      </c>
      <c r="I8" s="25" t="s">
        <v>56</v>
      </c>
      <c r="J8" s="26" t="s">
        <v>41</v>
      </c>
      <c r="K8" s="21"/>
      <c r="L8" s="21"/>
      <c r="M8" s="26" t="s">
        <v>59</v>
      </c>
    </row>
    <row r="9" ht="15.0" customHeight="1">
      <c r="A9" s="52" t="s">
        <v>203</v>
      </c>
      <c r="B9" s="4"/>
      <c r="C9" s="4"/>
      <c r="D9" s="4"/>
      <c r="E9" s="4"/>
      <c r="F9" s="4"/>
      <c r="G9" s="4"/>
      <c r="H9" s="4"/>
      <c r="I9" s="4"/>
      <c r="J9" s="4"/>
      <c r="K9" s="4"/>
      <c r="L9" s="5"/>
    </row>
    <row r="10" ht="53.25" customHeight="1">
      <c r="A10" s="26" t="s">
        <v>207</v>
      </c>
      <c r="B10" s="26" t="s">
        <v>209</v>
      </c>
      <c r="C10" s="26" t="s">
        <v>211</v>
      </c>
      <c r="D10" s="26" t="s">
        <v>212</v>
      </c>
      <c r="E10" s="26" t="s">
        <v>25</v>
      </c>
      <c r="F10" s="26" t="s">
        <v>215</v>
      </c>
      <c r="G10" s="26" t="s">
        <v>217</v>
      </c>
      <c r="H10" s="26" t="s">
        <v>218</v>
      </c>
      <c r="I10" s="26" t="s">
        <v>55</v>
      </c>
      <c r="J10" s="26" t="s">
        <v>54</v>
      </c>
      <c r="K10" s="26"/>
      <c r="L10" s="2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L1"/>
    <mergeCell ref="A2:L2"/>
    <mergeCell ref="A5:L5"/>
    <mergeCell ref="A9:L9"/>
  </mergeCells>
  <dataValidations>
    <dataValidation type="list" allowBlank="1" sqref="E6:E8 E10">
      <formula1>"P1,P2,P3"</formula1>
    </dataValidation>
    <dataValidation type="list" allowBlank="1" sqref="J6:J8 J10">
      <formula1>"Not Run,Pass,Fail,Blocked,Skip,N/A"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30.0"/>
    <col customWidth="1" min="4" max="4" width="26.0"/>
    <col customWidth="1" min="5" max="5" width="9.0"/>
    <col customWidth="1" min="6" max="6" width="36.0"/>
    <col customWidth="1" min="7" max="7" width="32.0"/>
    <col customWidth="1" min="8" max="8" width="48.0"/>
    <col customWidth="1" min="9" max="9" width="11.0"/>
    <col customWidth="1" min="10" max="11" width="10.0"/>
    <col customWidth="1" min="12" max="12" width="40.0"/>
    <col customWidth="1" min="13" max="13" width="55.0"/>
  </cols>
  <sheetData>
    <row r="1" ht="24.0" customHeight="1">
      <c r="A1" s="1" t="s">
        <v>1638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15.0" customHeight="1">
      <c r="A2" s="10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4" ht="25.5" customHeight="1">
      <c r="A4" s="12" t="s">
        <v>10</v>
      </c>
      <c r="B4" s="12" t="s">
        <v>12</v>
      </c>
      <c r="C4" s="12" t="s">
        <v>14</v>
      </c>
      <c r="D4" s="12" t="s">
        <v>16</v>
      </c>
      <c r="E4" s="12" t="s">
        <v>17</v>
      </c>
      <c r="F4" s="12" t="s">
        <v>19</v>
      </c>
      <c r="G4" s="12" t="s">
        <v>20</v>
      </c>
      <c r="H4" s="12" t="s">
        <v>21</v>
      </c>
      <c r="I4" s="12" t="s">
        <v>23</v>
      </c>
      <c r="J4" s="12" t="s">
        <v>24</v>
      </c>
      <c r="K4" s="12" t="s">
        <v>26</v>
      </c>
      <c r="L4" s="12" t="s">
        <v>27</v>
      </c>
      <c r="M4" s="12" t="s">
        <v>29</v>
      </c>
    </row>
    <row r="5" ht="18.0" customHeight="1">
      <c r="A5" s="16" t="s">
        <v>1641</v>
      </c>
      <c r="B5" s="4"/>
      <c r="C5" s="4"/>
      <c r="D5" s="4"/>
      <c r="E5" s="4"/>
      <c r="F5" s="4"/>
      <c r="G5" s="4"/>
      <c r="H5" s="4"/>
      <c r="I5" s="4"/>
      <c r="J5" s="4"/>
      <c r="K5" s="4"/>
      <c r="L5" s="5"/>
    </row>
    <row r="6" ht="43.5" customHeight="1">
      <c r="A6" s="18" t="s">
        <v>1642</v>
      </c>
      <c r="B6" s="19" t="s">
        <v>42</v>
      </c>
      <c r="C6" s="21" t="s">
        <v>1643</v>
      </c>
      <c r="D6" s="21" t="s">
        <v>1038</v>
      </c>
      <c r="E6" s="23" t="s">
        <v>15</v>
      </c>
      <c r="F6" s="21" t="s">
        <v>1644</v>
      </c>
      <c r="G6" s="21" t="s">
        <v>1645</v>
      </c>
      <c r="H6" s="21" t="s">
        <v>1646</v>
      </c>
      <c r="I6" s="21" t="s">
        <v>55</v>
      </c>
      <c r="J6" s="26" t="s">
        <v>41</v>
      </c>
      <c r="K6" s="21"/>
      <c r="L6" s="21"/>
      <c r="M6" s="26" t="s">
        <v>59</v>
      </c>
    </row>
    <row r="7" ht="43.5" customHeight="1">
      <c r="A7" s="27" t="s">
        <v>1648</v>
      </c>
      <c r="B7" s="19" t="s">
        <v>457</v>
      </c>
      <c r="C7" s="28" t="s">
        <v>1649</v>
      </c>
      <c r="D7" s="28" t="s">
        <v>174</v>
      </c>
      <c r="E7" s="23" t="s">
        <v>15</v>
      </c>
      <c r="F7" s="28" t="s">
        <v>1650</v>
      </c>
      <c r="G7" s="28" t="s">
        <v>1645</v>
      </c>
      <c r="H7" s="28" t="s">
        <v>1651</v>
      </c>
      <c r="I7" s="28" t="s">
        <v>55</v>
      </c>
      <c r="J7" s="26" t="s">
        <v>46</v>
      </c>
      <c r="K7" s="57" t="s">
        <v>1652</v>
      </c>
      <c r="L7" s="28"/>
      <c r="M7" s="26" t="s">
        <v>1653</v>
      </c>
    </row>
    <row r="8" ht="43.5" customHeight="1">
      <c r="A8" s="18" t="s">
        <v>1654</v>
      </c>
      <c r="B8" s="19" t="s">
        <v>1655</v>
      </c>
      <c r="C8" s="21" t="s">
        <v>1656</v>
      </c>
      <c r="D8" s="21" t="s">
        <v>1657</v>
      </c>
      <c r="E8" s="23" t="s">
        <v>15</v>
      </c>
      <c r="F8" s="21" t="s">
        <v>1658</v>
      </c>
      <c r="G8" s="21" t="s">
        <v>1645</v>
      </c>
      <c r="H8" s="21" t="s">
        <v>1659</v>
      </c>
      <c r="I8" s="25" t="s">
        <v>56</v>
      </c>
      <c r="J8" s="26" t="s">
        <v>41</v>
      </c>
      <c r="K8" s="21"/>
      <c r="L8" s="21"/>
      <c r="M8" s="26" t="s">
        <v>59</v>
      </c>
    </row>
    <row r="9" ht="18.0" customHeight="1">
      <c r="A9" s="16" t="s">
        <v>1660</v>
      </c>
      <c r="B9" s="4"/>
      <c r="C9" s="4"/>
      <c r="D9" s="4"/>
      <c r="E9" s="4"/>
      <c r="F9" s="4"/>
      <c r="G9" s="4"/>
      <c r="H9" s="4"/>
      <c r="I9" s="4"/>
      <c r="J9" s="4"/>
      <c r="K9" s="4"/>
      <c r="L9" s="5"/>
    </row>
    <row r="10" ht="30.0" customHeight="1">
      <c r="A10" s="18" t="s">
        <v>1661</v>
      </c>
      <c r="B10" s="19" t="s">
        <v>42</v>
      </c>
      <c r="C10" s="21" t="s">
        <v>1662</v>
      </c>
      <c r="D10" s="21" t="s">
        <v>69</v>
      </c>
      <c r="E10" s="32" t="s">
        <v>25</v>
      </c>
      <c r="F10" s="21" t="s">
        <v>1663</v>
      </c>
      <c r="G10" s="21" t="s">
        <v>1664</v>
      </c>
      <c r="H10" s="21" t="s">
        <v>1665</v>
      </c>
      <c r="I10" s="21" t="s">
        <v>55</v>
      </c>
      <c r="J10" s="26" t="s">
        <v>41</v>
      </c>
      <c r="K10" s="21"/>
      <c r="L10" s="21"/>
      <c r="M10" s="26" t="s">
        <v>59</v>
      </c>
    </row>
    <row r="11" ht="43.5" customHeight="1">
      <c r="A11" s="27" t="s">
        <v>1666</v>
      </c>
      <c r="B11" s="19" t="s">
        <v>42</v>
      </c>
      <c r="C11" s="28" t="s">
        <v>1667</v>
      </c>
      <c r="D11" s="28" t="s">
        <v>69</v>
      </c>
      <c r="E11" s="30" t="s">
        <v>25</v>
      </c>
      <c r="F11" s="28" t="s">
        <v>1668</v>
      </c>
      <c r="G11" s="28" t="s">
        <v>1669</v>
      </c>
      <c r="H11" s="28" t="s">
        <v>1670</v>
      </c>
      <c r="I11" s="28" t="s">
        <v>55</v>
      </c>
      <c r="J11" s="26" t="s">
        <v>41</v>
      </c>
      <c r="K11" s="28"/>
      <c r="L11" s="28"/>
      <c r="M11" s="26" t="s">
        <v>59</v>
      </c>
    </row>
    <row r="12" ht="30.0" customHeight="1">
      <c r="A12" s="18" t="s">
        <v>1671</v>
      </c>
      <c r="B12" s="19" t="s">
        <v>42</v>
      </c>
      <c r="C12" s="21" t="s">
        <v>1673</v>
      </c>
      <c r="D12" s="21" t="s">
        <v>1674</v>
      </c>
      <c r="E12" s="32" t="s">
        <v>32</v>
      </c>
      <c r="F12" s="21" t="s">
        <v>662</v>
      </c>
      <c r="G12" s="21" t="s">
        <v>1676</v>
      </c>
      <c r="H12" s="21" t="s">
        <v>1677</v>
      </c>
      <c r="I12" s="21" t="s">
        <v>55</v>
      </c>
      <c r="J12" s="26" t="s">
        <v>41</v>
      </c>
      <c r="K12" s="21"/>
      <c r="L12" s="21"/>
      <c r="M12" s="26" t="s">
        <v>59</v>
      </c>
    </row>
    <row r="13" ht="15.0" customHeight="1">
      <c r="A13" s="52" t="s">
        <v>203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</row>
    <row r="14" ht="53.25" customHeight="1">
      <c r="A14" s="26" t="s">
        <v>207</v>
      </c>
      <c r="B14" s="26" t="s">
        <v>209</v>
      </c>
      <c r="C14" s="26" t="s">
        <v>211</v>
      </c>
      <c r="D14" s="26" t="s">
        <v>212</v>
      </c>
      <c r="E14" s="26" t="s">
        <v>25</v>
      </c>
      <c r="F14" s="26" t="s">
        <v>215</v>
      </c>
      <c r="G14" s="26" t="s">
        <v>217</v>
      </c>
      <c r="H14" s="26" t="s">
        <v>218</v>
      </c>
      <c r="I14" s="26" t="s">
        <v>55</v>
      </c>
      <c r="J14" s="26" t="s">
        <v>54</v>
      </c>
      <c r="K14" s="26"/>
      <c r="L14" s="26"/>
    </row>
    <row r="16">
      <c r="A16" s="16" t="s">
        <v>1678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5"/>
    </row>
    <row r="17" ht="46.5" customHeight="1">
      <c r="A17" s="18" t="s">
        <v>1679</v>
      </c>
      <c r="B17" s="19" t="s">
        <v>42</v>
      </c>
      <c r="C17" s="21" t="s">
        <v>1680</v>
      </c>
      <c r="D17" s="21" t="s">
        <v>1681</v>
      </c>
      <c r="E17" s="32" t="s">
        <v>25</v>
      </c>
      <c r="F17" s="21" t="s">
        <v>1682</v>
      </c>
      <c r="G17" s="21" t="s">
        <v>1683</v>
      </c>
      <c r="H17" s="21" t="s">
        <v>1684</v>
      </c>
      <c r="I17" s="21" t="s">
        <v>55</v>
      </c>
      <c r="J17" s="26" t="s">
        <v>41</v>
      </c>
      <c r="K17" s="21"/>
      <c r="L17" s="54"/>
      <c r="M17" s="26" t="s">
        <v>59</v>
      </c>
    </row>
    <row r="18" ht="46.5" customHeight="1">
      <c r="A18" s="27" t="s">
        <v>1685</v>
      </c>
      <c r="B18" s="19" t="s">
        <v>38</v>
      </c>
      <c r="C18" s="28" t="s">
        <v>1689</v>
      </c>
      <c r="D18" s="28" t="s">
        <v>299</v>
      </c>
      <c r="E18" s="30" t="s">
        <v>25</v>
      </c>
      <c r="F18" s="28" t="s">
        <v>1690</v>
      </c>
      <c r="G18" s="28" t="s">
        <v>1683</v>
      </c>
      <c r="H18" s="28" t="s">
        <v>1691</v>
      </c>
      <c r="I18" s="41" t="s">
        <v>56</v>
      </c>
      <c r="J18" s="26" t="s">
        <v>41</v>
      </c>
      <c r="K18" s="28"/>
      <c r="L18" s="55"/>
      <c r="M18" s="26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L1"/>
    <mergeCell ref="A2:L2"/>
    <mergeCell ref="A5:L5"/>
    <mergeCell ref="A9:L9"/>
    <mergeCell ref="A13:L13"/>
    <mergeCell ref="A16:L16"/>
  </mergeCells>
  <dataValidations>
    <dataValidation type="list" allowBlank="1" sqref="E6:E8 E10:E12 E14 E17:E18">
      <formula1>"P1,P2,P3"</formula1>
    </dataValidation>
    <dataValidation type="list" allowBlank="1" sqref="J6:J8 J10:J12 J14 J17:J18">
      <formula1>"Not Run,Pass,Fail,Blocked,Skip,N/A"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30.0"/>
    <col customWidth="1" min="4" max="4" width="26.0"/>
    <col customWidth="1" min="5" max="5" width="9.0"/>
    <col customWidth="1" min="6" max="6" width="36.0"/>
    <col customWidth="1" min="7" max="7" width="32.0"/>
    <col customWidth="1" min="8" max="8" width="48.0"/>
    <col customWidth="1" min="9" max="9" width="11.0"/>
    <col customWidth="1" min="10" max="11" width="10.0"/>
    <col customWidth="1" min="12" max="12" width="40.0"/>
    <col customWidth="1" min="13" max="13" width="55.0"/>
  </cols>
  <sheetData>
    <row r="1" ht="24.0" customHeight="1">
      <c r="A1" s="1" t="s">
        <v>1688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15.0" customHeight="1">
      <c r="A2" s="10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4" ht="25.5" customHeight="1">
      <c r="A4" s="12" t="s">
        <v>10</v>
      </c>
      <c r="B4" s="12" t="s">
        <v>12</v>
      </c>
      <c r="C4" s="12" t="s">
        <v>14</v>
      </c>
      <c r="D4" s="12" t="s">
        <v>16</v>
      </c>
      <c r="E4" s="12" t="s">
        <v>17</v>
      </c>
      <c r="F4" s="12" t="s">
        <v>19</v>
      </c>
      <c r="G4" s="12" t="s">
        <v>20</v>
      </c>
      <c r="H4" s="12" t="s">
        <v>21</v>
      </c>
      <c r="I4" s="12" t="s">
        <v>23</v>
      </c>
      <c r="J4" s="12" t="s">
        <v>24</v>
      </c>
      <c r="K4" s="12" t="s">
        <v>26</v>
      </c>
      <c r="L4" s="12" t="s">
        <v>27</v>
      </c>
      <c r="M4" s="12" t="s">
        <v>29</v>
      </c>
    </row>
    <row r="5" ht="18.0" customHeight="1">
      <c r="A5" s="16" t="s">
        <v>1692</v>
      </c>
      <c r="B5" s="4"/>
      <c r="C5" s="4"/>
      <c r="D5" s="4"/>
      <c r="E5" s="4"/>
      <c r="F5" s="4"/>
      <c r="G5" s="4"/>
      <c r="H5" s="4"/>
      <c r="I5" s="4"/>
      <c r="J5" s="4"/>
      <c r="K5" s="4"/>
      <c r="L5" s="5"/>
    </row>
    <row r="6" ht="43.5" customHeight="1">
      <c r="A6" s="18" t="s">
        <v>1693</v>
      </c>
      <c r="B6" s="19" t="s">
        <v>42</v>
      </c>
      <c r="C6" s="21" t="s">
        <v>1694</v>
      </c>
      <c r="D6" s="21" t="s">
        <v>174</v>
      </c>
      <c r="E6" s="23" t="s">
        <v>15</v>
      </c>
      <c r="F6" s="21" t="s">
        <v>1696</v>
      </c>
      <c r="G6" s="21" t="s">
        <v>1697</v>
      </c>
      <c r="H6" s="21" t="s">
        <v>1698</v>
      </c>
      <c r="I6" s="21" t="s">
        <v>55</v>
      </c>
      <c r="J6" s="26" t="s">
        <v>41</v>
      </c>
      <c r="K6" s="21"/>
      <c r="L6" s="21"/>
      <c r="M6" s="26" t="s">
        <v>59</v>
      </c>
    </row>
    <row r="7" ht="30.0" customHeight="1">
      <c r="A7" s="27" t="s">
        <v>1699</v>
      </c>
      <c r="B7" s="19" t="s">
        <v>42</v>
      </c>
      <c r="C7" s="28" t="s">
        <v>1700</v>
      </c>
      <c r="D7" s="28" t="s">
        <v>174</v>
      </c>
      <c r="E7" s="23" t="s">
        <v>15</v>
      </c>
      <c r="F7" s="28" t="s">
        <v>1701</v>
      </c>
      <c r="G7" s="28" t="s">
        <v>1702</v>
      </c>
      <c r="H7" s="28" t="s">
        <v>1703</v>
      </c>
      <c r="I7" s="28" t="s">
        <v>55</v>
      </c>
      <c r="J7" s="26" t="s">
        <v>41</v>
      </c>
      <c r="K7" s="28"/>
      <c r="L7" s="28"/>
      <c r="M7" s="26" t="s">
        <v>59</v>
      </c>
    </row>
    <row r="8" ht="18.0" customHeight="1">
      <c r="A8" s="16" t="s">
        <v>1704</v>
      </c>
      <c r="B8" s="4"/>
      <c r="C8" s="4"/>
      <c r="D8" s="4"/>
      <c r="E8" s="4"/>
      <c r="F8" s="4"/>
      <c r="G8" s="4"/>
      <c r="H8" s="4"/>
      <c r="I8" s="4"/>
      <c r="J8" s="4"/>
      <c r="K8" s="4"/>
      <c r="L8" s="5"/>
    </row>
    <row r="9" ht="46.5" customHeight="1">
      <c r="A9" s="18" t="s">
        <v>1705</v>
      </c>
      <c r="B9" s="19" t="s">
        <v>42</v>
      </c>
      <c r="C9" s="21" t="s">
        <v>1706</v>
      </c>
      <c r="D9" s="21" t="s">
        <v>69</v>
      </c>
      <c r="E9" s="23" t="s">
        <v>15</v>
      </c>
      <c r="F9" s="21" t="s">
        <v>1707</v>
      </c>
      <c r="G9" s="21" t="s">
        <v>1708</v>
      </c>
      <c r="H9" s="21" t="s">
        <v>1709</v>
      </c>
      <c r="I9" s="21" t="s">
        <v>55</v>
      </c>
      <c r="J9" s="26" t="s">
        <v>41</v>
      </c>
      <c r="K9" s="21"/>
      <c r="L9" s="54"/>
      <c r="M9" s="26" t="s">
        <v>59</v>
      </c>
    </row>
    <row r="10" ht="60.0" customHeight="1">
      <c r="A10" s="27" t="s">
        <v>1711</v>
      </c>
      <c r="B10" s="19" t="s">
        <v>457</v>
      </c>
      <c r="C10" s="28" t="s">
        <v>1712</v>
      </c>
      <c r="D10" s="28" t="s">
        <v>1713</v>
      </c>
      <c r="E10" s="23" t="s">
        <v>15</v>
      </c>
      <c r="F10" s="28" t="s">
        <v>1714</v>
      </c>
      <c r="G10" s="28" t="s">
        <v>1715</v>
      </c>
      <c r="H10" s="28" t="s">
        <v>1716</v>
      </c>
      <c r="I10" s="28" t="s">
        <v>55</v>
      </c>
      <c r="J10" s="26" t="s">
        <v>41</v>
      </c>
      <c r="K10" s="28"/>
      <c r="L10" s="55"/>
      <c r="M10" s="26" t="s">
        <v>59</v>
      </c>
    </row>
    <row r="11" ht="18.0" customHeight="1">
      <c r="A11" s="16" t="s">
        <v>1717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</row>
    <row r="12" ht="30.0" customHeight="1">
      <c r="A12" s="18" t="s">
        <v>1718</v>
      </c>
      <c r="B12" s="19" t="s">
        <v>42</v>
      </c>
      <c r="C12" s="21" t="s">
        <v>1719</v>
      </c>
      <c r="D12" s="21" t="s">
        <v>1720</v>
      </c>
      <c r="E12" s="32" t="s">
        <v>32</v>
      </c>
      <c r="F12" s="21" t="s">
        <v>1724</v>
      </c>
      <c r="G12" s="21" t="s">
        <v>1725</v>
      </c>
      <c r="H12" s="21" t="s">
        <v>1726</v>
      </c>
      <c r="I12" s="21" t="s">
        <v>55</v>
      </c>
      <c r="J12" s="26" t="s">
        <v>41</v>
      </c>
      <c r="K12" s="21"/>
      <c r="L12" s="21"/>
      <c r="M12" s="26" t="s">
        <v>59</v>
      </c>
    </row>
    <row r="13" ht="15.0" customHeight="1">
      <c r="A13" s="52" t="s">
        <v>203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</row>
    <row r="14" ht="53.25" customHeight="1">
      <c r="A14" s="26" t="s">
        <v>207</v>
      </c>
      <c r="B14" s="26" t="s">
        <v>209</v>
      </c>
      <c r="C14" s="26" t="s">
        <v>211</v>
      </c>
      <c r="D14" s="26" t="s">
        <v>212</v>
      </c>
      <c r="E14" s="26" t="s">
        <v>25</v>
      </c>
      <c r="F14" s="26" t="s">
        <v>215</v>
      </c>
      <c r="G14" s="26" t="s">
        <v>217</v>
      </c>
      <c r="H14" s="26" t="s">
        <v>218</v>
      </c>
      <c r="I14" s="26" t="s">
        <v>55</v>
      </c>
      <c r="J14" s="26" t="s">
        <v>54</v>
      </c>
      <c r="K14" s="26"/>
      <c r="L14" s="26"/>
    </row>
    <row r="16">
      <c r="A16" s="16" t="s">
        <v>1729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5"/>
    </row>
    <row r="17" ht="46.5" customHeight="1">
      <c r="A17" s="18" t="s">
        <v>1731</v>
      </c>
      <c r="B17" s="19" t="s">
        <v>1732</v>
      </c>
      <c r="C17" s="21" t="s">
        <v>1734</v>
      </c>
      <c r="D17" s="21" t="s">
        <v>69</v>
      </c>
      <c r="E17" s="23" t="s">
        <v>15</v>
      </c>
      <c r="F17" s="21" t="s">
        <v>1735</v>
      </c>
      <c r="G17" s="21" t="s">
        <v>1736</v>
      </c>
      <c r="H17" s="21" t="s">
        <v>1738</v>
      </c>
      <c r="I17" s="21" t="s">
        <v>55</v>
      </c>
      <c r="J17" s="26" t="s">
        <v>41</v>
      </c>
      <c r="K17" s="21"/>
      <c r="L17" s="54"/>
      <c r="M17" s="26" t="s">
        <v>59</v>
      </c>
    </row>
    <row r="18" ht="46.5" customHeight="1">
      <c r="A18" s="27" t="s">
        <v>1742</v>
      </c>
      <c r="B18" s="19" t="s">
        <v>38</v>
      </c>
      <c r="C18" s="28" t="s">
        <v>1743</v>
      </c>
      <c r="D18" s="28" t="s">
        <v>1745</v>
      </c>
      <c r="E18" s="23" t="s">
        <v>15</v>
      </c>
      <c r="F18" s="28" t="s">
        <v>1747</v>
      </c>
      <c r="G18" s="28" t="s">
        <v>1749</v>
      </c>
      <c r="H18" s="28" t="s">
        <v>1750</v>
      </c>
      <c r="I18" s="41" t="s">
        <v>56</v>
      </c>
      <c r="J18" s="26" t="s">
        <v>41</v>
      </c>
      <c r="K18" s="28"/>
      <c r="L18" s="55"/>
      <c r="M18" s="26" t="s">
        <v>59</v>
      </c>
    </row>
    <row r="19" ht="46.5" customHeight="1">
      <c r="A19" s="18" t="s">
        <v>1754</v>
      </c>
      <c r="B19" s="19" t="s">
        <v>42</v>
      </c>
      <c r="C19" s="21" t="s">
        <v>1756</v>
      </c>
      <c r="D19" s="21" t="s">
        <v>69</v>
      </c>
      <c r="E19" s="32" t="s">
        <v>25</v>
      </c>
      <c r="F19" s="21" t="s">
        <v>1758</v>
      </c>
      <c r="G19" s="21" t="s">
        <v>1749</v>
      </c>
      <c r="H19" s="21" t="s">
        <v>1759</v>
      </c>
      <c r="I19" s="25" t="s">
        <v>56</v>
      </c>
      <c r="J19" s="26" t="s">
        <v>41</v>
      </c>
      <c r="K19" s="21"/>
      <c r="L19" s="54"/>
      <c r="M19" s="26" t="s">
        <v>1768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L1"/>
    <mergeCell ref="A2:L2"/>
    <mergeCell ref="A5:L5"/>
    <mergeCell ref="A8:L8"/>
    <mergeCell ref="A11:L11"/>
    <mergeCell ref="A13:L13"/>
    <mergeCell ref="A16:L16"/>
  </mergeCells>
  <dataValidations>
    <dataValidation type="list" allowBlank="1" sqref="E6:E7 E9:E10 E12 E14 E17:E19">
      <formula1>"P1,P2,P3"</formula1>
    </dataValidation>
    <dataValidation type="list" allowBlank="1" sqref="J6:J7 J9:J10 J12 J14 J17:J19">
      <formula1>"Not Run,Pass,Fail,Blocked,Skip,N/A"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30.0"/>
    <col customWidth="1" min="4" max="4" width="26.0"/>
    <col customWidth="1" min="5" max="5" width="9.0"/>
    <col customWidth="1" min="6" max="6" width="36.0"/>
    <col customWidth="1" min="7" max="7" width="32.0"/>
    <col customWidth="1" min="8" max="8" width="48.0"/>
    <col customWidth="1" min="9" max="9" width="11.0"/>
    <col customWidth="1" min="10" max="11" width="10.0"/>
    <col customWidth="1" min="12" max="12" width="40.0"/>
    <col customWidth="1" min="13" max="13" width="55.0"/>
  </cols>
  <sheetData>
    <row r="1" ht="24.0" customHeight="1">
      <c r="A1" s="1" t="s">
        <v>1723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15.0" customHeight="1">
      <c r="A2" s="10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4" ht="25.5" customHeight="1">
      <c r="A4" s="12" t="s">
        <v>10</v>
      </c>
      <c r="B4" s="12" t="s">
        <v>12</v>
      </c>
      <c r="C4" s="12" t="s">
        <v>14</v>
      </c>
      <c r="D4" s="12" t="s">
        <v>16</v>
      </c>
      <c r="E4" s="12" t="s">
        <v>17</v>
      </c>
      <c r="F4" s="12" t="s">
        <v>19</v>
      </c>
      <c r="G4" s="12" t="s">
        <v>20</v>
      </c>
      <c r="H4" s="12" t="s">
        <v>21</v>
      </c>
      <c r="I4" s="12" t="s">
        <v>23</v>
      </c>
      <c r="J4" s="12" t="s">
        <v>24</v>
      </c>
      <c r="K4" s="12" t="s">
        <v>26</v>
      </c>
      <c r="L4" s="12" t="s">
        <v>27</v>
      </c>
      <c r="M4" s="12" t="s">
        <v>29</v>
      </c>
    </row>
    <row r="5" ht="18.0" customHeight="1">
      <c r="A5" s="16" t="s">
        <v>1728</v>
      </c>
      <c r="B5" s="4"/>
      <c r="C5" s="4"/>
      <c r="D5" s="4"/>
      <c r="E5" s="4"/>
      <c r="F5" s="4"/>
      <c r="G5" s="4"/>
      <c r="H5" s="4"/>
      <c r="I5" s="4"/>
      <c r="J5" s="4"/>
      <c r="K5" s="4"/>
      <c r="L5" s="5"/>
    </row>
    <row r="6" ht="30.0" customHeight="1">
      <c r="A6" s="18" t="s">
        <v>1730</v>
      </c>
      <c r="B6" s="19" t="s">
        <v>457</v>
      </c>
      <c r="C6" s="21" t="s">
        <v>1733</v>
      </c>
      <c r="D6" s="21" t="s">
        <v>183</v>
      </c>
      <c r="E6" s="23" t="s">
        <v>15</v>
      </c>
      <c r="F6" s="21" t="s">
        <v>1737</v>
      </c>
      <c r="G6" s="21" t="s">
        <v>1739</v>
      </c>
      <c r="H6" s="21" t="s">
        <v>1740</v>
      </c>
      <c r="I6" s="25" t="s">
        <v>56</v>
      </c>
      <c r="J6" s="26" t="s">
        <v>41</v>
      </c>
      <c r="K6" s="21"/>
      <c r="L6" s="21"/>
      <c r="M6" s="26" t="s">
        <v>59</v>
      </c>
    </row>
    <row r="7" ht="30.0" customHeight="1">
      <c r="A7" s="27" t="s">
        <v>1744</v>
      </c>
      <c r="B7" s="19" t="s">
        <v>38</v>
      </c>
      <c r="C7" s="28" t="s">
        <v>1746</v>
      </c>
      <c r="D7" s="28" t="s">
        <v>1748</v>
      </c>
      <c r="E7" s="23" t="s">
        <v>15</v>
      </c>
      <c r="F7" s="28" t="s">
        <v>1751</v>
      </c>
      <c r="G7" s="28" t="s">
        <v>1752</v>
      </c>
      <c r="H7" s="28" t="s">
        <v>1753</v>
      </c>
      <c r="I7" s="41" t="s">
        <v>56</v>
      </c>
      <c r="J7" s="26" t="s">
        <v>41</v>
      </c>
      <c r="K7" s="28"/>
      <c r="L7" s="28"/>
      <c r="M7" s="26" t="s">
        <v>59</v>
      </c>
    </row>
    <row r="8" ht="18.0" customHeight="1">
      <c r="A8" s="16" t="s">
        <v>1757</v>
      </c>
      <c r="B8" s="4"/>
      <c r="C8" s="4"/>
      <c r="D8" s="4"/>
      <c r="E8" s="4"/>
      <c r="F8" s="4"/>
      <c r="G8" s="4"/>
      <c r="H8" s="4"/>
      <c r="I8" s="4"/>
      <c r="J8" s="4"/>
      <c r="K8" s="4"/>
      <c r="L8" s="5"/>
    </row>
    <row r="9" ht="43.5" customHeight="1">
      <c r="A9" s="18" t="s">
        <v>1760</v>
      </c>
      <c r="B9" s="19" t="s">
        <v>457</v>
      </c>
      <c r="C9" s="21" t="s">
        <v>1761</v>
      </c>
      <c r="D9" s="21" t="s">
        <v>69</v>
      </c>
      <c r="E9" s="23" t="s">
        <v>15</v>
      </c>
      <c r="F9" s="21" t="s">
        <v>1762</v>
      </c>
      <c r="G9" s="21" t="s">
        <v>1763</v>
      </c>
      <c r="H9" s="21" t="s">
        <v>1764</v>
      </c>
      <c r="I9" s="25" t="s">
        <v>56</v>
      </c>
      <c r="J9" s="26" t="s">
        <v>41</v>
      </c>
      <c r="K9" s="21"/>
      <c r="L9" s="21"/>
      <c r="M9" s="26" t="s">
        <v>59</v>
      </c>
    </row>
    <row r="10" ht="43.5" customHeight="1">
      <c r="A10" s="27" t="s">
        <v>1765</v>
      </c>
      <c r="B10" s="19" t="s">
        <v>457</v>
      </c>
      <c r="C10" s="28" t="s">
        <v>1766</v>
      </c>
      <c r="D10" s="28" t="s">
        <v>1767</v>
      </c>
      <c r="E10" s="23" t="s">
        <v>15</v>
      </c>
      <c r="F10" s="28" t="s">
        <v>1769</v>
      </c>
      <c r="G10" s="28" t="s">
        <v>1770</v>
      </c>
      <c r="H10" s="28" t="s">
        <v>1771</v>
      </c>
      <c r="I10" s="41" t="s">
        <v>56</v>
      </c>
      <c r="J10" s="26" t="s">
        <v>167</v>
      </c>
      <c r="K10" s="28"/>
      <c r="L10" s="28" t="s">
        <v>1772</v>
      </c>
      <c r="M10" s="26" t="s">
        <v>1773</v>
      </c>
    </row>
    <row r="11" ht="30.0" customHeight="1">
      <c r="A11" s="18" t="s">
        <v>1774</v>
      </c>
      <c r="B11" s="19" t="s">
        <v>415</v>
      </c>
      <c r="C11" s="21" t="s">
        <v>1775</v>
      </c>
      <c r="D11" s="21" t="s">
        <v>1776</v>
      </c>
      <c r="E11" s="23" t="s">
        <v>15</v>
      </c>
      <c r="F11" s="21" t="s">
        <v>1777</v>
      </c>
      <c r="G11" s="21" t="s">
        <v>1770</v>
      </c>
      <c r="H11" s="21" t="s">
        <v>1778</v>
      </c>
      <c r="I11" s="21" t="s">
        <v>55</v>
      </c>
      <c r="J11" s="26" t="s">
        <v>41</v>
      </c>
      <c r="K11" s="21"/>
      <c r="L11" s="54"/>
      <c r="M11" s="26" t="s">
        <v>1780</v>
      </c>
    </row>
    <row r="12" ht="43.5" customHeight="1">
      <c r="A12" s="27" t="s">
        <v>1782</v>
      </c>
      <c r="B12" s="19" t="s">
        <v>87</v>
      </c>
      <c r="C12" s="28" t="s">
        <v>1783</v>
      </c>
      <c r="D12" s="28" t="s">
        <v>1784</v>
      </c>
      <c r="E12" s="23" t="s">
        <v>15</v>
      </c>
      <c r="F12" s="28" t="s">
        <v>1785</v>
      </c>
      <c r="G12" s="28" t="s">
        <v>1786</v>
      </c>
      <c r="H12" s="28" t="s">
        <v>1787</v>
      </c>
      <c r="I12" s="28" t="s">
        <v>55</v>
      </c>
      <c r="J12" s="26" t="s">
        <v>167</v>
      </c>
      <c r="K12" s="28"/>
      <c r="L12" s="28" t="s">
        <v>1788</v>
      </c>
      <c r="M12" s="26" t="s">
        <v>1789</v>
      </c>
    </row>
    <row r="13" ht="18.0" customHeight="1">
      <c r="A13" s="16" t="s">
        <v>1790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</row>
    <row r="14" ht="30.0" customHeight="1">
      <c r="A14" s="18" t="s">
        <v>1792</v>
      </c>
      <c r="B14" s="19" t="s">
        <v>38</v>
      </c>
      <c r="C14" s="21" t="s">
        <v>1794</v>
      </c>
      <c r="D14" s="21" t="s">
        <v>1795</v>
      </c>
      <c r="E14" s="23" t="s">
        <v>15</v>
      </c>
      <c r="F14" s="21" t="s">
        <v>1796</v>
      </c>
      <c r="G14" s="21" t="s">
        <v>1797</v>
      </c>
      <c r="H14" s="21" t="s">
        <v>1798</v>
      </c>
      <c r="I14" s="25" t="s">
        <v>56</v>
      </c>
      <c r="J14" s="26" t="s">
        <v>46</v>
      </c>
      <c r="K14" s="59" t="s">
        <v>1799</v>
      </c>
      <c r="L14" s="21"/>
      <c r="M14" s="26" t="s">
        <v>1800</v>
      </c>
    </row>
    <row r="15" ht="30.0" customHeight="1">
      <c r="A15" s="27" t="s">
        <v>1801</v>
      </c>
      <c r="B15" s="19" t="s">
        <v>296</v>
      </c>
      <c r="C15" s="28" t="s">
        <v>1802</v>
      </c>
      <c r="D15" s="28" t="s">
        <v>256</v>
      </c>
      <c r="E15" s="30" t="s">
        <v>32</v>
      </c>
      <c r="F15" s="28" t="s">
        <v>1804</v>
      </c>
      <c r="G15" s="28" t="s">
        <v>1805</v>
      </c>
      <c r="H15" s="28" t="s">
        <v>1806</v>
      </c>
      <c r="I15" s="28" t="s">
        <v>55</v>
      </c>
      <c r="J15" s="26" t="s">
        <v>41</v>
      </c>
      <c r="K15" s="28"/>
      <c r="L15" s="28"/>
      <c r="M15" s="26" t="s">
        <v>59</v>
      </c>
    </row>
    <row r="16" ht="30.0" customHeight="1">
      <c r="A16" s="18" t="s">
        <v>1810</v>
      </c>
      <c r="B16" s="19" t="s">
        <v>42</v>
      </c>
      <c r="C16" s="21" t="s">
        <v>1812</v>
      </c>
      <c r="D16" s="21" t="s">
        <v>1814</v>
      </c>
      <c r="E16" s="32" t="s">
        <v>32</v>
      </c>
      <c r="F16" s="21" t="s">
        <v>1816</v>
      </c>
      <c r="G16" s="21" t="s">
        <v>1817</v>
      </c>
      <c r="H16" s="21" t="s">
        <v>1818</v>
      </c>
      <c r="I16" s="21" t="s">
        <v>55</v>
      </c>
      <c r="J16" s="26" t="s">
        <v>41</v>
      </c>
      <c r="K16" s="21"/>
      <c r="L16" s="21"/>
      <c r="M16" s="26" t="s">
        <v>59</v>
      </c>
    </row>
    <row r="17" ht="30.0" customHeight="1">
      <c r="A17" s="27" t="s">
        <v>1822</v>
      </c>
      <c r="B17" s="19" t="s">
        <v>42</v>
      </c>
      <c r="C17" s="28" t="s">
        <v>1823</v>
      </c>
      <c r="D17" s="28" t="s">
        <v>1622</v>
      </c>
      <c r="E17" s="30" t="s">
        <v>25</v>
      </c>
      <c r="F17" s="28" t="s">
        <v>1827</v>
      </c>
      <c r="G17" s="28" t="s">
        <v>1828</v>
      </c>
      <c r="H17" s="28" t="s">
        <v>1829</v>
      </c>
      <c r="I17" s="28" t="s">
        <v>55</v>
      </c>
      <c r="J17" s="26" t="s">
        <v>41</v>
      </c>
      <c r="K17" s="28"/>
      <c r="L17" s="28"/>
      <c r="M17" s="26" t="s">
        <v>59</v>
      </c>
    </row>
    <row r="18" ht="15.0" customHeight="1">
      <c r="A18" s="52" t="s">
        <v>203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5"/>
    </row>
    <row r="19" ht="53.25" customHeight="1">
      <c r="A19" s="26" t="s">
        <v>207</v>
      </c>
      <c r="B19" s="26" t="s">
        <v>209</v>
      </c>
      <c r="C19" s="26" t="s">
        <v>211</v>
      </c>
      <c r="D19" s="26" t="s">
        <v>212</v>
      </c>
      <c r="E19" s="26" t="s">
        <v>25</v>
      </c>
      <c r="F19" s="26" t="s">
        <v>215</v>
      </c>
      <c r="G19" s="26" t="s">
        <v>217</v>
      </c>
      <c r="H19" s="26" t="s">
        <v>218</v>
      </c>
      <c r="I19" s="26" t="s">
        <v>55</v>
      </c>
      <c r="J19" s="26" t="s">
        <v>54</v>
      </c>
      <c r="K19" s="26"/>
      <c r="L19" s="26"/>
    </row>
    <row r="21" ht="15.75" customHeight="1">
      <c r="A21" s="16" t="s">
        <v>1841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</row>
    <row r="22" ht="46.5" customHeight="1">
      <c r="A22" s="18" t="s">
        <v>1842</v>
      </c>
      <c r="B22" s="19" t="s">
        <v>457</v>
      </c>
      <c r="C22" s="21" t="s">
        <v>1843</v>
      </c>
      <c r="D22" s="21" t="s">
        <v>1844</v>
      </c>
      <c r="E22" s="32" t="s">
        <v>25</v>
      </c>
      <c r="F22" s="21" t="s">
        <v>1847</v>
      </c>
      <c r="G22" s="21" t="s">
        <v>1850</v>
      </c>
      <c r="H22" s="21" t="s">
        <v>1852</v>
      </c>
      <c r="I22" s="21" t="s">
        <v>55</v>
      </c>
      <c r="J22" s="26" t="s">
        <v>41</v>
      </c>
      <c r="K22" s="21"/>
      <c r="L22" s="54"/>
      <c r="M22" s="26" t="s">
        <v>59</v>
      </c>
    </row>
    <row r="23" ht="46.5" customHeight="1">
      <c r="A23" s="27" t="s">
        <v>1855</v>
      </c>
      <c r="B23" s="19" t="s">
        <v>1655</v>
      </c>
      <c r="C23" s="28" t="s">
        <v>1857</v>
      </c>
      <c r="D23" s="28" t="s">
        <v>183</v>
      </c>
      <c r="E23" s="23" t="s">
        <v>15</v>
      </c>
      <c r="F23" s="28" t="s">
        <v>1861</v>
      </c>
      <c r="G23" s="28" t="s">
        <v>1863</v>
      </c>
      <c r="H23" s="28" t="s">
        <v>1865</v>
      </c>
      <c r="I23" s="41" t="s">
        <v>56</v>
      </c>
      <c r="J23" s="26" t="s">
        <v>41</v>
      </c>
      <c r="K23" s="28"/>
      <c r="L23" s="55"/>
      <c r="M23" s="26" t="s">
        <v>59</v>
      </c>
    </row>
    <row r="24" ht="46.5" customHeight="1">
      <c r="A24" s="18" t="s">
        <v>1869</v>
      </c>
      <c r="B24" s="19" t="s">
        <v>42</v>
      </c>
      <c r="C24" s="21" t="s">
        <v>1870</v>
      </c>
      <c r="D24" s="21" t="s">
        <v>1871</v>
      </c>
      <c r="E24" s="32" t="s">
        <v>25</v>
      </c>
      <c r="F24" s="21" t="s">
        <v>1872</v>
      </c>
      <c r="G24" s="21" t="s">
        <v>1874</v>
      </c>
      <c r="H24" s="21" t="s">
        <v>1875</v>
      </c>
      <c r="I24" s="21" t="s">
        <v>55</v>
      </c>
      <c r="J24" s="26" t="s">
        <v>41</v>
      </c>
      <c r="K24" s="21"/>
      <c r="L24" s="54"/>
      <c r="M24" s="26" t="s">
        <v>59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L1"/>
    <mergeCell ref="A2:L2"/>
    <mergeCell ref="A5:L5"/>
    <mergeCell ref="A8:L8"/>
    <mergeCell ref="A13:L13"/>
    <mergeCell ref="A18:L18"/>
    <mergeCell ref="A21:L21"/>
  </mergeCells>
  <dataValidations>
    <dataValidation type="list" allowBlank="1" sqref="E6:E7 E9:E12 E14:E17 E19 E22:E24">
      <formula1>"P1,P2,P3"</formula1>
    </dataValidation>
    <dataValidation type="list" allowBlank="1" sqref="J6:J7 J9:J12 J14:J17 J19 J22:J24">
      <formula1>"Not Run,Pass,Fail,Blocked,Skip,N/A"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30.0"/>
    <col customWidth="1" min="4" max="4" width="26.0"/>
    <col customWidth="1" min="5" max="5" width="9.0"/>
    <col customWidth="1" min="6" max="6" width="36.0"/>
    <col customWidth="1" min="7" max="7" width="32.0"/>
    <col customWidth="1" min="8" max="8" width="48.0"/>
    <col customWidth="1" min="9" max="9" width="11.0"/>
    <col customWidth="1" min="10" max="11" width="10.0"/>
    <col customWidth="1" min="12" max="12" width="40.0"/>
    <col customWidth="1" min="13" max="13" width="55.0"/>
  </cols>
  <sheetData>
    <row r="1" ht="24.0" customHeight="1">
      <c r="A1" s="1" t="s">
        <v>1791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15.0" customHeight="1">
      <c r="A2" s="10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4" ht="25.5" customHeight="1">
      <c r="A4" s="12" t="s">
        <v>10</v>
      </c>
      <c r="B4" s="12" t="s">
        <v>12</v>
      </c>
      <c r="C4" s="12" t="s">
        <v>14</v>
      </c>
      <c r="D4" s="12" t="s">
        <v>16</v>
      </c>
      <c r="E4" s="12" t="s">
        <v>17</v>
      </c>
      <c r="F4" s="12" t="s">
        <v>19</v>
      </c>
      <c r="G4" s="12" t="s">
        <v>20</v>
      </c>
      <c r="H4" s="12" t="s">
        <v>21</v>
      </c>
      <c r="I4" s="12" t="s">
        <v>23</v>
      </c>
      <c r="J4" s="12" t="s">
        <v>24</v>
      </c>
      <c r="K4" s="12" t="s">
        <v>26</v>
      </c>
      <c r="L4" s="12" t="s">
        <v>27</v>
      </c>
      <c r="M4" s="12" t="s">
        <v>29</v>
      </c>
    </row>
    <row r="5" ht="18.0" customHeight="1">
      <c r="A5" s="16" t="s">
        <v>1803</v>
      </c>
      <c r="B5" s="4"/>
      <c r="C5" s="4"/>
      <c r="D5" s="4"/>
      <c r="E5" s="4"/>
      <c r="F5" s="4"/>
      <c r="G5" s="4"/>
      <c r="H5" s="4"/>
      <c r="I5" s="4"/>
      <c r="J5" s="4"/>
      <c r="K5" s="4"/>
      <c r="L5" s="5"/>
    </row>
    <row r="6" ht="60.0" customHeight="1">
      <c r="A6" s="18" t="s">
        <v>1807</v>
      </c>
      <c r="B6" s="19" t="s">
        <v>42</v>
      </c>
      <c r="C6" s="21" t="s">
        <v>1808</v>
      </c>
      <c r="D6" s="21" t="s">
        <v>1809</v>
      </c>
      <c r="E6" s="23" t="s">
        <v>15</v>
      </c>
      <c r="F6" s="21" t="s">
        <v>1811</v>
      </c>
      <c r="G6" s="21" t="s">
        <v>1813</v>
      </c>
      <c r="H6" s="21" t="s">
        <v>1815</v>
      </c>
      <c r="I6" s="21" t="s">
        <v>55</v>
      </c>
      <c r="J6" s="26" t="s">
        <v>41</v>
      </c>
      <c r="K6" s="21"/>
      <c r="L6" s="54"/>
      <c r="M6" s="26" t="s">
        <v>59</v>
      </c>
    </row>
    <row r="7" ht="46.5" customHeight="1">
      <c r="A7" s="27" t="s">
        <v>1819</v>
      </c>
      <c r="B7" s="19" t="s">
        <v>42</v>
      </c>
      <c r="C7" s="28" t="s">
        <v>1820</v>
      </c>
      <c r="D7" s="28" t="s">
        <v>1821</v>
      </c>
      <c r="E7" s="23" t="s">
        <v>15</v>
      </c>
      <c r="F7" s="28" t="s">
        <v>1824</v>
      </c>
      <c r="G7" s="28" t="s">
        <v>1825</v>
      </c>
      <c r="H7" s="28" t="s">
        <v>1826</v>
      </c>
      <c r="I7" s="28" t="s">
        <v>55</v>
      </c>
      <c r="J7" s="26" t="s">
        <v>41</v>
      </c>
      <c r="K7" s="28"/>
      <c r="L7" s="55"/>
      <c r="M7" s="26" t="s">
        <v>59</v>
      </c>
    </row>
    <row r="8" ht="60.0" customHeight="1">
      <c r="A8" s="18" t="s">
        <v>1831</v>
      </c>
      <c r="B8" s="19" t="s">
        <v>87</v>
      </c>
      <c r="C8" s="21" t="s">
        <v>1832</v>
      </c>
      <c r="D8" s="21" t="s">
        <v>695</v>
      </c>
      <c r="E8" s="23" t="s">
        <v>15</v>
      </c>
      <c r="F8" s="21" t="s">
        <v>1833</v>
      </c>
      <c r="G8" s="21" t="s">
        <v>1834</v>
      </c>
      <c r="H8" s="21" t="s">
        <v>1835</v>
      </c>
      <c r="I8" s="21" t="s">
        <v>55</v>
      </c>
      <c r="J8" s="26" t="s">
        <v>41</v>
      </c>
      <c r="K8" s="21"/>
      <c r="L8" s="54" t="s">
        <v>1403</v>
      </c>
      <c r="M8" s="26" t="s">
        <v>59</v>
      </c>
    </row>
    <row r="9" ht="60.0" customHeight="1">
      <c r="A9" s="27" t="s">
        <v>1836</v>
      </c>
      <c r="B9" s="19" t="s">
        <v>305</v>
      </c>
      <c r="C9" s="28" t="s">
        <v>1837</v>
      </c>
      <c r="D9" s="28" t="s">
        <v>986</v>
      </c>
      <c r="E9" s="23" t="s">
        <v>15</v>
      </c>
      <c r="F9" s="28" t="s">
        <v>1838</v>
      </c>
      <c r="G9" s="28" t="s">
        <v>1839</v>
      </c>
      <c r="H9" s="28" t="s">
        <v>1840</v>
      </c>
      <c r="I9" s="41" t="s">
        <v>56</v>
      </c>
      <c r="J9" s="26" t="s">
        <v>41</v>
      </c>
      <c r="K9" s="28"/>
      <c r="L9" s="55" t="s">
        <v>1403</v>
      </c>
      <c r="M9" s="26" t="s">
        <v>59</v>
      </c>
    </row>
    <row r="10" ht="46.5" customHeight="1">
      <c r="A10" s="18" t="s">
        <v>1845</v>
      </c>
      <c r="B10" s="19" t="s">
        <v>1846</v>
      </c>
      <c r="C10" s="21" t="s">
        <v>1848</v>
      </c>
      <c r="D10" s="21" t="s">
        <v>1849</v>
      </c>
      <c r="E10" s="23" t="s">
        <v>15</v>
      </c>
      <c r="F10" s="21" t="s">
        <v>1851</v>
      </c>
      <c r="G10" s="21" t="s">
        <v>1853</v>
      </c>
      <c r="H10" s="21" t="s">
        <v>1854</v>
      </c>
      <c r="I10" s="25" t="s">
        <v>56</v>
      </c>
      <c r="J10" s="26" t="s">
        <v>41</v>
      </c>
      <c r="K10" s="21"/>
      <c r="L10" s="54"/>
      <c r="M10" s="26" t="s">
        <v>59</v>
      </c>
    </row>
    <row r="11" ht="46.5" customHeight="1">
      <c r="A11" s="27" t="s">
        <v>1856</v>
      </c>
      <c r="B11" s="19" t="s">
        <v>1732</v>
      </c>
      <c r="C11" s="28" t="s">
        <v>1858</v>
      </c>
      <c r="D11" s="28" t="s">
        <v>1859</v>
      </c>
      <c r="E11" s="23" t="s">
        <v>15</v>
      </c>
      <c r="F11" s="28" t="s">
        <v>1860</v>
      </c>
      <c r="G11" s="28" t="s">
        <v>1862</v>
      </c>
      <c r="H11" s="28" t="s">
        <v>1864</v>
      </c>
      <c r="I11" s="28" t="s">
        <v>55</v>
      </c>
      <c r="J11" s="26" t="s">
        <v>41</v>
      </c>
      <c r="K11" s="28"/>
      <c r="L11" s="55" t="s">
        <v>1867</v>
      </c>
      <c r="M11" s="26" t="s">
        <v>59</v>
      </c>
    </row>
    <row r="12" ht="18.0" customHeight="1">
      <c r="A12" s="16" t="s">
        <v>1868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5"/>
    </row>
    <row r="13" ht="46.5" customHeight="1">
      <c r="A13" s="18" t="s">
        <v>1873</v>
      </c>
      <c r="B13" s="19" t="s">
        <v>42</v>
      </c>
      <c r="C13" s="21" t="s">
        <v>1876</v>
      </c>
      <c r="D13" s="21" t="s">
        <v>1877</v>
      </c>
      <c r="E13" s="23" t="s">
        <v>15</v>
      </c>
      <c r="F13" s="21" t="s">
        <v>1878</v>
      </c>
      <c r="G13" s="21" t="s">
        <v>1879</v>
      </c>
      <c r="H13" s="21" t="s">
        <v>1880</v>
      </c>
      <c r="I13" s="21" t="s">
        <v>55</v>
      </c>
      <c r="J13" s="26" t="s">
        <v>41</v>
      </c>
      <c r="K13" s="21"/>
      <c r="L13" s="54"/>
      <c r="M13" s="26" t="s">
        <v>59</v>
      </c>
    </row>
    <row r="14" ht="46.5" customHeight="1">
      <c r="A14" s="27" t="s">
        <v>1881</v>
      </c>
      <c r="B14" s="19" t="s">
        <v>42</v>
      </c>
      <c r="C14" s="28" t="s">
        <v>1882</v>
      </c>
      <c r="D14" s="28" t="s">
        <v>1883</v>
      </c>
      <c r="E14" s="23" t="s">
        <v>15</v>
      </c>
      <c r="F14" s="28" t="s">
        <v>1884</v>
      </c>
      <c r="G14" s="28" t="s">
        <v>1885</v>
      </c>
      <c r="H14" s="28" t="s">
        <v>1886</v>
      </c>
      <c r="I14" s="28" t="s">
        <v>55</v>
      </c>
      <c r="J14" s="26" t="s">
        <v>41</v>
      </c>
      <c r="K14" s="28"/>
      <c r="L14" s="55"/>
      <c r="M14" s="26" t="s">
        <v>59</v>
      </c>
    </row>
    <row r="15" ht="46.5" customHeight="1">
      <c r="A15" s="18" t="s">
        <v>1887</v>
      </c>
      <c r="B15" s="19" t="s">
        <v>505</v>
      </c>
      <c r="C15" s="21" t="s">
        <v>1888</v>
      </c>
      <c r="D15" s="21" t="s">
        <v>1889</v>
      </c>
      <c r="E15" s="23" t="s">
        <v>15</v>
      </c>
      <c r="F15" s="21" t="s">
        <v>1890</v>
      </c>
      <c r="G15" s="21" t="s">
        <v>1885</v>
      </c>
      <c r="H15" s="21" t="s">
        <v>1891</v>
      </c>
      <c r="I15" s="25" t="s">
        <v>56</v>
      </c>
      <c r="J15" s="26" t="s">
        <v>41</v>
      </c>
      <c r="K15" s="21"/>
      <c r="L15" s="54" t="s">
        <v>1403</v>
      </c>
      <c r="M15" s="26" t="s">
        <v>59</v>
      </c>
    </row>
    <row r="16" ht="33.75" customHeight="1">
      <c r="A16" s="27" t="s">
        <v>1894</v>
      </c>
      <c r="B16" s="19" t="s">
        <v>42</v>
      </c>
      <c r="C16" s="28" t="s">
        <v>1895</v>
      </c>
      <c r="D16" s="28" t="s">
        <v>1896</v>
      </c>
      <c r="E16" s="23" t="s">
        <v>15</v>
      </c>
      <c r="F16" s="28" t="s">
        <v>1897</v>
      </c>
      <c r="G16" s="28" t="s">
        <v>1898</v>
      </c>
      <c r="H16" s="28" t="s">
        <v>1899</v>
      </c>
      <c r="I16" s="28" t="s">
        <v>55</v>
      </c>
      <c r="J16" s="26" t="s">
        <v>41</v>
      </c>
      <c r="K16" s="28"/>
      <c r="L16" s="55"/>
      <c r="M16" s="26" t="s">
        <v>59</v>
      </c>
    </row>
    <row r="17" ht="18.0" customHeight="1">
      <c r="A17" s="16" t="s">
        <v>1900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5"/>
    </row>
    <row r="18" ht="46.5" customHeight="1">
      <c r="A18" s="18" t="s">
        <v>1901</v>
      </c>
      <c r="B18" s="19" t="s">
        <v>42</v>
      </c>
      <c r="C18" s="21" t="s">
        <v>1902</v>
      </c>
      <c r="D18" s="21" t="s">
        <v>1903</v>
      </c>
      <c r="E18" s="23" t="s">
        <v>15</v>
      </c>
      <c r="F18" s="21" t="s">
        <v>1904</v>
      </c>
      <c r="G18" s="21" t="s">
        <v>1905</v>
      </c>
      <c r="H18" s="21" t="s">
        <v>1906</v>
      </c>
      <c r="I18" s="21" t="s">
        <v>55</v>
      </c>
      <c r="J18" s="26" t="s">
        <v>41</v>
      </c>
      <c r="K18" s="21"/>
      <c r="L18" s="54"/>
      <c r="M18" s="26" t="s">
        <v>59</v>
      </c>
    </row>
    <row r="19" ht="46.5" customHeight="1">
      <c r="A19" s="27" t="s">
        <v>1908</v>
      </c>
      <c r="B19" s="19" t="s">
        <v>280</v>
      </c>
      <c r="C19" s="28" t="s">
        <v>1909</v>
      </c>
      <c r="D19" s="28" t="s">
        <v>986</v>
      </c>
      <c r="E19" s="23" t="s">
        <v>15</v>
      </c>
      <c r="F19" s="28" t="s">
        <v>1910</v>
      </c>
      <c r="G19" s="28" t="s">
        <v>1905</v>
      </c>
      <c r="H19" s="28" t="s">
        <v>1911</v>
      </c>
      <c r="I19" s="41" t="s">
        <v>56</v>
      </c>
      <c r="J19" s="26" t="s">
        <v>41</v>
      </c>
      <c r="K19" s="28"/>
      <c r="L19" s="55" t="s">
        <v>1403</v>
      </c>
      <c r="M19" s="26" t="s">
        <v>59</v>
      </c>
    </row>
    <row r="20" ht="46.5" customHeight="1">
      <c r="A20" s="18" t="s">
        <v>1912</v>
      </c>
      <c r="B20" s="19" t="s">
        <v>1475</v>
      </c>
      <c r="C20" s="21" t="s">
        <v>1914</v>
      </c>
      <c r="D20" s="21" t="s">
        <v>1477</v>
      </c>
      <c r="E20" s="23" t="s">
        <v>15</v>
      </c>
      <c r="F20" s="21" t="s">
        <v>1916</v>
      </c>
      <c r="G20" s="21" t="s">
        <v>1917</v>
      </c>
      <c r="H20" s="21" t="s">
        <v>1919</v>
      </c>
      <c r="I20" s="25" t="s">
        <v>56</v>
      </c>
      <c r="J20" s="26" t="s">
        <v>41</v>
      </c>
      <c r="K20" s="21"/>
      <c r="L20" s="54"/>
      <c r="M20" s="26" t="s">
        <v>59</v>
      </c>
    </row>
    <row r="21" ht="15.0" customHeight="1">
      <c r="A21" s="52" t="s">
        <v>203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</row>
    <row r="22" ht="53.25" customHeight="1">
      <c r="A22" s="26" t="s">
        <v>207</v>
      </c>
      <c r="B22" s="26" t="s">
        <v>209</v>
      </c>
      <c r="C22" s="26" t="s">
        <v>211</v>
      </c>
      <c r="D22" s="26" t="s">
        <v>212</v>
      </c>
      <c r="E22" s="26" t="s">
        <v>25</v>
      </c>
      <c r="F22" s="26" t="s">
        <v>215</v>
      </c>
      <c r="G22" s="26" t="s">
        <v>217</v>
      </c>
      <c r="H22" s="26" t="s">
        <v>218</v>
      </c>
      <c r="I22" s="26" t="s">
        <v>55</v>
      </c>
      <c r="J22" s="26" t="s">
        <v>54</v>
      </c>
      <c r="K22" s="26"/>
      <c r="L22" s="26"/>
    </row>
    <row r="23" ht="15.75" customHeight="1"/>
    <row r="24" ht="15.0" customHeight="1">
      <c r="A24" s="16" t="s">
        <v>1929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5"/>
    </row>
    <row r="25" ht="60.0" customHeight="1">
      <c r="A25" s="18" t="s">
        <v>1934</v>
      </c>
      <c r="B25" s="19" t="s">
        <v>296</v>
      </c>
      <c r="C25" s="21" t="s">
        <v>1936</v>
      </c>
      <c r="D25" s="21" t="s">
        <v>695</v>
      </c>
      <c r="E25" s="23" t="s">
        <v>15</v>
      </c>
      <c r="F25" s="21" t="s">
        <v>1937</v>
      </c>
      <c r="G25" s="21" t="s">
        <v>1938</v>
      </c>
      <c r="H25" s="21" t="s">
        <v>1939</v>
      </c>
      <c r="I25" s="21" t="s">
        <v>55</v>
      </c>
      <c r="J25" s="26" t="s">
        <v>41</v>
      </c>
      <c r="K25" s="21"/>
      <c r="L25" s="54" t="s">
        <v>1403</v>
      </c>
      <c r="M25" s="26" t="s">
        <v>59</v>
      </c>
    </row>
    <row r="26" ht="33.75" customHeight="1">
      <c r="A26" s="27" t="s">
        <v>1946</v>
      </c>
      <c r="B26" s="19" t="s">
        <v>42</v>
      </c>
      <c r="C26" s="28" t="s">
        <v>1948</v>
      </c>
      <c r="D26" s="28" t="s">
        <v>1015</v>
      </c>
      <c r="E26" s="23" t="s">
        <v>15</v>
      </c>
      <c r="F26" s="28" t="s">
        <v>1950</v>
      </c>
      <c r="G26" s="28" t="s">
        <v>1951</v>
      </c>
      <c r="H26" s="28" t="s">
        <v>1954</v>
      </c>
      <c r="I26" s="28" t="s">
        <v>55</v>
      </c>
      <c r="J26" s="26" t="s">
        <v>41</v>
      </c>
      <c r="K26" s="28"/>
      <c r="L26" s="55" t="s">
        <v>1403</v>
      </c>
      <c r="M26" s="26" t="s">
        <v>59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L1"/>
    <mergeCell ref="A2:L2"/>
    <mergeCell ref="A5:L5"/>
    <mergeCell ref="A12:L12"/>
    <mergeCell ref="A17:L17"/>
    <mergeCell ref="A21:L21"/>
    <mergeCell ref="A24:L24"/>
  </mergeCells>
  <dataValidations>
    <dataValidation type="list" allowBlank="1" sqref="E6:E11 E13:E16 E18:E20 E22 E25:E26">
      <formula1>"P1,P2,P3"</formula1>
    </dataValidation>
    <dataValidation type="list" allowBlank="1" sqref="J6:J11 J13:J16 J18:J20 J22 J25:J26">
      <formula1>"Not Run,Pass,Fail,Blocked,Skip,N/A"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30.0"/>
    <col customWidth="1" min="4" max="4" width="26.0"/>
    <col customWidth="1" min="5" max="5" width="9.0"/>
    <col customWidth="1" min="6" max="6" width="36.0"/>
    <col customWidth="1" min="7" max="7" width="32.0"/>
    <col customWidth="1" min="8" max="8" width="48.0"/>
    <col customWidth="1" min="9" max="9" width="11.0"/>
    <col customWidth="1" min="10" max="11" width="10.0"/>
    <col customWidth="1" min="12" max="12" width="40.0"/>
    <col customWidth="1" min="13" max="13" width="55.0"/>
  </cols>
  <sheetData>
    <row r="1" ht="24.0" customHeight="1">
      <c r="A1" s="1" t="s">
        <v>1907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15.0" customHeight="1">
      <c r="A2" s="10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4" ht="25.5" customHeight="1">
      <c r="A4" s="12" t="s">
        <v>10</v>
      </c>
      <c r="B4" s="12" t="s">
        <v>12</v>
      </c>
      <c r="C4" s="12" t="s">
        <v>14</v>
      </c>
      <c r="D4" s="12" t="s">
        <v>16</v>
      </c>
      <c r="E4" s="12" t="s">
        <v>17</v>
      </c>
      <c r="F4" s="12" t="s">
        <v>19</v>
      </c>
      <c r="G4" s="12" t="s">
        <v>20</v>
      </c>
      <c r="H4" s="12" t="s">
        <v>21</v>
      </c>
      <c r="I4" s="12" t="s">
        <v>23</v>
      </c>
      <c r="J4" s="12" t="s">
        <v>24</v>
      </c>
      <c r="K4" s="12" t="s">
        <v>26</v>
      </c>
      <c r="L4" s="12" t="s">
        <v>27</v>
      </c>
      <c r="M4" s="12" t="s">
        <v>29</v>
      </c>
    </row>
    <row r="5" ht="18.0" customHeight="1">
      <c r="A5" s="16" t="s">
        <v>1913</v>
      </c>
      <c r="B5" s="4"/>
      <c r="C5" s="4"/>
      <c r="D5" s="4"/>
      <c r="E5" s="4"/>
      <c r="F5" s="4"/>
      <c r="G5" s="4"/>
      <c r="H5" s="4"/>
      <c r="I5" s="4"/>
      <c r="J5" s="4"/>
      <c r="K5" s="4"/>
      <c r="L5" s="5"/>
    </row>
    <row r="6" ht="30.0" customHeight="1">
      <c r="A6" s="18" t="s">
        <v>1915</v>
      </c>
      <c r="B6" s="19" t="s">
        <v>87</v>
      </c>
      <c r="C6" s="21" t="s">
        <v>1918</v>
      </c>
      <c r="D6" s="21" t="s">
        <v>370</v>
      </c>
      <c r="E6" s="23" t="s">
        <v>15</v>
      </c>
      <c r="F6" s="21" t="s">
        <v>1920</v>
      </c>
      <c r="G6" s="21" t="s">
        <v>1921</v>
      </c>
      <c r="H6" s="21" t="s">
        <v>1922</v>
      </c>
      <c r="I6" s="21" t="s">
        <v>55</v>
      </c>
      <c r="J6" s="26" t="s">
        <v>41</v>
      </c>
      <c r="K6" s="21"/>
      <c r="L6" s="54"/>
      <c r="M6" s="26" t="s">
        <v>59</v>
      </c>
    </row>
    <row r="7" ht="30.0" customHeight="1">
      <c r="A7" s="27" t="s">
        <v>1923</v>
      </c>
      <c r="B7" s="19" t="s">
        <v>296</v>
      </c>
      <c r="C7" s="28" t="s">
        <v>1924</v>
      </c>
      <c r="D7" s="28" t="s">
        <v>370</v>
      </c>
      <c r="E7" s="23" t="s">
        <v>15</v>
      </c>
      <c r="F7" s="28" t="s">
        <v>1925</v>
      </c>
      <c r="G7" s="28" t="s">
        <v>1926</v>
      </c>
      <c r="H7" s="28" t="s">
        <v>1927</v>
      </c>
      <c r="I7" s="28" t="s">
        <v>55</v>
      </c>
      <c r="J7" s="26" t="s">
        <v>41</v>
      </c>
      <c r="K7" s="28"/>
      <c r="L7" s="55"/>
      <c r="M7" s="26" t="s">
        <v>59</v>
      </c>
    </row>
    <row r="8" ht="30.0" customHeight="1">
      <c r="A8" s="18" t="s">
        <v>1928</v>
      </c>
      <c r="B8" s="19" t="s">
        <v>87</v>
      </c>
      <c r="C8" s="21" t="s">
        <v>1930</v>
      </c>
      <c r="D8" s="21" t="s">
        <v>1931</v>
      </c>
      <c r="E8" s="23" t="s">
        <v>15</v>
      </c>
      <c r="F8" s="21" t="s">
        <v>1932</v>
      </c>
      <c r="G8" s="21" t="s">
        <v>1933</v>
      </c>
      <c r="H8" s="21" t="s">
        <v>1935</v>
      </c>
      <c r="I8" s="21" t="s">
        <v>55</v>
      </c>
      <c r="J8" s="26" t="s">
        <v>41</v>
      </c>
      <c r="K8" s="21"/>
      <c r="L8" s="54"/>
      <c r="M8" s="26" t="s">
        <v>59</v>
      </c>
    </row>
    <row r="9" ht="30.0" customHeight="1">
      <c r="A9" s="27" t="s">
        <v>1940</v>
      </c>
      <c r="B9" s="19" t="s">
        <v>296</v>
      </c>
      <c r="C9" s="28" t="s">
        <v>1942</v>
      </c>
      <c r="D9" s="28" t="s">
        <v>1943</v>
      </c>
      <c r="E9" s="23" t="s">
        <v>15</v>
      </c>
      <c r="F9" s="28" t="s">
        <v>1944</v>
      </c>
      <c r="G9" s="28" t="s">
        <v>1945</v>
      </c>
      <c r="H9" s="28" t="s">
        <v>1947</v>
      </c>
      <c r="I9" s="28" t="s">
        <v>55</v>
      </c>
      <c r="J9" s="26" t="s">
        <v>41</v>
      </c>
      <c r="K9" s="28"/>
      <c r="L9" s="55"/>
      <c r="M9" s="26" t="s">
        <v>59</v>
      </c>
    </row>
    <row r="10" ht="30.0" customHeight="1">
      <c r="A10" s="18" t="s">
        <v>1949</v>
      </c>
      <c r="B10" s="19" t="s">
        <v>280</v>
      </c>
      <c r="C10" s="21" t="s">
        <v>1952</v>
      </c>
      <c r="D10" s="21" t="s">
        <v>1953</v>
      </c>
      <c r="E10" s="32" t="s">
        <v>25</v>
      </c>
      <c r="F10" s="21" t="s">
        <v>1955</v>
      </c>
      <c r="G10" s="21" t="s">
        <v>1956</v>
      </c>
      <c r="H10" s="21" t="s">
        <v>1957</v>
      </c>
      <c r="I10" s="21" t="s">
        <v>55</v>
      </c>
      <c r="J10" s="26" t="s">
        <v>41</v>
      </c>
      <c r="K10" s="21"/>
      <c r="L10" s="54"/>
      <c r="M10" s="26" t="s">
        <v>59</v>
      </c>
    </row>
    <row r="11" ht="30.0" customHeight="1">
      <c r="A11" s="27" t="s">
        <v>1958</v>
      </c>
      <c r="B11" s="19" t="s">
        <v>42</v>
      </c>
      <c r="C11" s="28" t="s">
        <v>1959</v>
      </c>
      <c r="D11" s="28" t="s">
        <v>1960</v>
      </c>
      <c r="E11" s="23" t="s">
        <v>15</v>
      </c>
      <c r="F11" s="28" t="s">
        <v>1961</v>
      </c>
      <c r="G11" s="28" t="s">
        <v>1962</v>
      </c>
      <c r="H11" s="28" t="s">
        <v>1963</v>
      </c>
      <c r="I11" s="28" t="s">
        <v>55</v>
      </c>
      <c r="J11" s="26" t="s">
        <v>41</v>
      </c>
      <c r="K11" s="28"/>
      <c r="L11" s="55"/>
      <c r="M11" s="26" t="s">
        <v>59</v>
      </c>
    </row>
    <row r="12" ht="18.0" customHeight="1">
      <c r="A12" s="16" t="s">
        <v>1964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5"/>
    </row>
    <row r="13" ht="30.0" customHeight="1">
      <c r="A13" s="18" t="s">
        <v>1965</v>
      </c>
      <c r="B13" s="19" t="s">
        <v>38</v>
      </c>
      <c r="C13" s="21" t="s">
        <v>1966</v>
      </c>
      <c r="D13" s="21" t="s">
        <v>1967</v>
      </c>
      <c r="E13" s="23" t="s">
        <v>15</v>
      </c>
      <c r="F13" s="21" t="s">
        <v>1968</v>
      </c>
      <c r="G13" s="21" t="s">
        <v>1969</v>
      </c>
      <c r="H13" s="21" t="s">
        <v>1970</v>
      </c>
      <c r="I13" s="25" t="s">
        <v>56</v>
      </c>
      <c r="J13" s="26" t="s">
        <v>41</v>
      </c>
      <c r="K13" s="21"/>
      <c r="L13" s="54"/>
      <c r="M13" s="26" t="s">
        <v>1971</v>
      </c>
    </row>
    <row r="14" ht="30.0" customHeight="1">
      <c r="A14" s="27" t="s">
        <v>1972</v>
      </c>
      <c r="B14" s="19" t="s">
        <v>38</v>
      </c>
      <c r="C14" s="28" t="s">
        <v>1973</v>
      </c>
      <c r="D14" s="28" t="s">
        <v>1974</v>
      </c>
      <c r="E14" s="30" t="s">
        <v>25</v>
      </c>
      <c r="F14" s="28" t="s">
        <v>1975</v>
      </c>
      <c r="G14" s="28" t="s">
        <v>1976</v>
      </c>
      <c r="H14" s="28" t="s">
        <v>1977</v>
      </c>
      <c r="I14" s="41" t="s">
        <v>56</v>
      </c>
      <c r="J14" s="26" t="s">
        <v>41</v>
      </c>
      <c r="K14" s="28"/>
      <c r="L14" s="55"/>
      <c r="M14" s="26" t="s">
        <v>59</v>
      </c>
    </row>
    <row r="15" ht="30.0" customHeight="1">
      <c r="A15" s="18" t="s">
        <v>1978</v>
      </c>
      <c r="B15" s="19" t="s">
        <v>42</v>
      </c>
      <c r="C15" s="21" t="s">
        <v>1979</v>
      </c>
      <c r="D15" s="21" t="s">
        <v>1980</v>
      </c>
      <c r="E15" s="23" t="s">
        <v>15</v>
      </c>
      <c r="F15" s="21" t="s">
        <v>1981</v>
      </c>
      <c r="G15" s="21" t="s">
        <v>1982</v>
      </c>
      <c r="H15" s="21" t="s">
        <v>1983</v>
      </c>
      <c r="I15" s="21" t="s">
        <v>55</v>
      </c>
      <c r="J15" s="26" t="s">
        <v>41</v>
      </c>
      <c r="K15" s="21"/>
      <c r="L15" s="54"/>
      <c r="M15" s="26" t="s">
        <v>59</v>
      </c>
    </row>
    <row r="16" ht="15.0" customHeight="1">
      <c r="A16" s="52" t="s">
        <v>203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5"/>
    </row>
    <row r="17" ht="53.25" customHeight="1">
      <c r="A17" s="26" t="s">
        <v>207</v>
      </c>
      <c r="B17" s="26" t="s">
        <v>209</v>
      </c>
      <c r="C17" s="26" t="s">
        <v>211</v>
      </c>
      <c r="D17" s="26" t="s">
        <v>212</v>
      </c>
      <c r="E17" s="26" t="s">
        <v>25</v>
      </c>
      <c r="F17" s="26" t="s">
        <v>215</v>
      </c>
      <c r="G17" s="26" t="s">
        <v>217</v>
      </c>
      <c r="H17" s="26" t="s">
        <v>218</v>
      </c>
      <c r="I17" s="26" t="s">
        <v>55</v>
      </c>
      <c r="J17" s="26" t="s">
        <v>54</v>
      </c>
      <c r="K17" s="26"/>
      <c r="L17" s="2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L1"/>
    <mergeCell ref="A2:L2"/>
    <mergeCell ref="A5:L5"/>
    <mergeCell ref="A12:L12"/>
    <mergeCell ref="A16:L16"/>
  </mergeCells>
  <dataValidations>
    <dataValidation type="list" allowBlank="1" sqref="E6:E11 E13:E15 E17">
      <formula1>"P1,P2,P3"</formula1>
    </dataValidation>
    <dataValidation type="list" allowBlank="1" sqref="J6:J11 J13:J15 J17">
      <formula1>"Not Run,Pass,Fail,Blocked,Skip,N/A"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30.0"/>
    <col customWidth="1" min="4" max="4" width="26.0"/>
    <col customWidth="1" min="5" max="5" width="9.0"/>
    <col customWidth="1" min="6" max="6" width="36.0"/>
    <col customWidth="1" min="7" max="7" width="32.0"/>
    <col customWidth="1" min="8" max="8" width="48.0"/>
    <col customWidth="1" min="9" max="9" width="11.0"/>
    <col customWidth="1" min="10" max="11" width="10.0"/>
    <col customWidth="1" min="12" max="12" width="40.0"/>
    <col customWidth="1" min="13" max="13" width="55.0"/>
  </cols>
  <sheetData>
    <row r="1" ht="24.0" customHeight="1">
      <c r="A1" s="1" t="s">
        <v>1986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15.0" customHeight="1">
      <c r="A2" s="10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4" ht="25.5" customHeight="1">
      <c r="A4" s="12" t="s">
        <v>10</v>
      </c>
      <c r="B4" s="12" t="s">
        <v>12</v>
      </c>
      <c r="C4" s="12" t="s">
        <v>14</v>
      </c>
      <c r="D4" s="12" t="s">
        <v>16</v>
      </c>
      <c r="E4" s="12" t="s">
        <v>17</v>
      </c>
      <c r="F4" s="12" t="s">
        <v>19</v>
      </c>
      <c r="G4" s="12" t="s">
        <v>20</v>
      </c>
      <c r="H4" s="12" t="s">
        <v>21</v>
      </c>
      <c r="I4" s="12" t="s">
        <v>23</v>
      </c>
      <c r="J4" s="12" t="s">
        <v>24</v>
      </c>
      <c r="K4" s="12" t="s">
        <v>26</v>
      </c>
      <c r="L4" s="12" t="s">
        <v>27</v>
      </c>
      <c r="M4" s="12" t="s">
        <v>29</v>
      </c>
    </row>
    <row r="5" ht="18.0" customHeight="1">
      <c r="A5" s="16" t="s">
        <v>1989</v>
      </c>
      <c r="B5" s="4"/>
      <c r="C5" s="4"/>
      <c r="D5" s="4"/>
      <c r="E5" s="4"/>
      <c r="F5" s="4"/>
      <c r="G5" s="4"/>
      <c r="H5" s="4"/>
      <c r="I5" s="4"/>
      <c r="J5" s="4"/>
      <c r="K5" s="4"/>
      <c r="L5" s="5"/>
    </row>
    <row r="6" ht="46.5" customHeight="1">
      <c r="A6" s="18" t="s">
        <v>1990</v>
      </c>
      <c r="B6" s="19" t="s">
        <v>312</v>
      </c>
      <c r="C6" s="21" t="s">
        <v>1991</v>
      </c>
      <c r="D6" s="21" t="s">
        <v>1992</v>
      </c>
      <c r="E6" s="23" t="s">
        <v>15</v>
      </c>
      <c r="F6" s="21" t="s">
        <v>1993</v>
      </c>
      <c r="G6" s="21" t="s">
        <v>1994</v>
      </c>
      <c r="H6" s="21" t="s">
        <v>1995</v>
      </c>
      <c r="I6" s="21" t="s">
        <v>55</v>
      </c>
      <c r="J6" s="26" t="s">
        <v>41</v>
      </c>
      <c r="K6" s="21"/>
      <c r="L6" s="54"/>
      <c r="M6" s="26" t="s">
        <v>59</v>
      </c>
    </row>
    <row r="7" ht="46.5" customHeight="1">
      <c r="A7" s="27" t="s">
        <v>1996</v>
      </c>
      <c r="B7" s="19" t="s">
        <v>38</v>
      </c>
      <c r="C7" s="28" t="s">
        <v>1997</v>
      </c>
      <c r="D7" s="28" t="s">
        <v>1371</v>
      </c>
      <c r="E7" s="30" t="s">
        <v>25</v>
      </c>
      <c r="F7" s="28" t="s">
        <v>1998</v>
      </c>
      <c r="G7" s="28" t="s">
        <v>1999</v>
      </c>
      <c r="H7" s="28" t="s">
        <v>2000</v>
      </c>
      <c r="I7" s="41" t="s">
        <v>56</v>
      </c>
      <c r="J7" s="26" t="s">
        <v>41</v>
      </c>
      <c r="K7" s="28"/>
      <c r="L7" s="55"/>
      <c r="M7" s="26" t="s">
        <v>59</v>
      </c>
    </row>
    <row r="8" ht="18.0" customHeight="1">
      <c r="A8" s="16" t="s">
        <v>2001</v>
      </c>
      <c r="B8" s="4"/>
      <c r="C8" s="4"/>
      <c r="D8" s="4"/>
      <c r="E8" s="4"/>
      <c r="F8" s="4"/>
      <c r="G8" s="4"/>
      <c r="H8" s="4"/>
      <c r="I8" s="4"/>
      <c r="J8" s="4"/>
      <c r="K8" s="4"/>
      <c r="L8" s="5"/>
    </row>
    <row r="9" ht="46.5" customHeight="1">
      <c r="A9" s="18" t="s">
        <v>2002</v>
      </c>
      <c r="B9" s="19" t="s">
        <v>42</v>
      </c>
      <c r="C9" s="21" t="s">
        <v>2003</v>
      </c>
      <c r="D9" s="21" t="s">
        <v>2004</v>
      </c>
      <c r="E9" s="23" t="s">
        <v>15</v>
      </c>
      <c r="F9" s="21" t="s">
        <v>2005</v>
      </c>
      <c r="G9" s="21" t="s">
        <v>2006</v>
      </c>
      <c r="H9" s="21" t="s">
        <v>2007</v>
      </c>
      <c r="I9" s="21" t="s">
        <v>55</v>
      </c>
      <c r="J9" s="26" t="s">
        <v>41</v>
      </c>
      <c r="K9" s="21"/>
      <c r="L9" s="54"/>
      <c r="M9" s="26" t="s">
        <v>59</v>
      </c>
    </row>
    <row r="10" ht="33.75" customHeight="1">
      <c r="A10" s="27" t="s">
        <v>2008</v>
      </c>
      <c r="B10" s="19" t="s">
        <v>38</v>
      </c>
      <c r="C10" s="28" t="s">
        <v>2009</v>
      </c>
      <c r="D10" s="28" t="s">
        <v>2010</v>
      </c>
      <c r="E10" s="23" t="s">
        <v>15</v>
      </c>
      <c r="F10" s="28" t="s">
        <v>2011</v>
      </c>
      <c r="G10" s="28" t="s">
        <v>2012</v>
      </c>
      <c r="H10" s="28" t="s">
        <v>2013</v>
      </c>
      <c r="I10" s="41" t="s">
        <v>56</v>
      </c>
      <c r="J10" s="26" t="s">
        <v>41</v>
      </c>
      <c r="K10" s="28"/>
      <c r="L10" s="55"/>
      <c r="M10" s="26" t="s">
        <v>2014</v>
      </c>
    </row>
    <row r="11" ht="33.75" customHeight="1">
      <c r="A11" s="18" t="s">
        <v>2015</v>
      </c>
      <c r="B11" s="19" t="s">
        <v>38</v>
      </c>
      <c r="C11" s="21" t="s">
        <v>2016</v>
      </c>
      <c r="D11" s="21" t="s">
        <v>2017</v>
      </c>
      <c r="E11" s="23" t="s">
        <v>15</v>
      </c>
      <c r="F11" s="21" t="s">
        <v>2018</v>
      </c>
      <c r="G11" s="21" t="s">
        <v>2019</v>
      </c>
      <c r="H11" s="21" t="s">
        <v>2020</v>
      </c>
      <c r="I11" s="25" t="s">
        <v>56</v>
      </c>
      <c r="J11" s="26" t="s">
        <v>41</v>
      </c>
      <c r="K11" s="21"/>
      <c r="L11" s="54"/>
      <c r="M11" s="26" t="s">
        <v>59</v>
      </c>
    </row>
    <row r="12" ht="33.75" customHeight="1">
      <c r="A12" s="27" t="s">
        <v>2021</v>
      </c>
      <c r="B12" s="19" t="s">
        <v>42</v>
      </c>
      <c r="C12" s="28" t="s">
        <v>2022</v>
      </c>
      <c r="D12" s="28" t="s">
        <v>2023</v>
      </c>
      <c r="E12" s="30" t="s">
        <v>25</v>
      </c>
      <c r="F12" s="28" t="s">
        <v>2024</v>
      </c>
      <c r="G12" s="28" t="s">
        <v>2026</v>
      </c>
      <c r="H12" s="28" t="s">
        <v>2027</v>
      </c>
      <c r="I12" s="28" t="s">
        <v>55</v>
      </c>
      <c r="J12" s="26" t="s">
        <v>41</v>
      </c>
      <c r="K12" s="28"/>
      <c r="L12" s="55"/>
      <c r="M12" s="26" t="s">
        <v>59</v>
      </c>
    </row>
    <row r="13" ht="15.0" customHeight="1">
      <c r="A13" s="52" t="s">
        <v>203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</row>
    <row r="14" ht="53.25" customHeight="1">
      <c r="A14" s="26" t="s">
        <v>207</v>
      </c>
      <c r="B14" s="26" t="s">
        <v>209</v>
      </c>
      <c r="C14" s="26" t="s">
        <v>211</v>
      </c>
      <c r="D14" s="26" t="s">
        <v>212</v>
      </c>
      <c r="E14" s="26" t="s">
        <v>25</v>
      </c>
      <c r="F14" s="26" t="s">
        <v>215</v>
      </c>
      <c r="G14" s="26" t="s">
        <v>217</v>
      </c>
      <c r="H14" s="26" t="s">
        <v>218</v>
      </c>
      <c r="I14" s="26" t="s">
        <v>55</v>
      </c>
      <c r="J14" s="26" t="s">
        <v>54</v>
      </c>
      <c r="K14" s="26"/>
      <c r="L14" s="2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L1"/>
    <mergeCell ref="A2:L2"/>
    <mergeCell ref="A5:L5"/>
    <mergeCell ref="A8:L8"/>
    <mergeCell ref="A13:L13"/>
  </mergeCells>
  <dataValidations>
    <dataValidation type="list" allowBlank="1" sqref="E6:E7 E9:E12 E14">
      <formula1>"P1,P2,P3"</formula1>
    </dataValidation>
    <dataValidation type="list" allowBlank="1" sqref="J6:J7 J9:J12 J14">
      <formula1>"Not Run,Pass,Fail,Blocked,Skip,N/A"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30.0"/>
    <col customWidth="1" min="4" max="4" width="26.0"/>
    <col customWidth="1" min="5" max="5" width="9.0"/>
    <col customWidth="1" min="6" max="6" width="36.0"/>
    <col customWidth="1" min="7" max="7" width="32.0"/>
    <col customWidth="1" min="8" max="8" width="48.0"/>
    <col customWidth="1" min="9" max="9" width="11.0"/>
    <col customWidth="1" min="10" max="11" width="10.0"/>
    <col customWidth="1" min="12" max="12" width="40.0"/>
    <col customWidth="1" min="13" max="13" width="55.0"/>
  </cols>
  <sheetData>
    <row r="1" ht="24.0" customHeight="1">
      <c r="A1" s="1" t="s">
        <v>2025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15.0" customHeight="1">
      <c r="A2" s="10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4" ht="25.5" customHeight="1">
      <c r="A4" s="12" t="s">
        <v>10</v>
      </c>
      <c r="B4" s="12" t="s">
        <v>12</v>
      </c>
      <c r="C4" s="12" t="s">
        <v>14</v>
      </c>
      <c r="D4" s="12" t="s">
        <v>16</v>
      </c>
      <c r="E4" s="12" t="s">
        <v>17</v>
      </c>
      <c r="F4" s="12" t="s">
        <v>19</v>
      </c>
      <c r="G4" s="12" t="s">
        <v>20</v>
      </c>
      <c r="H4" s="12" t="s">
        <v>21</v>
      </c>
      <c r="I4" s="12" t="s">
        <v>23</v>
      </c>
      <c r="J4" s="12" t="s">
        <v>24</v>
      </c>
      <c r="K4" s="12" t="s">
        <v>26</v>
      </c>
      <c r="L4" s="12" t="s">
        <v>27</v>
      </c>
      <c r="M4" s="12" t="s">
        <v>29</v>
      </c>
    </row>
    <row r="5" ht="18.0" customHeight="1">
      <c r="A5" s="16" t="s">
        <v>2028</v>
      </c>
      <c r="B5" s="4"/>
      <c r="C5" s="4"/>
      <c r="D5" s="4"/>
      <c r="E5" s="4"/>
      <c r="F5" s="4"/>
      <c r="G5" s="4"/>
      <c r="H5" s="4"/>
      <c r="I5" s="4"/>
      <c r="J5" s="4"/>
      <c r="K5" s="4"/>
      <c r="L5" s="5"/>
    </row>
    <row r="6" ht="46.5" customHeight="1">
      <c r="A6" s="18" t="s">
        <v>2031</v>
      </c>
      <c r="B6" s="19" t="s">
        <v>42</v>
      </c>
      <c r="C6" s="21" t="s">
        <v>2032</v>
      </c>
      <c r="D6" s="21" t="s">
        <v>2033</v>
      </c>
      <c r="E6" s="23" t="s">
        <v>15</v>
      </c>
      <c r="F6" s="21" t="s">
        <v>2034</v>
      </c>
      <c r="G6" s="21" t="s">
        <v>2035</v>
      </c>
      <c r="H6" s="21" t="s">
        <v>2036</v>
      </c>
      <c r="I6" s="21" t="s">
        <v>55</v>
      </c>
      <c r="J6" s="26" t="s">
        <v>41</v>
      </c>
      <c r="K6" s="21"/>
      <c r="L6" s="54"/>
      <c r="M6" s="26" t="s">
        <v>59</v>
      </c>
    </row>
    <row r="7" ht="33.75" customHeight="1">
      <c r="A7" s="27" t="s">
        <v>2039</v>
      </c>
      <c r="B7" s="19" t="s">
        <v>38</v>
      </c>
      <c r="C7" s="28" t="s">
        <v>2041</v>
      </c>
      <c r="D7" s="28" t="s">
        <v>2044</v>
      </c>
      <c r="E7" s="23" t="s">
        <v>15</v>
      </c>
      <c r="F7" s="28" t="s">
        <v>2045</v>
      </c>
      <c r="G7" s="28" t="s">
        <v>2047</v>
      </c>
      <c r="H7" s="28" t="s">
        <v>2050</v>
      </c>
      <c r="I7" s="41" t="s">
        <v>56</v>
      </c>
      <c r="J7" s="26" t="s">
        <v>41</v>
      </c>
      <c r="K7" s="28"/>
      <c r="L7" s="55"/>
      <c r="M7" s="26" t="s">
        <v>59</v>
      </c>
    </row>
    <row r="8" ht="33.75" customHeight="1">
      <c r="A8" s="18" t="s">
        <v>2051</v>
      </c>
      <c r="B8" s="19" t="s">
        <v>42</v>
      </c>
      <c r="C8" s="21" t="s">
        <v>2052</v>
      </c>
      <c r="D8" s="21" t="s">
        <v>2017</v>
      </c>
      <c r="E8" s="23" t="s">
        <v>15</v>
      </c>
      <c r="F8" s="21" t="s">
        <v>2054</v>
      </c>
      <c r="G8" s="21" t="s">
        <v>2056</v>
      </c>
      <c r="H8" s="21" t="s">
        <v>2058</v>
      </c>
      <c r="I8" s="21" t="s">
        <v>55</v>
      </c>
      <c r="J8" s="26" t="s">
        <v>41</v>
      </c>
      <c r="K8" s="21"/>
      <c r="L8" s="54"/>
      <c r="M8" s="26" t="s">
        <v>59</v>
      </c>
    </row>
    <row r="9" ht="33.75" customHeight="1">
      <c r="A9" s="27" t="s">
        <v>2063</v>
      </c>
      <c r="B9" s="19" t="s">
        <v>38</v>
      </c>
      <c r="C9" s="28" t="s">
        <v>2065</v>
      </c>
      <c r="D9" s="28" t="s">
        <v>1038</v>
      </c>
      <c r="E9" s="23" t="s">
        <v>15</v>
      </c>
      <c r="F9" s="28" t="s">
        <v>2067</v>
      </c>
      <c r="G9" s="28" t="s">
        <v>2068</v>
      </c>
      <c r="H9" s="28" t="s">
        <v>2069</v>
      </c>
      <c r="I9" s="41" t="s">
        <v>56</v>
      </c>
      <c r="J9" s="26" t="s">
        <v>41</v>
      </c>
      <c r="K9" s="28"/>
      <c r="L9" s="55"/>
      <c r="M9" s="26" t="s">
        <v>59</v>
      </c>
    </row>
    <row r="10" ht="33.75" customHeight="1">
      <c r="A10" s="18" t="s">
        <v>2074</v>
      </c>
      <c r="B10" s="19" t="s">
        <v>38</v>
      </c>
      <c r="C10" s="21" t="s">
        <v>2076</v>
      </c>
      <c r="D10" s="21" t="s">
        <v>2077</v>
      </c>
      <c r="E10" s="23" t="s">
        <v>15</v>
      </c>
      <c r="F10" s="21" t="s">
        <v>2078</v>
      </c>
      <c r="G10" s="21" t="s">
        <v>2080</v>
      </c>
      <c r="H10" s="21" t="s">
        <v>2082</v>
      </c>
      <c r="I10" s="25" t="s">
        <v>56</v>
      </c>
      <c r="J10" s="26" t="s">
        <v>41</v>
      </c>
      <c r="K10" s="21"/>
      <c r="L10" s="54"/>
      <c r="M10" s="26" t="s">
        <v>2085</v>
      </c>
    </row>
    <row r="11" ht="18.0" customHeight="1">
      <c r="A11" s="16" t="s">
        <v>2086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</row>
    <row r="12" ht="33.75" customHeight="1">
      <c r="A12" s="18" t="s">
        <v>2090</v>
      </c>
      <c r="B12" s="19" t="s">
        <v>42</v>
      </c>
      <c r="C12" s="21" t="s">
        <v>2091</v>
      </c>
      <c r="D12" s="21" t="s">
        <v>160</v>
      </c>
      <c r="E12" s="23" t="s">
        <v>15</v>
      </c>
      <c r="F12" s="21" t="s">
        <v>2094</v>
      </c>
      <c r="G12" s="21" t="s">
        <v>2096</v>
      </c>
      <c r="H12" s="21" t="s">
        <v>2097</v>
      </c>
      <c r="I12" s="21" t="s">
        <v>55</v>
      </c>
      <c r="J12" s="26" t="s">
        <v>41</v>
      </c>
      <c r="K12" s="21"/>
      <c r="L12" s="54"/>
      <c r="M12" s="26" t="s">
        <v>59</v>
      </c>
    </row>
    <row r="13" ht="33.75" customHeight="1">
      <c r="A13" s="27" t="s">
        <v>2100</v>
      </c>
      <c r="B13" s="19" t="s">
        <v>38</v>
      </c>
      <c r="C13" s="28" t="s">
        <v>2103</v>
      </c>
      <c r="D13" s="28" t="s">
        <v>2104</v>
      </c>
      <c r="E13" s="23" t="s">
        <v>15</v>
      </c>
      <c r="F13" s="28" t="s">
        <v>2105</v>
      </c>
      <c r="G13" s="28" t="s">
        <v>2106</v>
      </c>
      <c r="H13" s="28" t="s">
        <v>2107</v>
      </c>
      <c r="I13" s="41" t="s">
        <v>56</v>
      </c>
      <c r="J13" s="26" t="s">
        <v>41</v>
      </c>
      <c r="K13" s="28"/>
      <c r="L13" s="55"/>
      <c r="M13" s="26" t="s">
        <v>2108</v>
      </c>
    </row>
    <row r="14" ht="33.75" customHeight="1">
      <c r="A14" s="18" t="s">
        <v>2109</v>
      </c>
      <c r="B14" s="19" t="s">
        <v>42</v>
      </c>
      <c r="C14" s="21" t="s">
        <v>2110</v>
      </c>
      <c r="D14" s="21" t="s">
        <v>1056</v>
      </c>
      <c r="E14" s="32" t="s">
        <v>32</v>
      </c>
      <c r="F14" s="21" t="s">
        <v>2111</v>
      </c>
      <c r="G14" s="21" t="s">
        <v>2112</v>
      </c>
      <c r="H14" s="21" t="s">
        <v>2113</v>
      </c>
      <c r="I14" s="21" t="s">
        <v>55</v>
      </c>
      <c r="J14" s="26" t="s">
        <v>41</v>
      </c>
      <c r="K14" s="21"/>
      <c r="L14" s="54"/>
      <c r="M14" s="26" t="s">
        <v>59</v>
      </c>
    </row>
    <row r="15" ht="33.75" customHeight="1">
      <c r="A15" s="27" t="s">
        <v>2115</v>
      </c>
      <c r="B15" s="19" t="s">
        <v>38</v>
      </c>
      <c r="C15" s="28" t="s">
        <v>2116</v>
      </c>
      <c r="D15" s="28" t="s">
        <v>2117</v>
      </c>
      <c r="E15" s="30" t="s">
        <v>32</v>
      </c>
      <c r="F15" s="28" t="s">
        <v>2118</v>
      </c>
      <c r="G15" s="28" t="s">
        <v>2119</v>
      </c>
      <c r="H15" s="28" t="s">
        <v>2120</v>
      </c>
      <c r="I15" s="41" t="s">
        <v>56</v>
      </c>
      <c r="J15" s="26" t="s">
        <v>41</v>
      </c>
      <c r="K15" s="28"/>
      <c r="L15" s="55"/>
      <c r="M15" s="26" t="s">
        <v>59</v>
      </c>
    </row>
    <row r="16" ht="15.0" customHeight="1">
      <c r="A16" s="52" t="s">
        <v>203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5"/>
    </row>
    <row r="17" ht="53.25" customHeight="1">
      <c r="A17" s="26" t="s">
        <v>207</v>
      </c>
      <c r="B17" s="26" t="s">
        <v>209</v>
      </c>
      <c r="C17" s="26" t="s">
        <v>211</v>
      </c>
      <c r="D17" s="26" t="s">
        <v>212</v>
      </c>
      <c r="E17" s="26" t="s">
        <v>25</v>
      </c>
      <c r="F17" s="26" t="s">
        <v>215</v>
      </c>
      <c r="G17" s="26" t="s">
        <v>217</v>
      </c>
      <c r="H17" s="26" t="s">
        <v>218</v>
      </c>
      <c r="I17" s="26" t="s">
        <v>55</v>
      </c>
      <c r="J17" s="26" t="s">
        <v>54</v>
      </c>
      <c r="K17" s="26"/>
      <c r="L17" s="2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L1"/>
    <mergeCell ref="A2:L2"/>
    <mergeCell ref="A5:L5"/>
    <mergeCell ref="A11:L11"/>
    <mergeCell ref="A16:L16"/>
  </mergeCells>
  <dataValidations>
    <dataValidation type="list" allowBlank="1" sqref="E6:E10 E12:E15 E17">
      <formula1>"P1,P2,P3"</formula1>
    </dataValidation>
    <dataValidation type="list" allowBlank="1" sqref="J6:J10 J12:J15 J17">
      <formula1>"Not Run,Pass,Fail,Blocked,Skip,N/A"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30.0"/>
    <col customWidth="1" min="4" max="4" width="26.0"/>
    <col customWidth="1" min="5" max="5" width="9.0"/>
    <col customWidth="1" min="6" max="6" width="36.0"/>
    <col customWidth="1" min="7" max="7" width="32.0"/>
    <col customWidth="1" min="8" max="8" width="48.0"/>
    <col customWidth="1" min="9" max="9" width="11.0"/>
    <col customWidth="1" min="10" max="11" width="10.0"/>
    <col customWidth="1" min="12" max="12" width="40.0"/>
    <col customWidth="1" min="13" max="13" width="55.0"/>
  </cols>
  <sheetData>
    <row r="1" ht="24.0" customHeight="1">
      <c r="A1" s="1" t="s">
        <v>2037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15.0" customHeight="1">
      <c r="A2" s="10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4" ht="25.5" customHeight="1">
      <c r="A4" s="12" t="s">
        <v>10</v>
      </c>
      <c r="B4" s="12" t="s">
        <v>12</v>
      </c>
      <c r="C4" s="12" t="s">
        <v>14</v>
      </c>
      <c r="D4" s="12" t="s">
        <v>16</v>
      </c>
      <c r="E4" s="12" t="s">
        <v>17</v>
      </c>
      <c r="F4" s="12" t="s">
        <v>19</v>
      </c>
      <c r="G4" s="12" t="s">
        <v>20</v>
      </c>
      <c r="H4" s="12" t="s">
        <v>21</v>
      </c>
      <c r="I4" s="12" t="s">
        <v>23</v>
      </c>
      <c r="J4" s="12" t="s">
        <v>24</v>
      </c>
      <c r="K4" s="12" t="s">
        <v>26</v>
      </c>
      <c r="L4" s="12" t="s">
        <v>27</v>
      </c>
      <c r="M4" s="12" t="s">
        <v>29</v>
      </c>
    </row>
    <row r="5" ht="18.0" customHeight="1">
      <c r="A5" s="16" t="s">
        <v>2040</v>
      </c>
      <c r="B5" s="4"/>
      <c r="C5" s="4"/>
      <c r="D5" s="4"/>
      <c r="E5" s="4"/>
      <c r="F5" s="4"/>
      <c r="G5" s="4"/>
      <c r="H5" s="4"/>
      <c r="I5" s="4"/>
      <c r="J5" s="4"/>
      <c r="K5" s="4"/>
      <c r="L5" s="5"/>
    </row>
    <row r="6" ht="30.0" customHeight="1">
      <c r="A6" s="18" t="s">
        <v>2042</v>
      </c>
      <c r="B6" s="19" t="s">
        <v>42</v>
      </c>
      <c r="C6" s="21" t="s">
        <v>2043</v>
      </c>
      <c r="D6" s="21" t="s">
        <v>774</v>
      </c>
      <c r="E6" s="23" t="s">
        <v>15</v>
      </c>
      <c r="F6" s="21" t="s">
        <v>2046</v>
      </c>
      <c r="G6" s="21" t="s">
        <v>2048</v>
      </c>
      <c r="H6" s="21" t="s">
        <v>2049</v>
      </c>
      <c r="I6" s="21" t="s">
        <v>55</v>
      </c>
      <c r="J6" s="26" t="s">
        <v>41</v>
      </c>
      <c r="K6" s="21"/>
      <c r="L6" s="54"/>
      <c r="M6" s="26" t="s">
        <v>59</v>
      </c>
    </row>
    <row r="7" ht="30.0" customHeight="1">
      <c r="A7" s="27" t="s">
        <v>2053</v>
      </c>
      <c r="B7" s="19" t="s">
        <v>42</v>
      </c>
      <c r="C7" s="28" t="s">
        <v>2055</v>
      </c>
      <c r="D7" s="28" t="s">
        <v>2057</v>
      </c>
      <c r="E7" s="30" t="s">
        <v>32</v>
      </c>
      <c r="F7" s="28" t="s">
        <v>2059</v>
      </c>
      <c r="G7" s="28" t="s">
        <v>2060</v>
      </c>
      <c r="H7" s="28" t="s">
        <v>2061</v>
      </c>
      <c r="I7" s="28" t="s">
        <v>55</v>
      </c>
      <c r="J7" s="26" t="s">
        <v>41</v>
      </c>
      <c r="K7" s="28"/>
      <c r="L7" s="55"/>
      <c r="M7" s="26" t="s">
        <v>59</v>
      </c>
    </row>
    <row r="8" ht="30.0" customHeight="1">
      <c r="A8" s="18" t="s">
        <v>2066</v>
      </c>
      <c r="B8" s="19" t="s">
        <v>38</v>
      </c>
      <c r="C8" s="21" t="s">
        <v>2070</v>
      </c>
      <c r="D8" s="21" t="s">
        <v>2071</v>
      </c>
      <c r="E8" s="32" t="s">
        <v>25</v>
      </c>
      <c r="F8" s="21" t="s">
        <v>2072</v>
      </c>
      <c r="G8" s="21" t="s">
        <v>2073</v>
      </c>
      <c r="H8" s="21" t="s">
        <v>2075</v>
      </c>
      <c r="I8" s="25" t="s">
        <v>56</v>
      </c>
      <c r="J8" s="26" t="s">
        <v>41</v>
      </c>
      <c r="K8" s="21"/>
      <c r="L8" s="54"/>
      <c r="M8" s="26" t="s">
        <v>2079</v>
      </c>
    </row>
    <row r="9" ht="30.0" customHeight="1">
      <c r="A9" s="27" t="s">
        <v>2081</v>
      </c>
      <c r="B9" s="19" t="s">
        <v>42</v>
      </c>
      <c r="C9" s="28" t="s">
        <v>2083</v>
      </c>
      <c r="D9" s="28" t="s">
        <v>2084</v>
      </c>
      <c r="E9" s="23" t="s">
        <v>15</v>
      </c>
      <c r="F9" s="28" t="s">
        <v>2087</v>
      </c>
      <c r="G9" s="28" t="s">
        <v>2088</v>
      </c>
      <c r="H9" s="28" t="s">
        <v>2089</v>
      </c>
      <c r="I9" s="28" t="s">
        <v>55</v>
      </c>
      <c r="J9" s="26" t="s">
        <v>41</v>
      </c>
      <c r="K9" s="28"/>
      <c r="L9" s="55"/>
      <c r="M9" s="26" t="s">
        <v>59</v>
      </c>
    </row>
    <row r="10" ht="30.0" customHeight="1">
      <c r="A10" s="18" t="s">
        <v>2092</v>
      </c>
      <c r="B10" s="19" t="s">
        <v>38</v>
      </c>
      <c r="C10" s="21" t="s">
        <v>2093</v>
      </c>
      <c r="D10" s="21" t="s">
        <v>2095</v>
      </c>
      <c r="E10" s="32" t="s">
        <v>25</v>
      </c>
      <c r="F10" s="21" t="s">
        <v>2098</v>
      </c>
      <c r="G10" s="21" t="s">
        <v>2088</v>
      </c>
      <c r="H10" s="21" t="s">
        <v>2099</v>
      </c>
      <c r="I10" s="25" t="s">
        <v>56</v>
      </c>
      <c r="J10" s="26" t="s">
        <v>41</v>
      </c>
      <c r="K10" s="21"/>
      <c r="L10" s="53" t="s">
        <v>2101</v>
      </c>
      <c r="M10" s="26" t="s">
        <v>2102</v>
      </c>
    </row>
    <row r="11" ht="15.0" customHeight="1">
      <c r="A11" s="52" t="s">
        <v>203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</row>
    <row r="12" ht="53.25" customHeight="1">
      <c r="A12" s="26" t="s">
        <v>207</v>
      </c>
      <c r="B12" s="26" t="s">
        <v>209</v>
      </c>
      <c r="C12" s="26" t="s">
        <v>211</v>
      </c>
      <c r="D12" s="26" t="s">
        <v>212</v>
      </c>
      <c r="E12" s="26" t="s">
        <v>25</v>
      </c>
      <c r="F12" s="26" t="s">
        <v>215</v>
      </c>
      <c r="G12" s="26" t="s">
        <v>217</v>
      </c>
      <c r="H12" s="26" t="s">
        <v>218</v>
      </c>
      <c r="I12" s="26" t="s">
        <v>55</v>
      </c>
      <c r="J12" s="26" t="s">
        <v>54</v>
      </c>
      <c r="K12" s="26"/>
      <c r="L12" s="2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L1"/>
    <mergeCell ref="A2:L2"/>
    <mergeCell ref="A5:L5"/>
    <mergeCell ref="A11:L11"/>
  </mergeCells>
  <dataValidations>
    <dataValidation type="list" allowBlank="1" sqref="E6:E10 E12">
      <formula1>"P1,P2,P3"</formula1>
    </dataValidation>
    <dataValidation type="list" allowBlank="1" sqref="J6:J10 J12">
      <formula1>"Not Run,Pass,Fail,Blocked,Skip,N/A"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30.0"/>
    <col customWidth="1" min="4" max="4" width="26.0"/>
    <col customWidth="1" min="5" max="5" width="9.0"/>
    <col customWidth="1" min="6" max="6" width="36.0"/>
    <col customWidth="1" min="7" max="7" width="32.0"/>
    <col customWidth="1" min="8" max="8" width="48.0"/>
    <col customWidth="1" min="9" max="9" width="11.0"/>
    <col customWidth="1" min="10" max="11" width="10.0"/>
    <col customWidth="1" min="12" max="12" width="40.0"/>
    <col customWidth="1" min="13" max="13" width="55.0"/>
  </cols>
  <sheetData>
    <row r="1" ht="24.0" customHeight="1">
      <c r="A1" s="1" t="s">
        <v>2123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15.0" customHeight="1">
      <c r="A2" s="10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4" ht="25.5" customHeight="1">
      <c r="A4" s="12" t="s">
        <v>10</v>
      </c>
      <c r="B4" s="12" t="s">
        <v>12</v>
      </c>
      <c r="C4" s="12" t="s">
        <v>14</v>
      </c>
      <c r="D4" s="12" t="s">
        <v>16</v>
      </c>
      <c r="E4" s="12" t="s">
        <v>17</v>
      </c>
      <c r="F4" s="12" t="s">
        <v>19</v>
      </c>
      <c r="G4" s="12" t="s">
        <v>20</v>
      </c>
      <c r="H4" s="12" t="s">
        <v>21</v>
      </c>
      <c r="I4" s="12" t="s">
        <v>23</v>
      </c>
      <c r="J4" s="12" t="s">
        <v>24</v>
      </c>
      <c r="K4" s="12" t="s">
        <v>26</v>
      </c>
      <c r="L4" s="12" t="s">
        <v>27</v>
      </c>
      <c r="M4" s="12" t="s">
        <v>29</v>
      </c>
    </row>
    <row r="5" ht="18.0" customHeight="1">
      <c r="A5" s="16" t="s">
        <v>2124</v>
      </c>
      <c r="B5" s="4"/>
      <c r="C5" s="4"/>
      <c r="D5" s="4"/>
      <c r="E5" s="4"/>
      <c r="F5" s="4"/>
      <c r="G5" s="4"/>
      <c r="H5" s="4"/>
      <c r="I5" s="4"/>
      <c r="J5" s="4"/>
      <c r="K5" s="4"/>
      <c r="L5" s="5"/>
    </row>
    <row r="6" ht="46.5" customHeight="1">
      <c r="A6" s="18" t="s">
        <v>2125</v>
      </c>
      <c r="B6" s="19" t="s">
        <v>42</v>
      </c>
      <c r="C6" s="21" t="s">
        <v>2126</v>
      </c>
      <c r="D6" s="21" t="s">
        <v>538</v>
      </c>
      <c r="E6" s="23" t="s">
        <v>15</v>
      </c>
      <c r="F6" s="21" t="s">
        <v>2127</v>
      </c>
      <c r="G6" s="21" t="s">
        <v>2128</v>
      </c>
      <c r="H6" s="21" t="s">
        <v>2129</v>
      </c>
      <c r="I6" s="21" t="s">
        <v>55</v>
      </c>
      <c r="J6" s="26" t="s">
        <v>41</v>
      </c>
      <c r="K6" s="21"/>
      <c r="L6" s="54"/>
      <c r="M6" s="26" t="s">
        <v>59</v>
      </c>
    </row>
    <row r="7" ht="33.75" customHeight="1">
      <c r="A7" s="27" t="s">
        <v>2130</v>
      </c>
      <c r="B7" s="19" t="s">
        <v>42</v>
      </c>
      <c r="C7" s="28" t="s">
        <v>2131</v>
      </c>
      <c r="D7" s="28" t="s">
        <v>576</v>
      </c>
      <c r="E7" s="23" t="s">
        <v>15</v>
      </c>
      <c r="F7" s="28" t="s">
        <v>2134</v>
      </c>
      <c r="G7" s="28" t="s">
        <v>2135</v>
      </c>
      <c r="H7" s="28" t="s">
        <v>2136</v>
      </c>
      <c r="I7" s="28" t="s">
        <v>55</v>
      </c>
      <c r="J7" s="26" t="s">
        <v>41</v>
      </c>
      <c r="K7" s="28"/>
      <c r="L7" s="55"/>
      <c r="M7" s="26" t="s">
        <v>59</v>
      </c>
    </row>
    <row r="8" ht="33.75" customHeight="1">
      <c r="A8" s="18" t="s">
        <v>2137</v>
      </c>
      <c r="B8" s="19" t="s">
        <v>42</v>
      </c>
      <c r="C8" s="21" t="s">
        <v>2138</v>
      </c>
      <c r="D8" s="21" t="s">
        <v>2139</v>
      </c>
      <c r="E8" s="23" t="s">
        <v>15</v>
      </c>
      <c r="F8" s="21" t="s">
        <v>2140</v>
      </c>
      <c r="G8" s="21" t="s">
        <v>2141</v>
      </c>
      <c r="H8" s="21" t="s">
        <v>2142</v>
      </c>
      <c r="I8" s="21" t="s">
        <v>55</v>
      </c>
      <c r="J8" s="26" t="s">
        <v>41</v>
      </c>
      <c r="K8" s="21"/>
      <c r="L8" s="54"/>
      <c r="M8" s="26" t="s">
        <v>59</v>
      </c>
    </row>
    <row r="9" ht="33.75" customHeight="1">
      <c r="A9" s="27" t="s">
        <v>2143</v>
      </c>
      <c r="B9" s="19" t="s">
        <v>42</v>
      </c>
      <c r="C9" s="28" t="s">
        <v>2144</v>
      </c>
      <c r="D9" s="28" t="s">
        <v>2145</v>
      </c>
      <c r="E9" s="30" t="s">
        <v>25</v>
      </c>
      <c r="F9" s="28" t="s">
        <v>2146</v>
      </c>
      <c r="G9" s="28" t="s">
        <v>2147</v>
      </c>
      <c r="H9" s="28" t="s">
        <v>2148</v>
      </c>
      <c r="I9" s="28" t="s">
        <v>55</v>
      </c>
      <c r="J9" s="26" t="s">
        <v>41</v>
      </c>
      <c r="K9" s="28"/>
      <c r="L9" s="55"/>
      <c r="M9" s="26" t="s">
        <v>59</v>
      </c>
    </row>
    <row r="10" ht="18.0" customHeight="1">
      <c r="A10" s="16" t="s">
        <v>2149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5"/>
    </row>
    <row r="11" ht="46.5" customHeight="1">
      <c r="A11" s="18" t="s">
        <v>2150</v>
      </c>
      <c r="B11" s="19" t="s">
        <v>42</v>
      </c>
      <c r="C11" s="21" t="s">
        <v>2151</v>
      </c>
      <c r="D11" s="21" t="s">
        <v>2152</v>
      </c>
      <c r="E11" s="23" t="s">
        <v>15</v>
      </c>
      <c r="F11" s="21" t="s">
        <v>2153</v>
      </c>
      <c r="G11" s="21" t="s">
        <v>2154</v>
      </c>
      <c r="H11" s="21" t="s">
        <v>2155</v>
      </c>
      <c r="I11" s="21" t="s">
        <v>55</v>
      </c>
      <c r="J11" s="26" t="s">
        <v>41</v>
      </c>
      <c r="K11" s="21"/>
      <c r="L11" s="54"/>
      <c r="M11" s="26" t="s">
        <v>59</v>
      </c>
    </row>
    <row r="12" ht="46.5" customHeight="1">
      <c r="A12" s="27" t="s">
        <v>2156</v>
      </c>
      <c r="B12" s="19" t="s">
        <v>2157</v>
      </c>
      <c r="C12" s="28" t="s">
        <v>2158</v>
      </c>
      <c r="D12" s="28" t="s">
        <v>576</v>
      </c>
      <c r="E12" s="23" t="s">
        <v>15</v>
      </c>
      <c r="F12" s="28" t="s">
        <v>2159</v>
      </c>
      <c r="G12" s="28" t="s">
        <v>2154</v>
      </c>
      <c r="H12" s="28" t="s">
        <v>2160</v>
      </c>
      <c r="I12" s="41" t="s">
        <v>56</v>
      </c>
      <c r="J12" s="26" t="s">
        <v>41</v>
      </c>
      <c r="K12" s="28"/>
      <c r="L12" s="55"/>
      <c r="M12" s="26" t="s">
        <v>59</v>
      </c>
    </row>
    <row r="13" ht="46.5" customHeight="1">
      <c r="A13" s="18" t="s">
        <v>2161</v>
      </c>
      <c r="B13" s="19" t="s">
        <v>305</v>
      </c>
      <c r="C13" s="21" t="s">
        <v>2162</v>
      </c>
      <c r="D13" s="21" t="s">
        <v>2163</v>
      </c>
      <c r="E13" s="23" t="s">
        <v>15</v>
      </c>
      <c r="F13" s="21" t="s">
        <v>2164</v>
      </c>
      <c r="G13" s="21" t="s">
        <v>2154</v>
      </c>
      <c r="H13" s="21" t="s">
        <v>2165</v>
      </c>
      <c r="I13" s="25" t="s">
        <v>56</v>
      </c>
      <c r="J13" s="26" t="s">
        <v>41</v>
      </c>
      <c r="K13" s="21"/>
      <c r="L13" s="54"/>
      <c r="M13" s="26" t="s">
        <v>59</v>
      </c>
    </row>
    <row r="14" ht="15.0" customHeight="1">
      <c r="A14" s="52" t="s">
        <v>203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5"/>
    </row>
    <row r="15" ht="53.25" customHeight="1">
      <c r="A15" s="26" t="s">
        <v>207</v>
      </c>
      <c r="B15" s="26" t="s">
        <v>209</v>
      </c>
      <c r="C15" s="26" t="s">
        <v>211</v>
      </c>
      <c r="D15" s="26" t="s">
        <v>212</v>
      </c>
      <c r="E15" s="26" t="s">
        <v>25</v>
      </c>
      <c r="F15" s="26" t="s">
        <v>215</v>
      </c>
      <c r="G15" s="26" t="s">
        <v>217</v>
      </c>
      <c r="H15" s="26" t="s">
        <v>218</v>
      </c>
      <c r="I15" s="26" t="s">
        <v>55</v>
      </c>
      <c r="J15" s="26" t="s">
        <v>54</v>
      </c>
      <c r="K15" s="26"/>
      <c r="L15" s="2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L1"/>
    <mergeCell ref="A2:L2"/>
    <mergeCell ref="A5:L5"/>
    <mergeCell ref="A10:L10"/>
    <mergeCell ref="A14:L14"/>
  </mergeCells>
  <dataValidations>
    <dataValidation type="list" allowBlank="1" sqref="E6:E9 E11:E13 E15">
      <formula1>"P1,P2,P3"</formula1>
    </dataValidation>
    <dataValidation type="list" allowBlank="1" sqref="J6:J9 J11:J13 J15">
      <formula1>"Not Run,Pass,Fail,Blocked,Skip,N/A"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30.0"/>
    <col customWidth="1" min="4" max="4" width="26.0"/>
    <col customWidth="1" min="5" max="5" width="9.0"/>
    <col customWidth="1" min="6" max="6" width="36.0"/>
    <col customWidth="1" min="7" max="7" width="32.0"/>
    <col customWidth="1" min="8" max="8" width="48.0"/>
    <col customWidth="1" min="9" max="9" width="11.0"/>
    <col customWidth="1" min="10" max="11" width="10.0"/>
    <col customWidth="1" min="12" max="12" width="40.0"/>
    <col customWidth="1" min="13" max="13" width="55.0"/>
  </cols>
  <sheetData>
    <row r="1" ht="24.0" customHeight="1">
      <c r="A1" s="1" t="s">
        <v>2167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15.0" customHeight="1">
      <c r="A2" s="10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4" ht="25.5" customHeight="1">
      <c r="A4" s="12" t="s">
        <v>10</v>
      </c>
      <c r="B4" s="12" t="s">
        <v>12</v>
      </c>
      <c r="C4" s="12" t="s">
        <v>14</v>
      </c>
      <c r="D4" s="12" t="s">
        <v>16</v>
      </c>
      <c r="E4" s="12" t="s">
        <v>17</v>
      </c>
      <c r="F4" s="12" t="s">
        <v>19</v>
      </c>
      <c r="G4" s="12" t="s">
        <v>20</v>
      </c>
      <c r="H4" s="12" t="s">
        <v>21</v>
      </c>
      <c r="I4" s="12" t="s">
        <v>23</v>
      </c>
      <c r="J4" s="12" t="s">
        <v>24</v>
      </c>
      <c r="K4" s="12" t="s">
        <v>26</v>
      </c>
      <c r="L4" s="12" t="s">
        <v>27</v>
      </c>
      <c r="M4" s="12" t="s">
        <v>29</v>
      </c>
    </row>
    <row r="5" ht="18.0" customHeight="1">
      <c r="A5" s="16" t="s">
        <v>2168</v>
      </c>
      <c r="B5" s="4"/>
      <c r="C5" s="4"/>
      <c r="D5" s="4"/>
      <c r="E5" s="4"/>
      <c r="F5" s="4"/>
      <c r="G5" s="4"/>
      <c r="H5" s="4"/>
      <c r="I5" s="4"/>
      <c r="J5" s="4"/>
      <c r="K5" s="4"/>
      <c r="L5" s="5"/>
    </row>
    <row r="6" ht="30.0" customHeight="1">
      <c r="A6" s="18" t="s">
        <v>2169</v>
      </c>
      <c r="B6" s="19" t="s">
        <v>42</v>
      </c>
      <c r="C6" s="21" t="s">
        <v>2172</v>
      </c>
      <c r="D6" s="21" t="s">
        <v>2017</v>
      </c>
      <c r="E6" s="23" t="s">
        <v>15</v>
      </c>
      <c r="F6" s="21" t="s">
        <v>2173</v>
      </c>
      <c r="G6" s="21" t="s">
        <v>2174</v>
      </c>
      <c r="H6" s="21" t="s">
        <v>2175</v>
      </c>
      <c r="I6" s="21" t="s">
        <v>55</v>
      </c>
      <c r="J6" s="26" t="s">
        <v>41</v>
      </c>
      <c r="K6" s="21"/>
      <c r="L6" s="54"/>
      <c r="M6" s="26" t="s">
        <v>59</v>
      </c>
    </row>
    <row r="7" ht="30.0" customHeight="1">
      <c r="A7" s="27" t="s">
        <v>2176</v>
      </c>
      <c r="B7" s="19" t="s">
        <v>38</v>
      </c>
      <c r="C7" s="28" t="s">
        <v>2178</v>
      </c>
      <c r="D7" s="28" t="s">
        <v>2177</v>
      </c>
      <c r="E7" s="30" t="s">
        <v>25</v>
      </c>
      <c r="F7" s="28" t="s">
        <v>2179</v>
      </c>
      <c r="G7" s="28" t="s">
        <v>2180</v>
      </c>
      <c r="H7" s="28" t="s">
        <v>2181</v>
      </c>
      <c r="I7" s="41" t="s">
        <v>56</v>
      </c>
      <c r="J7" s="26" t="s">
        <v>41</v>
      </c>
      <c r="K7" s="28"/>
      <c r="L7" s="55"/>
      <c r="M7" s="26" t="s">
        <v>59</v>
      </c>
    </row>
    <row r="8" ht="43.5" customHeight="1">
      <c r="A8" s="18" t="s">
        <v>2182</v>
      </c>
      <c r="B8" s="19" t="s">
        <v>42</v>
      </c>
      <c r="C8" s="21" t="s">
        <v>2184</v>
      </c>
      <c r="D8" s="21" t="s">
        <v>2183</v>
      </c>
      <c r="E8" s="23" t="s">
        <v>15</v>
      </c>
      <c r="F8" s="21" t="s">
        <v>2185</v>
      </c>
      <c r="G8" s="21" t="s">
        <v>2186</v>
      </c>
      <c r="H8" s="21" t="s">
        <v>2187</v>
      </c>
      <c r="I8" s="25" t="s">
        <v>56</v>
      </c>
      <c r="J8" s="26" t="s">
        <v>41</v>
      </c>
      <c r="K8" s="21"/>
      <c r="L8" s="54"/>
      <c r="M8" s="26" t="s">
        <v>59</v>
      </c>
    </row>
    <row r="9" ht="30.0" customHeight="1">
      <c r="A9" s="27" t="s">
        <v>2188</v>
      </c>
      <c r="B9" s="19" t="s">
        <v>42</v>
      </c>
      <c r="C9" s="28" t="s">
        <v>2189</v>
      </c>
      <c r="D9" s="28" t="s">
        <v>2190</v>
      </c>
      <c r="E9" s="23" t="s">
        <v>15</v>
      </c>
      <c r="F9" s="28" t="s">
        <v>2191</v>
      </c>
      <c r="G9" s="28" t="s">
        <v>2192</v>
      </c>
      <c r="H9" s="28" t="s">
        <v>2193</v>
      </c>
      <c r="I9" s="28" t="s">
        <v>55</v>
      </c>
      <c r="J9" s="26" t="s">
        <v>41</v>
      </c>
      <c r="K9" s="28"/>
      <c r="L9" s="55"/>
      <c r="M9" s="26" t="s">
        <v>2194</v>
      </c>
    </row>
    <row r="10" ht="18.0" customHeight="1">
      <c r="A10" s="16" t="s">
        <v>2195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5"/>
    </row>
    <row r="11" ht="30.0" customHeight="1">
      <c r="A11" s="18" t="s">
        <v>2196</v>
      </c>
      <c r="B11" s="19" t="s">
        <v>42</v>
      </c>
      <c r="C11" s="21" t="s">
        <v>2197</v>
      </c>
      <c r="D11" s="21" t="s">
        <v>2023</v>
      </c>
      <c r="E11" s="32" t="s">
        <v>25</v>
      </c>
      <c r="F11" s="21" t="s">
        <v>2199</v>
      </c>
      <c r="G11" s="21" t="s">
        <v>2200</v>
      </c>
      <c r="H11" s="21" t="s">
        <v>2201</v>
      </c>
      <c r="I11" s="21" t="s">
        <v>55</v>
      </c>
      <c r="J11" s="26" t="s">
        <v>41</v>
      </c>
      <c r="K11" s="21"/>
      <c r="L11" s="54"/>
      <c r="M11" s="26" t="s">
        <v>59</v>
      </c>
    </row>
    <row r="12" ht="30.0" customHeight="1">
      <c r="A12" s="27" t="s">
        <v>2202</v>
      </c>
      <c r="B12" s="19" t="s">
        <v>42</v>
      </c>
      <c r="C12" s="28" t="s">
        <v>2203</v>
      </c>
      <c r="D12" s="28" t="s">
        <v>2023</v>
      </c>
      <c r="E12" s="30" t="s">
        <v>25</v>
      </c>
      <c r="F12" s="28" t="s">
        <v>2204</v>
      </c>
      <c r="G12" s="28" t="s">
        <v>2205</v>
      </c>
      <c r="H12" s="28" t="s">
        <v>2206</v>
      </c>
      <c r="I12" s="28" t="s">
        <v>55</v>
      </c>
      <c r="J12" s="26" t="s">
        <v>41</v>
      </c>
      <c r="K12" s="28"/>
      <c r="L12" s="55"/>
      <c r="M12" s="26" t="s">
        <v>59</v>
      </c>
    </row>
    <row r="13" ht="30.0" customHeight="1">
      <c r="A13" s="18" t="s">
        <v>2207</v>
      </c>
      <c r="B13" s="19" t="s">
        <v>38</v>
      </c>
      <c r="C13" s="21" t="s">
        <v>2209</v>
      </c>
      <c r="D13" s="21" t="s">
        <v>2210</v>
      </c>
      <c r="E13" s="23" t="s">
        <v>15</v>
      </c>
      <c r="F13" s="21" t="s">
        <v>1045</v>
      </c>
      <c r="G13" s="21" t="s">
        <v>2211</v>
      </c>
      <c r="H13" s="21" t="s">
        <v>2212</v>
      </c>
      <c r="I13" s="25" t="s">
        <v>56</v>
      </c>
      <c r="J13" s="26" t="s">
        <v>41</v>
      </c>
      <c r="K13" s="21"/>
      <c r="L13" s="54" t="s">
        <v>2213</v>
      </c>
      <c r="M13" s="26" t="s">
        <v>2214</v>
      </c>
    </row>
    <row r="14" ht="15.0" customHeight="1">
      <c r="A14" s="52" t="s">
        <v>203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5"/>
    </row>
    <row r="15" ht="53.25" customHeight="1">
      <c r="A15" s="26" t="s">
        <v>207</v>
      </c>
      <c r="B15" s="26" t="s">
        <v>209</v>
      </c>
      <c r="C15" s="26" t="s">
        <v>211</v>
      </c>
      <c r="D15" s="26" t="s">
        <v>212</v>
      </c>
      <c r="E15" s="26" t="s">
        <v>25</v>
      </c>
      <c r="F15" s="26" t="s">
        <v>215</v>
      </c>
      <c r="G15" s="26" t="s">
        <v>217</v>
      </c>
      <c r="H15" s="26" t="s">
        <v>218</v>
      </c>
      <c r="I15" s="26" t="s">
        <v>55</v>
      </c>
      <c r="J15" s="26" t="s">
        <v>54</v>
      </c>
      <c r="K15" s="26"/>
      <c r="L15" s="2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L1"/>
    <mergeCell ref="A2:L2"/>
    <mergeCell ref="A5:L5"/>
    <mergeCell ref="A10:L10"/>
    <mergeCell ref="A14:L14"/>
  </mergeCells>
  <dataValidations>
    <dataValidation type="list" allowBlank="1" sqref="E6:E9 E11:E13 E15">
      <formula1>"P1,P2,P3"</formula1>
    </dataValidation>
    <dataValidation type="list" allowBlank="1" sqref="J6:J9 J11:J13 J15">
      <formula1>"Not Run,Pass,Fail,Blocked,Skip,N/A"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30.0"/>
    <col customWidth="1" min="4" max="4" width="26.0"/>
    <col customWidth="1" min="5" max="5" width="9.0"/>
    <col customWidth="1" min="6" max="6" width="36.0"/>
    <col customWidth="1" min="7" max="7" width="32.0"/>
    <col customWidth="1" min="8" max="8" width="48.0"/>
    <col customWidth="1" min="9" max="9" width="11.0"/>
    <col customWidth="1" min="10" max="11" width="10.0"/>
    <col customWidth="1" min="12" max="12" width="40.0"/>
    <col customWidth="1" min="13" max="13" width="55.0"/>
  </cols>
  <sheetData>
    <row r="1" ht="24.0" customHeight="1">
      <c r="A1" s="1" t="s">
        <v>2208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15.0" customHeight="1">
      <c r="A2" s="10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4" ht="25.5" customHeight="1">
      <c r="A4" s="12" t="s">
        <v>10</v>
      </c>
      <c r="B4" s="12" t="s">
        <v>12</v>
      </c>
      <c r="C4" s="12" t="s">
        <v>14</v>
      </c>
      <c r="D4" s="12" t="s">
        <v>16</v>
      </c>
      <c r="E4" s="12" t="s">
        <v>17</v>
      </c>
      <c r="F4" s="12" t="s">
        <v>19</v>
      </c>
      <c r="G4" s="12" t="s">
        <v>20</v>
      </c>
      <c r="H4" s="12" t="s">
        <v>21</v>
      </c>
      <c r="I4" s="12" t="s">
        <v>23</v>
      </c>
      <c r="J4" s="12" t="s">
        <v>24</v>
      </c>
      <c r="K4" s="12" t="s">
        <v>26</v>
      </c>
      <c r="L4" s="12" t="s">
        <v>27</v>
      </c>
      <c r="M4" s="12" t="s">
        <v>29</v>
      </c>
    </row>
    <row r="5" ht="18.0" customHeight="1">
      <c r="A5" s="16" t="s">
        <v>2219</v>
      </c>
      <c r="B5" s="4"/>
      <c r="C5" s="4"/>
      <c r="D5" s="4"/>
      <c r="E5" s="4"/>
      <c r="F5" s="4"/>
      <c r="G5" s="4"/>
      <c r="H5" s="4"/>
      <c r="I5" s="4"/>
      <c r="J5" s="4"/>
      <c r="K5" s="4"/>
      <c r="L5" s="5"/>
    </row>
    <row r="6" ht="46.5" customHeight="1">
      <c r="A6" s="18" t="s">
        <v>2215</v>
      </c>
      <c r="B6" s="19" t="s">
        <v>42</v>
      </c>
      <c r="C6" s="21" t="s">
        <v>2220</v>
      </c>
      <c r="D6" s="21" t="s">
        <v>2218</v>
      </c>
      <c r="E6" s="23" t="s">
        <v>15</v>
      </c>
      <c r="F6" s="21" t="s">
        <v>2222</v>
      </c>
      <c r="G6" s="21" t="s">
        <v>2223</v>
      </c>
      <c r="H6" s="21" t="s">
        <v>2224</v>
      </c>
      <c r="I6" s="21" t="s">
        <v>55</v>
      </c>
      <c r="J6" s="26" t="s">
        <v>41</v>
      </c>
      <c r="K6" s="21"/>
      <c r="L6" s="54"/>
      <c r="M6" s="26" t="s">
        <v>59</v>
      </c>
    </row>
    <row r="7" ht="33.75" customHeight="1">
      <c r="A7" s="27" t="s">
        <v>2221</v>
      </c>
      <c r="B7" s="19" t="s">
        <v>445</v>
      </c>
      <c r="C7" s="28" t="s">
        <v>2226</v>
      </c>
      <c r="D7" s="28" t="s">
        <v>2218</v>
      </c>
      <c r="E7" s="23" t="s">
        <v>15</v>
      </c>
      <c r="F7" s="28" t="s">
        <v>2228</v>
      </c>
      <c r="G7" s="28" t="s">
        <v>2229</v>
      </c>
      <c r="H7" s="28" t="s">
        <v>2230</v>
      </c>
      <c r="I7" s="28" t="s">
        <v>55</v>
      </c>
      <c r="J7" s="26" t="s">
        <v>41</v>
      </c>
      <c r="K7" s="28"/>
      <c r="L7" s="55"/>
      <c r="M7" s="26" t="s">
        <v>59</v>
      </c>
    </row>
    <row r="8" ht="33.75" customHeight="1">
      <c r="A8" s="18" t="s">
        <v>2225</v>
      </c>
      <c r="B8" s="19" t="s">
        <v>38</v>
      </c>
      <c r="C8" s="21" t="s">
        <v>2233</v>
      </c>
      <c r="D8" s="21" t="s">
        <v>2227</v>
      </c>
      <c r="E8" s="23" t="s">
        <v>15</v>
      </c>
      <c r="F8" s="21" t="s">
        <v>2234</v>
      </c>
      <c r="G8" s="21" t="s">
        <v>2235</v>
      </c>
      <c r="H8" s="21" t="s">
        <v>2236</v>
      </c>
      <c r="I8" s="25" t="s">
        <v>56</v>
      </c>
      <c r="J8" s="26" t="s">
        <v>41</v>
      </c>
      <c r="K8" s="21"/>
      <c r="L8" s="54" t="s">
        <v>971</v>
      </c>
      <c r="M8" s="26" t="s">
        <v>2238</v>
      </c>
    </row>
    <row r="9" ht="33.75" customHeight="1">
      <c r="A9" s="27" t="s">
        <v>2231</v>
      </c>
      <c r="B9" s="19" t="s">
        <v>505</v>
      </c>
      <c r="C9" s="28" t="s">
        <v>2239</v>
      </c>
      <c r="D9" s="28" t="s">
        <v>2232</v>
      </c>
      <c r="E9" s="23" t="s">
        <v>15</v>
      </c>
      <c r="F9" s="28" t="s">
        <v>2240</v>
      </c>
      <c r="G9" s="28" t="s">
        <v>2241</v>
      </c>
      <c r="H9" s="28" t="s">
        <v>2242</v>
      </c>
      <c r="I9" s="41" t="s">
        <v>56</v>
      </c>
      <c r="J9" s="26" t="s">
        <v>41</v>
      </c>
      <c r="K9" s="28"/>
      <c r="L9" s="55"/>
      <c r="M9" s="26" t="s">
        <v>2244</v>
      </c>
    </row>
    <row r="10" ht="33.75" customHeight="1">
      <c r="A10" s="18" t="s">
        <v>2237</v>
      </c>
      <c r="B10" s="19" t="s">
        <v>445</v>
      </c>
      <c r="C10" s="21" t="s">
        <v>2245</v>
      </c>
      <c r="D10" s="21" t="s">
        <v>2218</v>
      </c>
      <c r="E10" s="23" t="s">
        <v>15</v>
      </c>
      <c r="F10" s="21" t="s">
        <v>2246</v>
      </c>
      <c r="G10" s="21" t="s">
        <v>2247</v>
      </c>
      <c r="H10" s="21" t="s">
        <v>2248</v>
      </c>
      <c r="I10" s="21" t="s">
        <v>55</v>
      </c>
      <c r="J10" s="26" t="s">
        <v>41</v>
      </c>
      <c r="K10" s="21"/>
      <c r="L10" s="54"/>
      <c r="M10" s="26" t="s">
        <v>59</v>
      </c>
    </row>
    <row r="11" ht="46.5" customHeight="1">
      <c r="A11" s="27" t="s">
        <v>2243</v>
      </c>
      <c r="B11" s="19" t="s">
        <v>445</v>
      </c>
      <c r="C11" s="28" t="s">
        <v>2250</v>
      </c>
      <c r="D11" s="28" t="s">
        <v>2218</v>
      </c>
      <c r="E11" s="30" t="s">
        <v>25</v>
      </c>
      <c r="F11" s="28" t="s">
        <v>2251</v>
      </c>
      <c r="G11" s="28" t="s">
        <v>2252</v>
      </c>
      <c r="H11" s="28" t="s">
        <v>2253</v>
      </c>
      <c r="I11" s="28" t="s">
        <v>55</v>
      </c>
      <c r="J11" s="26" t="s">
        <v>41</v>
      </c>
      <c r="K11" s="28"/>
      <c r="L11" s="55"/>
      <c r="M11" s="26" t="s">
        <v>59</v>
      </c>
    </row>
    <row r="12" ht="33.75" customHeight="1">
      <c r="A12" s="18" t="s">
        <v>2249</v>
      </c>
      <c r="B12" s="19" t="s">
        <v>38</v>
      </c>
      <c r="C12" s="21" t="s">
        <v>2256</v>
      </c>
      <c r="D12" s="21" t="s">
        <v>2218</v>
      </c>
      <c r="E12" s="23" t="s">
        <v>15</v>
      </c>
      <c r="F12" s="21" t="s">
        <v>2258</v>
      </c>
      <c r="G12" s="21" t="s">
        <v>2259</v>
      </c>
      <c r="H12" s="21" t="s">
        <v>2260</v>
      </c>
      <c r="I12" s="25" t="s">
        <v>56</v>
      </c>
      <c r="J12" s="26" t="s">
        <v>41</v>
      </c>
      <c r="K12" s="21"/>
      <c r="L12" s="54"/>
      <c r="M12" s="26" t="s">
        <v>59</v>
      </c>
    </row>
    <row r="13" ht="18.0" customHeight="1">
      <c r="A13" s="16" t="s">
        <v>2262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</row>
    <row r="14" ht="46.5" customHeight="1">
      <c r="A14" s="18" t="s">
        <v>2254</v>
      </c>
      <c r="B14" s="19" t="s">
        <v>42</v>
      </c>
      <c r="C14" s="21" t="s">
        <v>2265</v>
      </c>
      <c r="D14" s="21" t="s">
        <v>2257</v>
      </c>
      <c r="E14" s="23" t="s">
        <v>15</v>
      </c>
      <c r="F14" s="21" t="s">
        <v>2266</v>
      </c>
      <c r="G14" s="21" t="s">
        <v>2241</v>
      </c>
      <c r="H14" s="21" t="s">
        <v>2267</v>
      </c>
      <c r="I14" s="21" t="s">
        <v>55</v>
      </c>
      <c r="J14" s="26" t="s">
        <v>41</v>
      </c>
      <c r="K14" s="21"/>
      <c r="L14" s="54"/>
      <c r="M14" s="26" t="s">
        <v>59</v>
      </c>
    </row>
    <row r="15" ht="33.75" customHeight="1">
      <c r="A15" s="27" t="s">
        <v>2263</v>
      </c>
      <c r="B15" s="19" t="s">
        <v>42</v>
      </c>
      <c r="C15" s="28" t="s">
        <v>2268</v>
      </c>
      <c r="D15" s="28" t="s">
        <v>2264</v>
      </c>
      <c r="E15" s="23" t="s">
        <v>15</v>
      </c>
      <c r="F15" s="28" t="s">
        <v>2269</v>
      </c>
      <c r="G15" s="28" t="s">
        <v>2270</v>
      </c>
      <c r="H15" s="28" t="s">
        <v>2272</v>
      </c>
      <c r="I15" s="28" t="s">
        <v>55</v>
      </c>
      <c r="J15" s="26" t="s">
        <v>41</v>
      </c>
      <c r="K15" s="28"/>
      <c r="L15" s="55"/>
      <c r="M15" s="26" t="s">
        <v>59</v>
      </c>
    </row>
    <row r="16" ht="46.5" customHeight="1">
      <c r="A16" s="18" t="s">
        <v>2271</v>
      </c>
      <c r="B16" s="19" t="s">
        <v>42</v>
      </c>
      <c r="C16" s="21" t="s">
        <v>2275</v>
      </c>
      <c r="D16" s="21" t="s">
        <v>2273</v>
      </c>
      <c r="E16" s="23" t="s">
        <v>15</v>
      </c>
      <c r="F16" s="21" t="s">
        <v>2269</v>
      </c>
      <c r="G16" s="21" t="s">
        <v>2276</v>
      </c>
      <c r="H16" s="21" t="s">
        <v>2277</v>
      </c>
      <c r="I16" s="21" t="s">
        <v>55</v>
      </c>
      <c r="J16" s="26" t="s">
        <v>41</v>
      </c>
      <c r="K16" s="21"/>
      <c r="L16" s="54"/>
      <c r="M16" s="26" t="s">
        <v>59</v>
      </c>
    </row>
    <row r="17" ht="33.75" customHeight="1">
      <c r="A17" s="27" t="s">
        <v>2278</v>
      </c>
      <c r="B17" s="19" t="s">
        <v>1475</v>
      </c>
      <c r="C17" s="28" t="s">
        <v>2283</v>
      </c>
      <c r="D17" s="28" t="s">
        <v>2279</v>
      </c>
      <c r="E17" s="23" t="s">
        <v>15</v>
      </c>
      <c r="F17" s="28" t="s">
        <v>2284</v>
      </c>
      <c r="G17" s="28" t="s">
        <v>2286</v>
      </c>
      <c r="H17" s="28" t="s">
        <v>2288</v>
      </c>
      <c r="I17" s="41" t="s">
        <v>56</v>
      </c>
      <c r="J17" s="26" t="s">
        <v>41</v>
      </c>
      <c r="K17" s="28"/>
      <c r="L17" s="55"/>
      <c r="M17" s="26" t="s">
        <v>59</v>
      </c>
    </row>
    <row r="18" ht="33.75" customHeight="1">
      <c r="A18" s="18" t="s">
        <v>2289</v>
      </c>
      <c r="B18" s="19" t="s">
        <v>38</v>
      </c>
      <c r="C18" s="21" t="s">
        <v>2292</v>
      </c>
      <c r="D18" s="21" t="s">
        <v>2291</v>
      </c>
      <c r="E18" s="32" t="s">
        <v>25</v>
      </c>
      <c r="F18" s="21" t="s">
        <v>2294</v>
      </c>
      <c r="G18" s="21" t="s">
        <v>2295</v>
      </c>
      <c r="H18" s="21" t="s">
        <v>2297</v>
      </c>
      <c r="I18" s="25" t="s">
        <v>56</v>
      </c>
      <c r="J18" s="26" t="s">
        <v>41</v>
      </c>
      <c r="K18" s="21"/>
      <c r="L18" s="54"/>
      <c r="M18" s="26" t="s">
        <v>2301</v>
      </c>
    </row>
    <row r="19" ht="33.75" customHeight="1">
      <c r="A19" s="27" t="s">
        <v>2296</v>
      </c>
      <c r="B19" s="19" t="s">
        <v>42</v>
      </c>
      <c r="C19" s="28" t="s">
        <v>2304</v>
      </c>
      <c r="D19" s="28" t="s">
        <v>2299</v>
      </c>
      <c r="E19" s="23" t="s">
        <v>15</v>
      </c>
      <c r="F19" s="28" t="s">
        <v>2306</v>
      </c>
      <c r="G19" s="28" t="s">
        <v>2295</v>
      </c>
      <c r="H19" s="28" t="s">
        <v>2309</v>
      </c>
      <c r="I19" s="28" t="s">
        <v>55</v>
      </c>
      <c r="J19" s="26" t="s">
        <v>41</v>
      </c>
      <c r="K19" s="28"/>
      <c r="L19" s="55"/>
      <c r="M19" s="26" t="s">
        <v>59</v>
      </c>
    </row>
    <row r="20" ht="15.0" customHeight="1">
      <c r="A20" s="52" t="s">
        <v>203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5"/>
    </row>
    <row r="21" ht="53.25" customHeight="1">
      <c r="A21" s="26" t="s">
        <v>207</v>
      </c>
      <c r="B21" s="26" t="s">
        <v>209</v>
      </c>
      <c r="C21" s="26" t="s">
        <v>211</v>
      </c>
      <c r="D21" s="26" t="s">
        <v>212</v>
      </c>
      <c r="E21" s="26" t="s">
        <v>25</v>
      </c>
      <c r="F21" s="26" t="s">
        <v>215</v>
      </c>
      <c r="G21" s="26" t="s">
        <v>217</v>
      </c>
      <c r="H21" s="26" t="s">
        <v>218</v>
      </c>
      <c r="I21" s="26" t="s">
        <v>55</v>
      </c>
      <c r="J21" s="26" t="s">
        <v>54</v>
      </c>
      <c r="K21" s="26"/>
      <c r="L21" s="26"/>
    </row>
    <row r="22" ht="15.75" customHeight="1"/>
    <row r="23" ht="15.0" customHeight="1">
      <c r="A23" s="16" t="s">
        <v>2324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5"/>
    </row>
    <row r="24" ht="46.5" customHeight="1">
      <c r="A24" s="18" t="s">
        <v>2310</v>
      </c>
      <c r="B24" s="19" t="s">
        <v>312</v>
      </c>
      <c r="C24" s="21" t="s">
        <v>2326</v>
      </c>
      <c r="D24" s="21" t="s">
        <v>2316</v>
      </c>
      <c r="E24" s="23" t="s">
        <v>15</v>
      </c>
      <c r="F24" s="21" t="s">
        <v>2328</v>
      </c>
      <c r="G24" s="21" t="s">
        <v>2329</v>
      </c>
      <c r="H24" s="21" t="s">
        <v>2331</v>
      </c>
      <c r="I24" s="25" t="s">
        <v>56</v>
      </c>
      <c r="J24" s="26" t="s">
        <v>41</v>
      </c>
      <c r="K24" s="21"/>
      <c r="L24" s="54"/>
      <c r="M24" s="26" t="s">
        <v>59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L1"/>
    <mergeCell ref="A2:L2"/>
    <mergeCell ref="A5:L5"/>
    <mergeCell ref="A13:L13"/>
    <mergeCell ref="A20:L20"/>
    <mergeCell ref="A23:L23"/>
  </mergeCells>
  <dataValidations>
    <dataValidation type="list" allowBlank="1" sqref="E6:E12 E14:E19 E21 E24">
      <formula1>"P1,P2,P3"</formula1>
    </dataValidation>
    <dataValidation type="list" allowBlank="1" sqref="J6:J12 J14:J19 J21 J24">
      <formula1>"Not Run,Pass,Fail,Blocked,Skip,N/A"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30.0"/>
    <col customWidth="1" min="4" max="4" width="26.0"/>
    <col customWidth="1" min="5" max="5" width="9.0"/>
    <col customWidth="1" min="6" max="6" width="36.0"/>
    <col customWidth="1" min="7" max="7" width="32.0"/>
    <col customWidth="1" min="8" max="8" width="48.0"/>
    <col customWidth="1" min="9" max="9" width="11.0"/>
    <col customWidth="1" min="10" max="11" width="10.0"/>
    <col customWidth="1" min="12" max="12" width="40.0"/>
    <col customWidth="1" min="13" max="13" width="55.0"/>
  </cols>
  <sheetData>
    <row r="1" ht="24.0" customHeight="1">
      <c r="A1" s="1" t="s">
        <v>2261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15.0" customHeight="1">
      <c r="A2" s="10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4" ht="25.5" customHeight="1">
      <c r="A4" s="12" t="s">
        <v>10</v>
      </c>
      <c r="B4" s="12" t="s">
        <v>12</v>
      </c>
      <c r="C4" s="12" t="s">
        <v>14</v>
      </c>
      <c r="D4" s="12" t="s">
        <v>16</v>
      </c>
      <c r="E4" s="12" t="s">
        <v>17</v>
      </c>
      <c r="F4" s="12" t="s">
        <v>19</v>
      </c>
      <c r="G4" s="12" t="s">
        <v>20</v>
      </c>
      <c r="H4" s="12" t="s">
        <v>21</v>
      </c>
      <c r="I4" s="12" t="s">
        <v>23</v>
      </c>
      <c r="J4" s="12" t="s">
        <v>24</v>
      </c>
      <c r="K4" s="12" t="s">
        <v>26</v>
      </c>
      <c r="L4" s="12" t="s">
        <v>27</v>
      </c>
      <c r="M4" s="12" t="s">
        <v>29</v>
      </c>
    </row>
    <row r="5" ht="18.0" customHeight="1">
      <c r="A5" s="16" t="s">
        <v>2274</v>
      </c>
      <c r="B5" s="4"/>
      <c r="C5" s="4"/>
      <c r="D5" s="4"/>
      <c r="E5" s="4"/>
      <c r="F5" s="4"/>
      <c r="G5" s="4"/>
      <c r="H5" s="4"/>
      <c r="I5" s="4"/>
      <c r="J5" s="4"/>
      <c r="K5" s="4"/>
      <c r="L5" s="5"/>
    </row>
    <row r="6" ht="30.0" customHeight="1">
      <c r="A6" s="18" t="s">
        <v>2280</v>
      </c>
      <c r="B6" s="19" t="s">
        <v>42</v>
      </c>
      <c r="C6" s="21" t="s">
        <v>2281</v>
      </c>
      <c r="D6" s="21" t="s">
        <v>2282</v>
      </c>
      <c r="E6" s="23" t="s">
        <v>15</v>
      </c>
      <c r="F6" s="21" t="s">
        <v>2285</v>
      </c>
      <c r="G6" s="21" t="s">
        <v>2287</v>
      </c>
      <c r="H6" s="21" t="s">
        <v>2290</v>
      </c>
      <c r="I6" s="21" t="s">
        <v>55</v>
      </c>
      <c r="J6" s="26" t="s">
        <v>41</v>
      </c>
      <c r="K6" s="21"/>
      <c r="L6" s="54"/>
      <c r="M6" s="26" t="s">
        <v>59</v>
      </c>
    </row>
    <row r="7" ht="30.0" customHeight="1">
      <c r="A7" s="27" t="s">
        <v>2293</v>
      </c>
      <c r="B7" s="19" t="s">
        <v>38</v>
      </c>
      <c r="C7" s="28" t="s">
        <v>2298</v>
      </c>
      <c r="D7" s="28" t="s">
        <v>2210</v>
      </c>
      <c r="E7" s="23" t="s">
        <v>15</v>
      </c>
      <c r="F7" s="28" t="s">
        <v>2300</v>
      </c>
      <c r="G7" s="28" t="s">
        <v>2302</v>
      </c>
      <c r="H7" s="28" t="s">
        <v>2303</v>
      </c>
      <c r="I7" s="41" t="s">
        <v>56</v>
      </c>
      <c r="J7" s="26" t="s">
        <v>41</v>
      </c>
      <c r="K7" s="28"/>
      <c r="L7" s="55" t="s">
        <v>2305</v>
      </c>
      <c r="M7" s="26" t="s">
        <v>2307</v>
      </c>
    </row>
    <row r="8" ht="30.0" customHeight="1">
      <c r="A8" s="18" t="s">
        <v>2308</v>
      </c>
      <c r="B8" s="19" t="s">
        <v>42</v>
      </c>
      <c r="C8" s="21" t="s">
        <v>2311</v>
      </c>
      <c r="D8" s="21" t="s">
        <v>1056</v>
      </c>
      <c r="E8" s="23" t="s">
        <v>15</v>
      </c>
      <c r="F8" s="21" t="s">
        <v>2312</v>
      </c>
      <c r="G8" s="21" t="s">
        <v>2313</v>
      </c>
      <c r="H8" s="21" t="s">
        <v>2314</v>
      </c>
      <c r="I8" s="21" t="s">
        <v>55</v>
      </c>
      <c r="J8" s="26" t="s">
        <v>41</v>
      </c>
      <c r="K8" s="21"/>
      <c r="L8" s="54"/>
      <c r="M8" s="26" t="s">
        <v>59</v>
      </c>
    </row>
    <row r="9" ht="30.0" customHeight="1">
      <c r="A9" s="27" t="s">
        <v>2317</v>
      </c>
      <c r="B9" s="19" t="s">
        <v>42</v>
      </c>
      <c r="C9" s="28" t="s">
        <v>2318</v>
      </c>
      <c r="D9" s="28" t="s">
        <v>1056</v>
      </c>
      <c r="E9" s="23" t="s">
        <v>15</v>
      </c>
      <c r="F9" s="28" t="s">
        <v>2319</v>
      </c>
      <c r="G9" s="28" t="s">
        <v>2320</v>
      </c>
      <c r="H9" s="28" t="s">
        <v>2321</v>
      </c>
      <c r="I9" s="28" t="s">
        <v>55</v>
      </c>
      <c r="J9" s="26" t="s">
        <v>41</v>
      </c>
      <c r="K9" s="28"/>
      <c r="L9" s="55"/>
      <c r="M9" s="26" t="s">
        <v>59</v>
      </c>
    </row>
    <row r="10" ht="30.0" customHeight="1">
      <c r="A10" s="18" t="s">
        <v>2325</v>
      </c>
      <c r="B10" s="19" t="s">
        <v>38</v>
      </c>
      <c r="C10" s="21" t="s">
        <v>2327</v>
      </c>
      <c r="D10" s="21" t="s">
        <v>2210</v>
      </c>
      <c r="E10" s="23" t="s">
        <v>15</v>
      </c>
      <c r="F10" s="21" t="s">
        <v>1045</v>
      </c>
      <c r="G10" s="21" t="s">
        <v>2330</v>
      </c>
      <c r="H10" s="21" t="s">
        <v>2332</v>
      </c>
      <c r="I10" s="25" t="s">
        <v>56</v>
      </c>
      <c r="J10" s="26" t="s">
        <v>41</v>
      </c>
      <c r="K10" s="21"/>
      <c r="L10" s="54" t="s">
        <v>2333</v>
      </c>
      <c r="M10" s="26" t="s">
        <v>2334</v>
      </c>
    </row>
    <row r="11" ht="18.0" customHeight="1">
      <c r="A11" s="16" t="s">
        <v>2335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</row>
    <row r="12" ht="30.0" customHeight="1">
      <c r="A12" s="18" t="s">
        <v>2336</v>
      </c>
      <c r="B12" s="19" t="s">
        <v>312</v>
      </c>
      <c r="C12" s="21" t="s">
        <v>2337</v>
      </c>
      <c r="D12" s="21" t="s">
        <v>2338</v>
      </c>
      <c r="E12" s="23" t="s">
        <v>15</v>
      </c>
      <c r="F12" s="21" t="s">
        <v>2339</v>
      </c>
      <c r="G12" s="21" t="s">
        <v>2340</v>
      </c>
      <c r="H12" s="21" t="s">
        <v>2341</v>
      </c>
      <c r="I12" s="21" t="s">
        <v>55</v>
      </c>
      <c r="J12" s="26" t="s">
        <v>41</v>
      </c>
      <c r="K12" s="21"/>
      <c r="L12" s="54"/>
      <c r="M12" s="26" t="s">
        <v>59</v>
      </c>
    </row>
    <row r="13" ht="30.0" customHeight="1">
      <c r="A13" s="27" t="s">
        <v>2342</v>
      </c>
      <c r="B13" s="19" t="s">
        <v>42</v>
      </c>
      <c r="C13" s="28" t="s">
        <v>2343</v>
      </c>
      <c r="D13" s="28" t="s">
        <v>1056</v>
      </c>
      <c r="E13" s="23" t="s">
        <v>15</v>
      </c>
      <c r="F13" s="28" t="s">
        <v>2344</v>
      </c>
      <c r="G13" s="28" t="s">
        <v>2345</v>
      </c>
      <c r="H13" s="28" t="s">
        <v>2346</v>
      </c>
      <c r="I13" s="28" t="s">
        <v>55</v>
      </c>
      <c r="J13" s="26" t="s">
        <v>41</v>
      </c>
      <c r="K13" s="28"/>
      <c r="L13" s="55"/>
      <c r="M13" s="26" t="s">
        <v>59</v>
      </c>
    </row>
    <row r="14" ht="30.0" customHeight="1">
      <c r="A14" s="18" t="s">
        <v>2347</v>
      </c>
      <c r="B14" s="19" t="s">
        <v>42</v>
      </c>
      <c r="C14" s="21" t="s">
        <v>2348</v>
      </c>
      <c r="D14" s="21" t="s">
        <v>1056</v>
      </c>
      <c r="E14" s="32" t="s">
        <v>25</v>
      </c>
      <c r="F14" s="21" t="s">
        <v>2349</v>
      </c>
      <c r="G14" s="21" t="s">
        <v>2350</v>
      </c>
      <c r="H14" s="21" t="s">
        <v>2351</v>
      </c>
      <c r="I14" s="21" t="s">
        <v>55</v>
      </c>
      <c r="J14" s="26" t="s">
        <v>41</v>
      </c>
      <c r="K14" s="21"/>
      <c r="L14" s="54"/>
      <c r="M14" s="26" t="s">
        <v>59</v>
      </c>
    </row>
    <row r="15" ht="15.0" customHeight="1">
      <c r="A15" s="52" t="s">
        <v>203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5"/>
    </row>
    <row r="16" ht="53.25" customHeight="1">
      <c r="A16" s="26" t="s">
        <v>207</v>
      </c>
      <c r="B16" s="26" t="s">
        <v>209</v>
      </c>
      <c r="C16" s="26" t="s">
        <v>211</v>
      </c>
      <c r="D16" s="26" t="s">
        <v>212</v>
      </c>
      <c r="E16" s="26" t="s">
        <v>25</v>
      </c>
      <c r="F16" s="26" t="s">
        <v>215</v>
      </c>
      <c r="G16" s="26" t="s">
        <v>217</v>
      </c>
      <c r="H16" s="26" t="s">
        <v>218</v>
      </c>
      <c r="I16" s="26" t="s">
        <v>55</v>
      </c>
      <c r="J16" s="26" t="s">
        <v>54</v>
      </c>
      <c r="K16" s="26"/>
      <c r="L16" s="2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L1"/>
    <mergeCell ref="A2:L2"/>
    <mergeCell ref="A5:L5"/>
    <mergeCell ref="A11:L11"/>
    <mergeCell ref="A15:L15"/>
  </mergeCells>
  <dataValidations>
    <dataValidation type="list" allowBlank="1" sqref="E6:E10 E12:E14 E16">
      <formula1>"P1,P2,P3"</formula1>
    </dataValidation>
    <dataValidation type="list" allowBlank="1" sqref="J6:J10 J12:J14 J16">
      <formula1>"Not Run,Pass,Fail,Blocked,Skip,N/A"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30.0"/>
    <col customWidth="1" min="4" max="4" width="26.0"/>
    <col customWidth="1" min="5" max="5" width="9.0"/>
    <col customWidth="1" min="6" max="6" width="36.0"/>
    <col customWidth="1" min="7" max="7" width="32.0"/>
    <col customWidth="1" min="8" max="8" width="48.0"/>
    <col customWidth="1" min="9" max="9" width="11.0"/>
    <col customWidth="1" min="10" max="11" width="10.0"/>
    <col customWidth="1" min="12" max="12" width="40.0"/>
    <col customWidth="1" min="13" max="13" width="55.0"/>
  </cols>
  <sheetData>
    <row r="1" ht="24.0" customHeight="1">
      <c r="A1" s="1" t="s">
        <v>2353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15.0" customHeight="1">
      <c r="A2" s="10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4" ht="25.5" customHeight="1">
      <c r="A4" s="12" t="s">
        <v>10</v>
      </c>
      <c r="B4" s="12" t="s">
        <v>12</v>
      </c>
      <c r="C4" s="12" t="s">
        <v>14</v>
      </c>
      <c r="D4" s="12" t="s">
        <v>16</v>
      </c>
      <c r="E4" s="12" t="s">
        <v>17</v>
      </c>
      <c r="F4" s="12" t="s">
        <v>19</v>
      </c>
      <c r="G4" s="12" t="s">
        <v>20</v>
      </c>
      <c r="H4" s="12" t="s">
        <v>21</v>
      </c>
      <c r="I4" s="12" t="s">
        <v>23</v>
      </c>
      <c r="J4" s="12" t="s">
        <v>24</v>
      </c>
      <c r="K4" s="12" t="s">
        <v>26</v>
      </c>
      <c r="L4" s="12" t="s">
        <v>27</v>
      </c>
      <c r="M4" s="12" t="s">
        <v>29</v>
      </c>
    </row>
    <row r="5" ht="18.0" customHeight="1">
      <c r="A5" s="16" t="s">
        <v>2358</v>
      </c>
      <c r="B5" s="4"/>
      <c r="C5" s="4"/>
      <c r="D5" s="4"/>
      <c r="E5" s="4"/>
      <c r="F5" s="4"/>
      <c r="G5" s="4"/>
      <c r="H5" s="4"/>
      <c r="I5" s="4"/>
      <c r="J5" s="4"/>
      <c r="K5" s="4"/>
      <c r="L5" s="5"/>
    </row>
    <row r="6" ht="30.0" customHeight="1">
      <c r="A6" s="18" t="s">
        <v>2354</v>
      </c>
      <c r="B6" s="19" t="s">
        <v>42</v>
      </c>
      <c r="C6" s="21" t="s">
        <v>2361</v>
      </c>
      <c r="D6" s="21" t="s">
        <v>2357</v>
      </c>
      <c r="E6" s="23" t="s">
        <v>15</v>
      </c>
      <c r="F6" s="21" t="s">
        <v>2362</v>
      </c>
      <c r="G6" s="21" t="s">
        <v>2364</v>
      </c>
      <c r="H6" s="21" t="s">
        <v>2366</v>
      </c>
      <c r="I6" s="21" t="s">
        <v>55</v>
      </c>
      <c r="J6" s="26" t="s">
        <v>41</v>
      </c>
      <c r="K6" s="21"/>
      <c r="L6" s="54"/>
      <c r="M6" s="26" t="s">
        <v>59</v>
      </c>
    </row>
    <row r="7" ht="43.5" customHeight="1">
      <c r="A7" s="27" t="s">
        <v>2359</v>
      </c>
      <c r="B7" s="19" t="s">
        <v>38</v>
      </c>
      <c r="C7" s="28" t="s">
        <v>2369</v>
      </c>
      <c r="D7" s="28" t="s">
        <v>2360</v>
      </c>
      <c r="E7" s="23" t="s">
        <v>15</v>
      </c>
      <c r="F7" s="28" t="s">
        <v>2370</v>
      </c>
      <c r="G7" s="28" t="s">
        <v>2371</v>
      </c>
      <c r="H7" s="28" t="s">
        <v>2372</v>
      </c>
      <c r="I7" s="41" t="s">
        <v>56</v>
      </c>
      <c r="J7" s="26" t="s">
        <v>41</v>
      </c>
      <c r="K7" s="28"/>
      <c r="L7" s="55"/>
      <c r="M7" s="26" t="s">
        <v>59</v>
      </c>
    </row>
    <row r="8" ht="43.5" customHeight="1">
      <c r="A8" s="18" t="s">
        <v>2363</v>
      </c>
      <c r="B8" s="19" t="s">
        <v>312</v>
      </c>
      <c r="C8" s="21" t="s">
        <v>2376</v>
      </c>
      <c r="D8" s="21" t="s">
        <v>2365</v>
      </c>
      <c r="E8" s="23" t="s">
        <v>15</v>
      </c>
      <c r="F8" s="21" t="s">
        <v>2377</v>
      </c>
      <c r="G8" s="21" t="s">
        <v>2378</v>
      </c>
      <c r="H8" s="21" t="s">
        <v>2379</v>
      </c>
      <c r="I8" s="25" t="s">
        <v>56</v>
      </c>
      <c r="J8" s="26" t="s">
        <v>167</v>
      </c>
      <c r="K8" s="21"/>
      <c r="L8" s="54" t="s">
        <v>2382</v>
      </c>
      <c r="M8" s="26" t="s">
        <v>2383</v>
      </c>
    </row>
    <row r="9" ht="30.0" customHeight="1">
      <c r="A9" s="27" t="s">
        <v>2367</v>
      </c>
      <c r="B9" s="19" t="s">
        <v>38</v>
      </c>
      <c r="C9" s="28" t="s">
        <v>2384</v>
      </c>
      <c r="D9" s="28" t="s">
        <v>2368</v>
      </c>
      <c r="E9" s="23" t="s">
        <v>15</v>
      </c>
      <c r="F9" s="28" t="s">
        <v>2385</v>
      </c>
      <c r="G9" s="28" t="s">
        <v>2387</v>
      </c>
      <c r="H9" s="28" t="s">
        <v>2388</v>
      </c>
      <c r="I9" s="41" t="s">
        <v>56</v>
      </c>
      <c r="J9" s="26" t="s">
        <v>41</v>
      </c>
      <c r="K9" s="28"/>
      <c r="L9" s="55"/>
      <c r="M9" s="26" t="s">
        <v>59</v>
      </c>
    </row>
    <row r="10" ht="18.0" customHeight="1">
      <c r="A10" s="16" t="s">
        <v>2390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5"/>
    </row>
    <row r="11" ht="30.0" customHeight="1">
      <c r="A11" s="18" t="s">
        <v>2373</v>
      </c>
      <c r="B11" s="19" t="s">
        <v>42</v>
      </c>
      <c r="C11" s="21" t="s">
        <v>2393</v>
      </c>
      <c r="D11" s="21" t="s">
        <v>2375</v>
      </c>
      <c r="E11" s="32" t="s">
        <v>25</v>
      </c>
      <c r="F11" s="21" t="s">
        <v>2395</v>
      </c>
      <c r="G11" s="21" t="s">
        <v>2396</v>
      </c>
      <c r="H11" s="21" t="s">
        <v>2397</v>
      </c>
      <c r="I11" s="21" t="s">
        <v>55</v>
      </c>
      <c r="J11" s="26" t="s">
        <v>41</v>
      </c>
      <c r="K11" s="21"/>
      <c r="L11" s="54"/>
      <c r="M11" s="26" t="s">
        <v>59</v>
      </c>
    </row>
    <row r="12" ht="30.0" customHeight="1">
      <c r="A12" s="27" t="s">
        <v>2380</v>
      </c>
      <c r="B12" s="19" t="s">
        <v>42</v>
      </c>
      <c r="C12" s="28" t="s">
        <v>2398</v>
      </c>
      <c r="D12" s="28" t="s">
        <v>2381</v>
      </c>
      <c r="E12" s="23" t="s">
        <v>15</v>
      </c>
      <c r="F12" s="28" t="s">
        <v>2401</v>
      </c>
      <c r="G12" s="28" t="s">
        <v>2402</v>
      </c>
      <c r="H12" s="28" t="s">
        <v>2403</v>
      </c>
      <c r="I12" s="28" t="s">
        <v>55</v>
      </c>
      <c r="J12" s="26" t="s">
        <v>41</v>
      </c>
      <c r="K12" s="28"/>
      <c r="L12" s="55"/>
      <c r="M12" s="26" t="s">
        <v>59</v>
      </c>
    </row>
    <row r="13" ht="30.0" customHeight="1">
      <c r="A13" s="18" t="s">
        <v>2386</v>
      </c>
      <c r="B13" s="19" t="s">
        <v>42</v>
      </c>
      <c r="C13" s="21" t="s">
        <v>2404</v>
      </c>
      <c r="D13" s="21" t="s">
        <v>2389</v>
      </c>
      <c r="E13" s="32" t="s">
        <v>25</v>
      </c>
      <c r="F13" s="21" t="s">
        <v>2406</v>
      </c>
      <c r="G13" s="21" t="s">
        <v>2402</v>
      </c>
      <c r="H13" s="21" t="s">
        <v>2408</v>
      </c>
      <c r="I13" s="21" t="s">
        <v>55</v>
      </c>
      <c r="J13" s="26" t="s">
        <v>41</v>
      </c>
      <c r="K13" s="21"/>
      <c r="L13" s="54"/>
      <c r="M13" s="26" t="s">
        <v>59</v>
      </c>
    </row>
    <row r="14" ht="15.0" customHeight="1">
      <c r="A14" s="52" t="s">
        <v>203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5"/>
    </row>
    <row r="15" ht="53.25" customHeight="1">
      <c r="A15" s="26" t="s">
        <v>207</v>
      </c>
      <c r="B15" s="26" t="s">
        <v>209</v>
      </c>
      <c r="C15" s="26" t="s">
        <v>211</v>
      </c>
      <c r="D15" s="26" t="s">
        <v>212</v>
      </c>
      <c r="E15" s="26" t="s">
        <v>25</v>
      </c>
      <c r="F15" s="26" t="s">
        <v>215</v>
      </c>
      <c r="G15" s="26" t="s">
        <v>217</v>
      </c>
      <c r="H15" s="26" t="s">
        <v>218</v>
      </c>
      <c r="I15" s="26" t="s">
        <v>55</v>
      </c>
      <c r="J15" s="26" t="s">
        <v>54</v>
      </c>
      <c r="K15" s="26"/>
      <c r="L15" s="2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L1"/>
    <mergeCell ref="A2:L2"/>
    <mergeCell ref="A5:L5"/>
    <mergeCell ref="A10:L10"/>
    <mergeCell ref="A14:L14"/>
  </mergeCells>
  <dataValidations>
    <dataValidation type="list" allowBlank="1" sqref="E6:E9 E11:E13 E15">
      <formula1>"P1,P2,P3"</formula1>
    </dataValidation>
    <dataValidation type="list" allowBlank="1" sqref="J6:J9 J11:J13 J15">
      <formula1>"Not Run,Pass,Fail,Blocked,Skip,N/A"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30.0"/>
    <col customWidth="1" min="4" max="4" width="26.0"/>
    <col customWidth="1" min="5" max="5" width="9.0"/>
    <col customWidth="1" min="6" max="6" width="36.0"/>
    <col customWidth="1" min="7" max="7" width="32.0"/>
    <col customWidth="1" min="8" max="8" width="48.0"/>
    <col customWidth="1" min="9" max="9" width="11.0"/>
    <col customWidth="1" min="10" max="11" width="10.0"/>
    <col customWidth="1" min="12" max="12" width="40.0"/>
    <col customWidth="1" min="13" max="13" width="55.0"/>
  </cols>
  <sheetData>
    <row r="1" ht="24.0" customHeight="1">
      <c r="A1" s="1" t="s">
        <v>2409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15.0" customHeight="1">
      <c r="A2" s="10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4" ht="25.5" customHeight="1">
      <c r="A4" s="12" t="s">
        <v>10</v>
      </c>
      <c r="B4" s="12" t="s">
        <v>12</v>
      </c>
      <c r="C4" s="12" t="s">
        <v>14</v>
      </c>
      <c r="D4" s="12" t="s">
        <v>16</v>
      </c>
      <c r="E4" s="12" t="s">
        <v>17</v>
      </c>
      <c r="F4" s="12" t="s">
        <v>19</v>
      </c>
      <c r="G4" s="12" t="s">
        <v>20</v>
      </c>
      <c r="H4" s="12" t="s">
        <v>21</v>
      </c>
      <c r="I4" s="12" t="s">
        <v>23</v>
      </c>
      <c r="J4" s="12" t="s">
        <v>24</v>
      </c>
      <c r="K4" s="12" t="s">
        <v>26</v>
      </c>
      <c r="L4" s="12" t="s">
        <v>27</v>
      </c>
      <c r="M4" s="12" t="s">
        <v>29</v>
      </c>
    </row>
    <row r="5" ht="18.0" customHeight="1">
      <c r="A5" s="16" t="s">
        <v>2414</v>
      </c>
      <c r="B5" s="4"/>
      <c r="C5" s="4"/>
      <c r="D5" s="4"/>
      <c r="E5" s="4"/>
      <c r="F5" s="4"/>
      <c r="G5" s="4"/>
      <c r="H5" s="4"/>
      <c r="I5" s="4"/>
      <c r="J5" s="4"/>
      <c r="K5" s="4"/>
      <c r="L5" s="5"/>
    </row>
    <row r="6" ht="46.5" customHeight="1">
      <c r="A6" s="18" t="s">
        <v>2391</v>
      </c>
      <c r="B6" s="19" t="s">
        <v>87</v>
      </c>
      <c r="C6" s="21" t="s">
        <v>2415</v>
      </c>
      <c r="D6" s="21" t="s">
        <v>1784</v>
      </c>
      <c r="E6" s="23" t="s">
        <v>15</v>
      </c>
      <c r="F6" s="21" t="s">
        <v>2417</v>
      </c>
      <c r="G6" s="21" t="s">
        <v>2418</v>
      </c>
      <c r="H6" s="21" t="s">
        <v>2420</v>
      </c>
      <c r="I6" s="21" t="s">
        <v>55</v>
      </c>
      <c r="J6" s="26" t="s">
        <v>41</v>
      </c>
      <c r="K6" s="21"/>
      <c r="L6" s="54"/>
      <c r="M6" s="26" t="s">
        <v>59</v>
      </c>
    </row>
    <row r="7" ht="46.5" customHeight="1">
      <c r="A7" s="27" t="s">
        <v>2399</v>
      </c>
      <c r="B7" s="19" t="s">
        <v>305</v>
      </c>
      <c r="C7" s="28" t="s">
        <v>2422</v>
      </c>
      <c r="D7" s="28" t="s">
        <v>2400</v>
      </c>
      <c r="E7" s="23" t="s">
        <v>15</v>
      </c>
      <c r="F7" s="28" t="s">
        <v>2424</v>
      </c>
      <c r="G7" s="28" t="s">
        <v>2418</v>
      </c>
      <c r="H7" s="28" t="s">
        <v>2425</v>
      </c>
      <c r="I7" s="28" t="s">
        <v>55</v>
      </c>
      <c r="J7" s="26" t="s">
        <v>41</v>
      </c>
      <c r="K7" s="28"/>
      <c r="L7" s="55"/>
      <c r="M7" s="26" t="s">
        <v>59</v>
      </c>
    </row>
    <row r="8" ht="46.5" customHeight="1">
      <c r="A8" s="18" t="s">
        <v>2405</v>
      </c>
      <c r="B8" s="19" t="s">
        <v>42</v>
      </c>
      <c r="C8" s="21" t="s">
        <v>2426</v>
      </c>
      <c r="D8" s="21" t="s">
        <v>1883</v>
      </c>
      <c r="E8" s="23" t="s">
        <v>15</v>
      </c>
      <c r="F8" s="21" t="s">
        <v>2429</v>
      </c>
      <c r="G8" s="21" t="s">
        <v>2430</v>
      </c>
      <c r="H8" s="21" t="s">
        <v>2431</v>
      </c>
      <c r="I8" s="21" t="s">
        <v>55</v>
      </c>
      <c r="J8" s="26" t="s">
        <v>41</v>
      </c>
      <c r="K8" s="21"/>
      <c r="L8" s="54"/>
      <c r="M8" s="26" t="s">
        <v>59</v>
      </c>
    </row>
    <row r="9" ht="30.0" customHeight="1">
      <c r="A9" s="27" t="s">
        <v>2407</v>
      </c>
      <c r="B9" s="19" t="s">
        <v>1475</v>
      </c>
      <c r="C9" s="28" t="s">
        <v>2432</v>
      </c>
      <c r="D9" s="28" t="s">
        <v>1477</v>
      </c>
      <c r="E9" s="23" t="s">
        <v>15</v>
      </c>
      <c r="F9" s="28" t="s">
        <v>2434</v>
      </c>
      <c r="G9" s="28" t="s">
        <v>2435</v>
      </c>
      <c r="H9" s="28" t="s">
        <v>2436</v>
      </c>
      <c r="I9" s="41" t="s">
        <v>56</v>
      </c>
      <c r="J9" s="26" t="s">
        <v>41</v>
      </c>
      <c r="K9" s="28"/>
      <c r="L9" s="55"/>
      <c r="M9" s="26" t="s">
        <v>59</v>
      </c>
    </row>
    <row r="10" ht="18.0" customHeight="1">
      <c r="A10" s="16" t="s">
        <v>2437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5"/>
    </row>
    <row r="11" ht="46.5" customHeight="1">
      <c r="A11" s="18" t="s">
        <v>2410</v>
      </c>
      <c r="B11" s="19" t="s">
        <v>312</v>
      </c>
      <c r="C11" s="21" t="s">
        <v>2442</v>
      </c>
      <c r="D11" s="21" t="s">
        <v>2412</v>
      </c>
      <c r="E11" s="23" t="s">
        <v>15</v>
      </c>
      <c r="F11" s="21" t="s">
        <v>2443</v>
      </c>
      <c r="G11" s="21" t="s">
        <v>2444</v>
      </c>
      <c r="H11" s="21" t="s">
        <v>2446</v>
      </c>
      <c r="I11" s="21" t="s">
        <v>55</v>
      </c>
      <c r="J11" s="26" t="s">
        <v>41</v>
      </c>
      <c r="K11" s="21"/>
      <c r="L11" s="54"/>
      <c r="M11" s="26" t="s">
        <v>59</v>
      </c>
    </row>
    <row r="12" ht="46.5" customHeight="1">
      <c r="A12" s="27" t="s">
        <v>2413</v>
      </c>
      <c r="B12" s="19" t="s">
        <v>312</v>
      </c>
      <c r="C12" s="28" t="s">
        <v>2449</v>
      </c>
      <c r="D12" s="28" t="s">
        <v>2412</v>
      </c>
      <c r="E12" s="23" t="s">
        <v>15</v>
      </c>
      <c r="F12" s="28" t="s">
        <v>2450</v>
      </c>
      <c r="G12" s="28" t="s">
        <v>2444</v>
      </c>
      <c r="H12" s="28" t="s">
        <v>2451</v>
      </c>
      <c r="I12" s="28" t="s">
        <v>55</v>
      </c>
      <c r="J12" s="26" t="s">
        <v>41</v>
      </c>
      <c r="K12" s="28"/>
      <c r="L12" s="55"/>
      <c r="M12" s="26" t="s">
        <v>59</v>
      </c>
    </row>
    <row r="13" ht="46.5" customHeight="1">
      <c r="A13" s="18" t="s">
        <v>2416</v>
      </c>
      <c r="B13" s="19" t="s">
        <v>305</v>
      </c>
      <c r="C13" s="21" t="s">
        <v>2454</v>
      </c>
      <c r="D13" s="21" t="s">
        <v>2419</v>
      </c>
      <c r="E13" s="23" t="s">
        <v>15</v>
      </c>
      <c r="F13" s="21" t="s">
        <v>2457</v>
      </c>
      <c r="G13" s="21" t="s">
        <v>2444</v>
      </c>
      <c r="H13" s="21" t="s">
        <v>2458</v>
      </c>
      <c r="I13" s="21" t="s">
        <v>55</v>
      </c>
      <c r="J13" s="26" t="s">
        <v>41</v>
      </c>
      <c r="K13" s="21"/>
      <c r="L13" s="54"/>
      <c r="M13" s="26" t="s">
        <v>59</v>
      </c>
    </row>
    <row r="14" ht="30.0" customHeight="1">
      <c r="A14" s="27" t="s">
        <v>2421</v>
      </c>
      <c r="B14" s="19" t="s">
        <v>1475</v>
      </c>
      <c r="C14" s="28" t="s">
        <v>2463</v>
      </c>
      <c r="D14" s="28" t="s">
        <v>2423</v>
      </c>
      <c r="E14" s="23" t="s">
        <v>15</v>
      </c>
      <c r="F14" s="28" t="s">
        <v>2467</v>
      </c>
      <c r="G14" s="28" t="s">
        <v>2468</v>
      </c>
      <c r="H14" s="28" t="s">
        <v>2469</v>
      </c>
      <c r="I14" s="41" t="s">
        <v>56</v>
      </c>
      <c r="J14" s="26" t="s">
        <v>41</v>
      </c>
      <c r="K14" s="28"/>
      <c r="L14" s="55"/>
      <c r="M14" s="26" t="s">
        <v>59</v>
      </c>
    </row>
    <row r="15" ht="18.0" customHeight="1">
      <c r="A15" s="16" t="s">
        <v>2471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5"/>
    </row>
    <row r="16" ht="46.5" customHeight="1">
      <c r="A16" s="18" t="s">
        <v>2427</v>
      </c>
      <c r="B16" s="19" t="s">
        <v>42</v>
      </c>
      <c r="C16" s="21" t="s">
        <v>2477</v>
      </c>
      <c r="D16" s="21" t="s">
        <v>2291</v>
      </c>
      <c r="E16" s="23" t="s">
        <v>15</v>
      </c>
      <c r="F16" s="21" t="s">
        <v>2479</v>
      </c>
      <c r="G16" s="21" t="s">
        <v>2480</v>
      </c>
      <c r="H16" s="21" t="s">
        <v>2481</v>
      </c>
      <c r="I16" s="21" t="s">
        <v>55</v>
      </c>
      <c r="J16" s="26" t="s">
        <v>41</v>
      </c>
      <c r="K16" s="21"/>
      <c r="L16" s="54"/>
      <c r="M16" s="26" t="s">
        <v>59</v>
      </c>
    </row>
    <row r="17" ht="30.0" customHeight="1">
      <c r="A17" s="27" t="s">
        <v>2433</v>
      </c>
      <c r="B17" s="19" t="s">
        <v>1475</v>
      </c>
      <c r="C17" s="28" t="s">
        <v>2485</v>
      </c>
      <c r="D17" s="28" t="s">
        <v>576</v>
      </c>
      <c r="E17" s="23" t="s">
        <v>15</v>
      </c>
      <c r="F17" s="28" t="s">
        <v>2488</v>
      </c>
      <c r="G17" s="28" t="s">
        <v>2490</v>
      </c>
      <c r="H17" s="28" t="s">
        <v>2491</v>
      </c>
      <c r="I17" s="41" t="s">
        <v>56</v>
      </c>
      <c r="J17" s="26" t="s">
        <v>41</v>
      </c>
      <c r="K17" s="28"/>
      <c r="L17" s="55"/>
      <c r="M17" s="26" t="s">
        <v>59</v>
      </c>
    </row>
    <row r="18" ht="18.0" customHeight="1">
      <c r="A18" s="16" t="s">
        <v>2493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5"/>
    </row>
    <row r="19" ht="72.75" customHeight="1">
      <c r="A19" s="18" t="s">
        <v>2439</v>
      </c>
      <c r="B19" s="19" t="s">
        <v>312</v>
      </c>
      <c r="C19" s="21" t="s">
        <v>2498</v>
      </c>
      <c r="D19" s="21" t="s">
        <v>2441</v>
      </c>
      <c r="E19" s="23" t="s">
        <v>15</v>
      </c>
      <c r="F19" s="21" t="s">
        <v>2501</v>
      </c>
      <c r="G19" s="21" t="s">
        <v>2502</v>
      </c>
      <c r="H19" s="21" t="s">
        <v>2503</v>
      </c>
      <c r="I19" s="21" t="s">
        <v>55</v>
      </c>
      <c r="J19" s="26" t="s">
        <v>46</v>
      </c>
      <c r="K19" s="59" t="s">
        <v>2445</v>
      </c>
      <c r="L19" s="54"/>
      <c r="M19" s="26" t="s">
        <v>2505</v>
      </c>
    </row>
    <row r="20" ht="46.5" customHeight="1">
      <c r="A20" s="27" t="s">
        <v>2447</v>
      </c>
      <c r="B20" s="19" t="s">
        <v>42</v>
      </c>
      <c r="C20" s="28" t="s">
        <v>2507</v>
      </c>
      <c r="D20" s="28" t="s">
        <v>2448</v>
      </c>
      <c r="E20" s="23" t="s">
        <v>15</v>
      </c>
      <c r="F20" s="28" t="s">
        <v>2509</v>
      </c>
      <c r="G20" s="28" t="s">
        <v>2510</v>
      </c>
      <c r="H20" s="28" t="s">
        <v>2511</v>
      </c>
      <c r="I20" s="41" t="s">
        <v>56</v>
      </c>
      <c r="J20" s="26" t="s">
        <v>41</v>
      </c>
      <c r="K20" s="28"/>
      <c r="L20" s="55"/>
      <c r="M20" s="26" t="s">
        <v>59</v>
      </c>
    </row>
    <row r="21" ht="33.75" customHeight="1">
      <c r="A21" s="18" t="s">
        <v>2453</v>
      </c>
      <c r="B21" s="19" t="s">
        <v>42</v>
      </c>
      <c r="C21" s="21" t="s">
        <v>2515</v>
      </c>
      <c r="D21" s="21" t="s">
        <v>2455</v>
      </c>
      <c r="E21" s="32" t="s">
        <v>25</v>
      </c>
      <c r="F21" s="21" t="s">
        <v>2518</v>
      </c>
      <c r="G21" s="21" t="s">
        <v>2519</v>
      </c>
      <c r="H21" s="21" t="s">
        <v>2521</v>
      </c>
      <c r="I21" s="21" t="s">
        <v>55</v>
      </c>
      <c r="J21" s="26" t="s">
        <v>41</v>
      </c>
      <c r="K21" s="21"/>
      <c r="L21" s="54"/>
      <c r="M21" s="26" t="s">
        <v>59</v>
      </c>
    </row>
    <row r="22" ht="18.0" customHeight="1">
      <c r="A22" s="16" t="s">
        <v>2524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5"/>
    </row>
    <row r="23" ht="30.0" customHeight="1">
      <c r="A23" s="18" t="s">
        <v>2462</v>
      </c>
      <c r="B23" s="19" t="s">
        <v>42</v>
      </c>
      <c r="C23" s="21" t="s">
        <v>2527</v>
      </c>
      <c r="D23" s="21" t="s">
        <v>2218</v>
      </c>
      <c r="E23" s="23" t="s">
        <v>15</v>
      </c>
      <c r="F23" s="21" t="s">
        <v>2530</v>
      </c>
      <c r="G23" s="21" t="s">
        <v>2430</v>
      </c>
      <c r="H23" s="21" t="s">
        <v>2531</v>
      </c>
      <c r="I23" s="21" t="s">
        <v>55</v>
      </c>
      <c r="J23" s="26" t="s">
        <v>41</v>
      </c>
      <c r="K23" s="21"/>
      <c r="L23" s="54"/>
      <c r="M23" s="26" t="s">
        <v>59</v>
      </c>
    </row>
    <row r="24" ht="30.0" customHeight="1">
      <c r="A24" s="27" t="s">
        <v>2473</v>
      </c>
      <c r="B24" s="19" t="s">
        <v>1475</v>
      </c>
      <c r="C24" s="28" t="s">
        <v>2535</v>
      </c>
      <c r="D24" s="28" t="s">
        <v>2279</v>
      </c>
      <c r="E24" s="23" t="s">
        <v>15</v>
      </c>
      <c r="F24" s="28" t="s">
        <v>2539</v>
      </c>
      <c r="G24" s="28" t="s">
        <v>2468</v>
      </c>
      <c r="H24" s="28" t="s">
        <v>2540</v>
      </c>
      <c r="I24" s="41" t="s">
        <v>56</v>
      </c>
      <c r="J24" s="26" t="s">
        <v>41</v>
      </c>
      <c r="K24" s="28"/>
      <c r="L24" s="55"/>
      <c r="M24" s="26" t="s">
        <v>59</v>
      </c>
    </row>
    <row r="25" ht="30.0" customHeight="1">
      <c r="A25" s="18" t="s">
        <v>2482</v>
      </c>
      <c r="B25" s="19" t="s">
        <v>42</v>
      </c>
      <c r="C25" s="21" t="s">
        <v>2542</v>
      </c>
      <c r="D25" s="21" t="s">
        <v>2139</v>
      </c>
      <c r="E25" s="23" t="s">
        <v>15</v>
      </c>
      <c r="F25" s="21" t="s">
        <v>2543</v>
      </c>
      <c r="G25" s="21" t="s">
        <v>2544</v>
      </c>
      <c r="H25" s="21" t="s">
        <v>2545</v>
      </c>
      <c r="I25" s="25" t="s">
        <v>56</v>
      </c>
      <c r="J25" s="26" t="s">
        <v>41</v>
      </c>
      <c r="K25" s="21"/>
      <c r="L25" s="54"/>
      <c r="M25" s="26" t="s">
        <v>59</v>
      </c>
    </row>
    <row r="26" ht="15.0" customHeight="1">
      <c r="A26" s="52" t="s">
        <v>203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5"/>
    </row>
    <row r="27" ht="53.25" customHeight="1">
      <c r="A27" s="26" t="s">
        <v>207</v>
      </c>
      <c r="B27" s="26" t="s">
        <v>209</v>
      </c>
      <c r="C27" s="26" t="s">
        <v>211</v>
      </c>
      <c r="D27" s="26" t="s">
        <v>212</v>
      </c>
      <c r="E27" s="26" t="s">
        <v>25</v>
      </c>
      <c r="F27" s="26" t="s">
        <v>215</v>
      </c>
      <c r="G27" s="26" t="s">
        <v>217</v>
      </c>
      <c r="H27" s="26" t="s">
        <v>218</v>
      </c>
      <c r="I27" s="26" t="s">
        <v>55</v>
      </c>
      <c r="J27" s="26" t="s">
        <v>54</v>
      </c>
      <c r="K27" s="26"/>
      <c r="L27" s="26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L1"/>
    <mergeCell ref="A2:L2"/>
    <mergeCell ref="A5:L5"/>
    <mergeCell ref="A10:L10"/>
    <mergeCell ref="A15:L15"/>
    <mergeCell ref="A18:L18"/>
    <mergeCell ref="A22:L22"/>
    <mergeCell ref="A26:L26"/>
  </mergeCells>
  <dataValidations>
    <dataValidation type="list" allowBlank="1" sqref="E6:E9 E11:E14 E16:E17 E19:E21 E23:E25 E27">
      <formula1>"P1,P2,P3"</formula1>
    </dataValidation>
    <dataValidation type="list" allowBlank="1" sqref="J6:J9 J11:J14 J16:J17 J19:J21 J23:J25 J27">
      <formula1>"Not Run,Pass,Fail,Blocked,Skip,N/A"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30.0"/>
    <col customWidth="1" min="4" max="4" width="26.0"/>
    <col customWidth="1" min="5" max="5" width="9.0"/>
    <col customWidth="1" min="6" max="6" width="36.0"/>
    <col customWidth="1" min="7" max="7" width="32.0"/>
    <col customWidth="1" min="8" max="8" width="48.0"/>
    <col customWidth="1" min="9" max="9" width="11.0"/>
    <col customWidth="1" min="10" max="11" width="10.0"/>
    <col customWidth="1" min="12" max="12" width="40.0"/>
    <col customWidth="1" min="13" max="13" width="55.0"/>
  </cols>
  <sheetData>
    <row r="1" ht="24.0" customHeight="1">
      <c r="A1" s="1" t="s">
        <v>2438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15.0" customHeight="1">
      <c r="A2" s="10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4" ht="25.5" customHeight="1">
      <c r="A4" s="12" t="s">
        <v>10</v>
      </c>
      <c r="B4" s="12" t="s">
        <v>12</v>
      </c>
      <c r="C4" s="12" t="s">
        <v>14</v>
      </c>
      <c r="D4" s="12" t="s">
        <v>16</v>
      </c>
      <c r="E4" s="12" t="s">
        <v>17</v>
      </c>
      <c r="F4" s="12" t="s">
        <v>19</v>
      </c>
      <c r="G4" s="12" t="s">
        <v>20</v>
      </c>
      <c r="H4" s="12" t="s">
        <v>21</v>
      </c>
      <c r="I4" s="12" t="s">
        <v>23</v>
      </c>
      <c r="J4" s="12" t="s">
        <v>24</v>
      </c>
      <c r="K4" s="12" t="s">
        <v>26</v>
      </c>
      <c r="L4" s="12" t="s">
        <v>27</v>
      </c>
      <c r="M4" s="12" t="s">
        <v>29</v>
      </c>
    </row>
    <row r="5" ht="18.0" customHeight="1">
      <c r="A5" s="16" t="s">
        <v>2452</v>
      </c>
      <c r="B5" s="4"/>
      <c r="C5" s="4"/>
      <c r="D5" s="4"/>
      <c r="E5" s="4"/>
      <c r="F5" s="4"/>
      <c r="G5" s="4"/>
      <c r="H5" s="4"/>
      <c r="I5" s="4"/>
      <c r="J5" s="4"/>
      <c r="K5" s="4"/>
      <c r="L5" s="5"/>
    </row>
    <row r="6" ht="60.0" customHeight="1">
      <c r="A6" s="18" t="s">
        <v>2456</v>
      </c>
      <c r="B6" s="19" t="s">
        <v>42</v>
      </c>
      <c r="C6" s="21" t="s">
        <v>2459</v>
      </c>
      <c r="D6" s="21" t="s">
        <v>2460</v>
      </c>
      <c r="E6" s="32" t="s">
        <v>25</v>
      </c>
      <c r="F6" s="21" t="s">
        <v>2461</v>
      </c>
      <c r="G6" s="21" t="s">
        <v>2464</v>
      </c>
      <c r="H6" s="21" t="s">
        <v>2466</v>
      </c>
      <c r="I6" s="21" t="s">
        <v>55</v>
      </c>
      <c r="J6" s="26" t="s">
        <v>41</v>
      </c>
      <c r="K6" s="21"/>
      <c r="L6" s="54"/>
      <c r="M6" s="26" t="s">
        <v>59</v>
      </c>
    </row>
    <row r="7" ht="30.0" customHeight="1">
      <c r="A7" s="27" t="s">
        <v>2470</v>
      </c>
      <c r="B7" s="19" t="s">
        <v>38</v>
      </c>
      <c r="C7" s="28" t="s">
        <v>2472</v>
      </c>
      <c r="D7" s="28" t="s">
        <v>2474</v>
      </c>
      <c r="E7" s="23" t="s">
        <v>15</v>
      </c>
      <c r="F7" s="28" t="s">
        <v>2475</v>
      </c>
      <c r="G7" s="28" t="s">
        <v>2476</v>
      </c>
      <c r="H7" s="28" t="s">
        <v>2478</v>
      </c>
      <c r="I7" s="41" t="s">
        <v>56</v>
      </c>
      <c r="J7" s="26" t="s">
        <v>41</v>
      </c>
      <c r="K7" s="28"/>
      <c r="L7" s="55"/>
      <c r="M7" s="26" t="s">
        <v>59</v>
      </c>
    </row>
    <row r="8" ht="30.0" customHeight="1">
      <c r="A8" s="18" t="s">
        <v>2483</v>
      </c>
      <c r="B8" s="19" t="s">
        <v>42</v>
      </c>
      <c r="C8" s="21" t="s">
        <v>2484</v>
      </c>
      <c r="D8" s="21" t="s">
        <v>1681</v>
      </c>
      <c r="E8" s="32" t="s">
        <v>25</v>
      </c>
      <c r="F8" s="21" t="s">
        <v>2486</v>
      </c>
      <c r="G8" s="21" t="s">
        <v>2487</v>
      </c>
      <c r="H8" s="21" t="s">
        <v>2489</v>
      </c>
      <c r="I8" s="21" t="s">
        <v>55</v>
      </c>
      <c r="J8" s="26" t="s">
        <v>41</v>
      </c>
      <c r="K8" s="21"/>
      <c r="L8" s="54"/>
      <c r="M8" s="26" t="s">
        <v>59</v>
      </c>
    </row>
    <row r="9" ht="30.0" customHeight="1">
      <c r="A9" s="27" t="s">
        <v>2492</v>
      </c>
      <c r="B9" s="19" t="s">
        <v>38</v>
      </c>
      <c r="C9" s="28" t="s">
        <v>2494</v>
      </c>
      <c r="D9" s="28" t="s">
        <v>2495</v>
      </c>
      <c r="E9" s="23" t="s">
        <v>15</v>
      </c>
      <c r="F9" s="28" t="s">
        <v>2496</v>
      </c>
      <c r="G9" s="28" t="s">
        <v>2487</v>
      </c>
      <c r="H9" s="28" t="s">
        <v>2497</v>
      </c>
      <c r="I9" s="41" t="s">
        <v>56</v>
      </c>
      <c r="J9" s="26" t="s">
        <v>41</v>
      </c>
      <c r="K9" s="28"/>
      <c r="L9" s="55"/>
      <c r="M9" s="26" t="s">
        <v>59</v>
      </c>
    </row>
    <row r="10" ht="18.0" customHeight="1">
      <c r="A10" s="16" t="s">
        <v>2504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5"/>
    </row>
    <row r="11" ht="30.0" customHeight="1">
      <c r="A11" s="18" t="s">
        <v>2506</v>
      </c>
      <c r="B11" s="19" t="s">
        <v>42</v>
      </c>
      <c r="C11" s="21" t="s">
        <v>2508</v>
      </c>
      <c r="D11" s="21" t="s">
        <v>1188</v>
      </c>
      <c r="E11" s="32" t="s">
        <v>32</v>
      </c>
      <c r="F11" s="21" t="s">
        <v>2512</v>
      </c>
      <c r="G11" s="21" t="s">
        <v>2513</v>
      </c>
      <c r="H11" s="21" t="s">
        <v>2514</v>
      </c>
      <c r="I11" s="21" t="s">
        <v>55</v>
      </c>
      <c r="J11" s="26" t="s">
        <v>41</v>
      </c>
      <c r="K11" s="21"/>
      <c r="L11" s="54"/>
      <c r="M11" s="26" t="s">
        <v>59</v>
      </c>
    </row>
    <row r="12" ht="30.0" customHeight="1">
      <c r="A12" s="27" t="s">
        <v>2516</v>
      </c>
      <c r="B12" s="19" t="s">
        <v>38</v>
      </c>
      <c r="C12" s="28" t="s">
        <v>2517</v>
      </c>
      <c r="D12" s="28" t="s">
        <v>1188</v>
      </c>
      <c r="E12" s="23" t="s">
        <v>15</v>
      </c>
      <c r="F12" s="28" t="s">
        <v>2520</v>
      </c>
      <c r="G12" s="28" t="s">
        <v>2522</v>
      </c>
      <c r="H12" s="28" t="s">
        <v>2523</v>
      </c>
      <c r="I12" s="41" t="s">
        <v>56</v>
      </c>
      <c r="J12" s="26" t="s">
        <v>41</v>
      </c>
      <c r="K12" s="28"/>
      <c r="L12" s="55"/>
      <c r="M12" s="26" t="s">
        <v>59</v>
      </c>
    </row>
    <row r="13" ht="30.0" customHeight="1">
      <c r="A13" s="18" t="s">
        <v>2525</v>
      </c>
      <c r="B13" s="19" t="s">
        <v>42</v>
      </c>
      <c r="C13" s="21" t="s">
        <v>2526</v>
      </c>
      <c r="D13" s="21" t="s">
        <v>2257</v>
      </c>
      <c r="E13" s="32" t="s">
        <v>25</v>
      </c>
      <c r="F13" s="21" t="s">
        <v>2486</v>
      </c>
      <c r="G13" s="21" t="s">
        <v>2528</v>
      </c>
      <c r="H13" s="21" t="s">
        <v>2529</v>
      </c>
      <c r="I13" s="21" t="s">
        <v>55</v>
      </c>
      <c r="J13" s="26" t="s">
        <v>41</v>
      </c>
      <c r="K13" s="21"/>
      <c r="L13" s="54"/>
      <c r="M13" s="26" t="s">
        <v>59</v>
      </c>
    </row>
    <row r="14" ht="46.5" customHeight="1">
      <c r="A14" s="27" t="s">
        <v>2532</v>
      </c>
      <c r="B14" s="19" t="s">
        <v>38</v>
      </c>
      <c r="C14" s="28" t="s">
        <v>2533</v>
      </c>
      <c r="D14" s="28" t="s">
        <v>2534</v>
      </c>
      <c r="E14" s="30" t="s">
        <v>25</v>
      </c>
      <c r="F14" s="28" t="s">
        <v>2536</v>
      </c>
      <c r="G14" s="28" t="s">
        <v>2537</v>
      </c>
      <c r="H14" s="28" t="s">
        <v>2538</v>
      </c>
      <c r="I14" s="41" t="s">
        <v>56</v>
      </c>
      <c r="J14" s="26" t="s">
        <v>41</v>
      </c>
      <c r="K14" s="28"/>
      <c r="L14" s="55"/>
      <c r="M14" s="26" t="s">
        <v>59</v>
      </c>
    </row>
    <row r="15" ht="15.0" customHeight="1">
      <c r="A15" s="52" t="s">
        <v>203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5"/>
    </row>
    <row r="16" ht="53.25" customHeight="1">
      <c r="A16" s="26" t="s">
        <v>207</v>
      </c>
      <c r="B16" s="26" t="s">
        <v>209</v>
      </c>
      <c r="C16" s="26" t="s">
        <v>211</v>
      </c>
      <c r="D16" s="26" t="s">
        <v>212</v>
      </c>
      <c r="E16" s="26" t="s">
        <v>25</v>
      </c>
      <c r="F16" s="26" t="s">
        <v>215</v>
      </c>
      <c r="G16" s="26" t="s">
        <v>217</v>
      </c>
      <c r="H16" s="26" t="s">
        <v>218</v>
      </c>
      <c r="I16" s="26" t="s">
        <v>55</v>
      </c>
      <c r="J16" s="26" t="s">
        <v>54</v>
      </c>
      <c r="K16" s="26"/>
      <c r="L16" s="2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L1"/>
    <mergeCell ref="A2:L2"/>
    <mergeCell ref="A5:L5"/>
    <mergeCell ref="A10:L10"/>
    <mergeCell ref="A15:L15"/>
  </mergeCells>
  <dataValidations>
    <dataValidation type="list" allowBlank="1" sqref="E6:E9 E11:E14 E16">
      <formula1>"P1,P2,P3"</formula1>
    </dataValidation>
    <dataValidation type="list" allowBlank="1" sqref="J6:J9 J11:J14 J16">
      <formula1>"Not Run,Pass,Fail,Blocked,Skip,N/A"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30.0"/>
    <col customWidth="1" min="4" max="4" width="26.0"/>
    <col customWidth="1" min="5" max="5" width="9.0"/>
    <col customWidth="1" min="6" max="6" width="36.0"/>
    <col customWidth="1" min="7" max="7" width="32.0"/>
    <col customWidth="1" min="8" max="8" width="48.0"/>
    <col customWidth="1" min="9" max="9" width="11.0"/>
    <col customWidth="1" min="10" max="11" width="10.0"/>
    <col customWidth="1" min="12" max="12" width="40.0"/>
    <col customWidth="1" min="13" max="13" width="55.0"/>
  </cols>
  <sheetData>
    <row r="1" ht="24.0" customHeight="1">
      <c r="A1" s="1" t="s">
        <v>2569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15.0" customHeight="1">
      <c r="A2" s="10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4" ht="25.5" customHeight="1">
      <c r="A4" s="12" t="s">
        <v>10</v>
      </c>
      <c r="B4" s="12" t="s">
        <v>12</v>
      </c>
      <c r="C4" s="12" t="s">
        <v>14</v>
      </c>
      <c r="D4" s="12" t="s">
        <v>16</v>
      </c>
      <c r="E4" s="12" t="s">
        <v>17</v>
      </c>
      <c r="F4" s="12" t="s">
        <v>19</v>
      </c>
      <c r="G4" s="12" t="s">
        <v>20</v>
      </c>
      <c r="H4" s="12" t="s">
        <v>21</v>
      </c>
      <c r="I4" s="12" t="s">
        <v>23</v>
      </c>
      <c r="J4" s="12" t="s">
        <v>24</v>
      </c>
      <c r="K4" s="12" t="s">
        <v>26</v>
      </c>
      <c r="L4" s="12" t="s">
        <v>27</v>
      </c>
      <c r="M4" s="12" t="s">
        <v>29</v>
      </c>
    </row>
    <row r="5" ht="18.0" customHeight="1">
      <c r="A5" s="16" t="s">
        <v>2572</v>
      </c>
      <c r="B5" s="4"/>
      <c r="C5" s="4"/>
      <c r="D5" s="4"/>
      <c r="E5" s="4"/>
      <c r="F5" s="4"/>
      <c r="G5" s="4"/>
      <c r="H5" s="4"/>
      <c r="I5" s="4"/>
      <c r="J5" s="4"/>
      <c r="K5" s="4"/>
      <c r="L5" s="5"/>
    </row>
    <row r="6" ht="30.0" customHeight="1">
      <c r="A6" s="18" t="s">
        <v>2546</v>
      </c>
      <c r="B6" s="19" t="s">
        <v>38</v>
      </c>
      <c r="C6" s="21" t="s">
        <v>2577</v>
      </c>
      <c r="D6" s="21" t="s">
        <v>913</v>
      </c>
      <c r="E6" s="23" t="s">
        <v>15</v>
      </c>
      <c r="F6" s="21" t="s">
        <v>2579</v>
      </c>
      <c r="G6" s="21" t="s">
        <v>2580</v>
      </c>
      <c r="H6" s="21" t="s">
        <v>2581</v>
      </c>
      <c r="I6" s="25" t="s">
        <v>56</v>
      </c>
      <c r="J6" s="26" t="s">
        <v>41</v>
      </c>
      <c r="K6" s="21"/>
      <c r="L6" s="54"/>
      <c r="M6" s="26" t="s">
        <v>2585</v>
      </c>
    </row>
    <row r="7" ht="30.0" customHeight="1">
      <c r="A7" s="27" t="s">
        <v>2549</v>
      </c>
      <c r="B7" s="19" t="s">
        <v>38</v>
      </c>
      <c r="C7" s="28" t="s">
        <v>2589</v>
      </c>
      <c r="D7" s="28" t="s">
        <v>528</v>
      </c>
      <c r="E7" s="23" t="s">
        <v>15</v>
      </c>
      <c r="F7" s="28" t="s">
        <v>2591</v>
      </c>
      <c r="G7" s="28" t="s">
        <v>2592</v>
      </c>
      <c r="H7" s="28" t="s">
        <v>2593</v>
      </c>
      <c r="I7" s="41" t="s">
        <v>56</v>
      </c>
      <c r="J7" s="26" t="s">
        <v>41</v>
      </c>
      <c r="K7" s="28"/>
      <c r="L7" s="55"/>
      <c r="M7" s="26" t="s">
        <v>59</v>
      </c>
    </row>
    <row r="8" ht="30.0" customHeight="1">
      <c r="A8" s="18" t="s">
        <v>2550</v>
      </c>
      <c r="B8" s="19" t="s">
        <v>38</v>
      </c>
      <c r="C8" s="21" t="s">
        <v>2596</v>
      </c>
      <c r="D8" s="21" t="s">
        <v>2551</v>
      </c>
      <c r="E8" s="23" t="s">
        <v>15</v>
      </c>
      <c r="F8" s="21" t="s">
        <v>2597</v>
      </c>
      <c r="G8" s="21" t="s">
        <v>2599</v>
      </c>
      <c r="H8" s="21" t="s">
        <v>2600</v>
      </c>
      <c r="I8" s="25" t="s">
        <v>56</v>
      </c>
      <c r="J8" s="26" t="s">
        <v>41</v>
      </c>
      <c r="K8" s="21"/>
      <c r="L8" s="54" t="s">
        <v>2601</v>
      </c>
      <c r="M8" s="26" t="s">
        <v>2603</v>
      </c>
    </row>
    <row r="9" ht="30.0" customHeight="1">
      <c r="A9" s="27" t="s">
        <v>2552</v>
      </c>
      <c r="B9" s="19" t="s">
        <v>505</v>
      </c>
      <c r="C9" s="28" t="s">
        <v>2605</v>
      </c>
      <c r="D9" s="28" t="s">
        <v>868</v>
      </c>
      <c r="E9" s="23" t="s">
        <v>15</v>
      </c>
      <c r="F9" s="28" t="s">
        <v>2610</v>
      </c>
      <c r="G9" s="28" t="s">
        <v>2611</v>
      </c>
      <c r="H9" s="28" t="s">
        <v>2612</v>
      </c>
      <c r="I9" s="41" t="s">
        <v>56</v>
      </c>
      <c r="J9" s="26" t="s">
        <v>41</v>
      </c>
      <c r="K9" s="28"/>
      <c r="L9" s="55"/>
      <c r="M9" s="26" t="s">
        <v>59</v>
      </c>
    </row>
    <row r="10" ht="18.0" customHeight="1">
      <c r="A10" s="16" t="s">
        <v>2613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5"/>
    </row>
    <row r="11" ht="30.0" customHeight="1">
      <c r="A11" s="18" t="s">
        <v>2553</v>
      </c>
      <c r="B11" s="19" t="s">
        <v>1732</v>
      </c>
      <c r="C11" s="21" t="s">
        <v>2615</v>
      </c>
      <c r="D11" s="21" t="s">
        <v>2555</v>
      </c>
      <c r="E11" s="23" t="s">
        <v>15</v>
      </c>
      <c r="F11" s="21" t="s">
        <v>2617</v>
      </c>
      <c r="G11" s="21" t="s">
        <v>2618</v>
      </c>
      <c r="H11" s="21" t="s">
        <v>2619</v>
      </c>
      <c r="I11" s="21" t="s">
        <v>55</v>
      </c>
      <c r="J11" s="26" t="s">
        <v>41</v>
      </c>
      <c r="K11" s="21"/>
      <c r="L11" s="54"/>
      <c r="M11" s="26" t="s">
        <v>59</v>
      </c>
    </row>
    <row r="12" ht="30.0" customHeight="1">
      <c r="A12" s="27" t="s">
        <v>2556</v>
      </c>
      <c r="B12" s="19" t="s">
        <v>505</v>
      </c>
      <c r="C12" s="28" t="s">
        <v>2623</v>
      </c>
      <c r="D12" s="28" t="s">
        <v>2557</v>
      </c>
      <c r="E12" s="23" t="s">
        <v>15</v>
      </c>
      <c r="F12" s="28" t="s">
        <v>2625</v>
      </c>
      <c r="G12" s="28" t="s">
        <v>751</v>
      </c>
      <c r="H12" s="28" t="s">
        <v>2627</v>
      </c>
      <c r="I12" s="41" t="s">
        <v>56</v>
      </c>
      <c r="J12" s="26" t="s">
        <v>41</v>
      </c>
      <c r="K12" s="28"/>
      <c r="L12" s="55"/>
      <c r="M12" s="26" t="s">
        <v>2629</v>
      </c>
    </row>
    <row r="13" ht="30.0" customHeight="1">
      <c r="A13" s="18" t="s">
        <v>2558</v>
      </c>
      <c r="B13" s="19" t="s">
        <v>505</v>
      </c>
      <c r="C13" s="21" t="s">
        <v>2630</v>
      </c>
      <c r="D13" s="21" t="s">
        <v>2559</v>
      </c>
      <c r="E13" s="23" t="s">
        <v>15</v>
      </c>
      <c r="F13" s="21" t="s">
        <v>2632</v>
      </c>
      <c r="G13" s="21" t="s">
        <v>2633</v>
      </c>
      <c r="H13" s="21" t="s">
        <v>2634</v>
      </c>
      <c r="I13" s="25" t="s">
        <v>56</v>
      </c>
      <c r="J13" s="26" t="s">
        <v>41</v>
      </c>
      <c r="K13" s="21"/>
      <c r="L13" s="54" t="s">
        <v>2637</v>
      </c>
      <c r="M13" s="26" t="s">
        <v>2638</v>
      </c>
    </row>
    <row r="14" ht="30.0" customHeight="1">
      <c r="A14" s="27" t="s">
        <v>2560</v>
      </c>
      <c r="B14" s="19" t="s">
        <v>38</v>
      </c>
      <c r="C14" s="28" t="s">
        <v>2640</v>
      </c>
      <c r="D14" s="28" t="s">
        <v>2210</v>
      </c>
      <c r="E14" s="23" t="s">
        <v>15</v>
      </c>
      <c r="F14" s="28" t="s">
        <v>2642</v>
      </c>
      <c r="G14" s="28" t="s">
        <v>2644</v>
      </c>
      <c r="H14" s="28" t="s">
        <v>2645</v>
      </c>
      <c r="I14" s="41" t="s">
        <v>56</v>
      </c>
      <c r="J14" s="26" t="s">
        <v>41</v>
      </c>
      <c r="K14" s="28"/>
      <c r="L14" s="55"/>
      <c r="M14" s="26" t="s">
        <v>59</v>
      </c>
    </row>
    <row r="15" ht="18.0" customHeight="1">
      <c r="A15" s="16" t="s">
        <v>2650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5"/>
    </row>
    <row r="16" ht="30.0" customHeight="1">
      <c r="A16" s="18" t="s">
        <v>2561</v>
      </c>
      <c r="B16" s="19" t="s">
        <v>38</v>
      </c>
      <c r="C16" s="21" t="s">
        <v>2654</v>
      </c>
      <c r="D16" s="21" t="s">
        <v>2563</v>
      </c>
      <c r="E16" s="23" t="s">
        <v>15</v>
      </c>
      <c r="F16" s="21" t="s">
        <v>2656</v>
      </c>
      <c r="G16" s="21" t="s">
        <v>2657</v>
      </c>
      <c r="H16" s="21" t="s">
        <v>2658</v>
      </c>
      <c r="I16" s="25" t="s">
        <v>56</v>
      </c>
      <c r="J16" s="26" t="s">
        <v>41</v>
      </c>
      <c r="K16" s="21"/>
      <c r="L16" s="54"/>
      <c r="M16" s="26" t="s">
        <v>59</v>
      </c>
    </row>
    <row r="17" ht="30.0" customHeight="1">
      <c r="A17" s="27" t="s">
        <v>2564</v>
      </c>
      <c r="B17" s="19" t="s">
        <v>42</v>
      </c>
      <c r="C17" s="28" t="s">
        <v>2663</v>
      </c>
      <c r="D17" s="28" t="s">
        <v>1283</v>
      </c>
      <c r="E17" s="23" t="s">
        <v>15</v>
      </c>
      <c r="F17" s="28" t="s">
        <v>2666</v>
      </c>
      <c r="G17" s="28" t="s">
        <v>2667</v>
      </c>
      <c r="H17" s="28" t="s">
        <v>2669</v>
      </c>
      <c r="I17" s="28" t="s">
        <v>55</v>
      </c>
      <c r="J17" s="26" t="s">
        <v>41</v>
      </c>
      <c r="K17" s="28"/>
      <c r="L17" s="55"/>
      <c r="M17" s="26" t="s">
        <v>59</v>
      </c>
    </row>
    <row r="18" ht="30.0" customHeight="1">
      <c r="A18" s="18" t="s">
        <v>2565</v>
      </c>
      <c r="B18" s="19" t="s">
        <v>42</v>
      </c>
      <c r="C18" s="21" t="s">
        <v>2673</v>
      </c>
      <c r="D18" s="21" t="s">
        <v>1559</v>
      </c>
      <c r="E18" s="32" t="s">
        <v>32</v>
      </c>
      <c r="F18" s="21" t="s">
        <v>2675</v>
      </c>
      <c r="G18" s="21" t="s">
        <v>2676</v>
      </c>
      <c r="H18" s="21" t="s">
        <v>2677</v>
      </c>
      <c r="I18" s="21" t="s">
        <v>55</v>
      </c>
      <c r="J18" s="26" t="s">
        <v>41</v>
      </c>
      <c r="K18" s="21"/>
      <c r="L18" s="54"/>
      <c r="M18" s="26" t="s">
        <v>59</v>
      </c>
    </row>
    <row r="19" ht="30.0" customHeight="1">
      <c r="A19" s="27" t="s">
        <v>2566</v>
      </c>
      <c r="B19" s="19" t="s">
        <v>1846</v>
      </c>
      <c r="C19" s="28" t="s">
        <v>2681</v>
      </c>
      <c r="D19" s="28" t="s">
        <v>2567</v>
      </c>
      <c r="E19" s="23" t="s">
        <v>15</v>
      </c>
      <c r="F19" s="28" t="s">
        <v>2682</v>
      </c>
      <c r="G19" s="28" t="s">
        <v>2684</v>
      </c>
      <c r="H19" s="28" t="s">
        <v>2685</v>
      </c>
      <c r="I19" s="41" t="s">
        <v>56</v>
      </c>
      <c r="J19" s="26" t="s">
        <v>41</v>
      </c>
      <c r="K19" s="28"/>
      <c r="L19" s="55"/>
      <c r="M19" s="26" t="s">
        <v>59</v>
      </c>
    </row>
    <row r="20" ht="15.0" customHeight="1">
      <c r="A20" s="52" t="s">
        <v>203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5"/>
    </row>
    <row r="21" ht="53.25" customHeight="1">
      <c r="A21" s="26" t="s">
        <v>207</v>
      </c>
      <c r="B21" s="26" t="s">
        <v>209</v>
      </c>
      <c r="C21" s="26" t="s">
        <v>211</v>
      </c>
      <c r="D21" s="26" t="s">
        <v>212</v>
      </c>
      <c r="E21" s="26" t="s">
        <v>25</v>
      </c>
      <c r="F21" s="26" t="s">
        <v>215</v>
      </c>
      <c r="G21" s="26" t="s">
        <v>217</v>
      </c>
      <c r="H21" s="26" t="s">
        <v>218</v>
      </c>
      <c r="I21" s="26" t="s">
        <v>55</v>
      </c>
      <c r="J21" s="26" t="s">
        <v>54</v>
      </c>
      <c r="K21" s="26"/>
      <c r="L21" s="2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L1"/>
    <mergeCell ref="A2:L2"/>
    <mergeCell ref="A5:L5"/>
    <mergeCell ref="A10:L10"/>
    <mergeCell ref="A15:L15"/>
    <mergeCell ref="A20:L20"/>
  </mergeCells>
  <dataValidations>
    <dataValidation type="list" allowBlank="1" sqref="E6:E9 E11:E14 E16:E19 E21">
      <formula1>"P1,P2,P3"</formula1>
    </dataValidation>
    <dataValidation type="list" allowBlank="1" sqref="J6:J9 J11:J14 J16:J19 J21">
      <formula1>"Not Run,Pass,Fail,Blocked,Skip,N/A"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52.0"/>
    <col customWidth="1" min="4" max="4" width="22.0"/>
    <col customWidth="1" min="5" max="5" width="9.0"/>
    <col customWidth="1" min="6" max="6" width="30.0"/>
    <col customWidth="1" min="7" max="7" width="26.0"/>
    <col customWidth="1" min="8" max="8" width="30.0"/>
    <col customWidth="1" min="9" max="9" width="11.0"/>
    <col customWidth="1" min="10" max="11" width="10.0"/>
    <col customWidth="1" min="12" max="12" width="46.0"/>
    <col customWidth="1" min="13" max="26" width="8.71"/>
  </cols>
  <sheetData>
    <row r="1" ht="25.5" customHeight="1">
      <c r="A1" s="1" t="s">
        <v>2568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25.5" customHeight="1">
      <c r="A2" s="61" t="s">
        <v>2570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4" ht="25.5" customHeight="1">
      <c r="A4" s="12" t="s">
        <v>10</v>
      </c>
      <c r="B4" s="12" t="s">
        <v>12</v>
      </c>
      <c r="C4" s="12" t="s">
        <v>14</v>
      </c>
      <c r="D4" s="12" t="s">
        <v>16</v>
      </c>
      <c r="E4" s="12" t="s">
        <v>17</v>
      </c>
      <c r="F4" s="12" t="s">
        <v>19</v>
      </c>
      <c r="G4" s="12" t="s">
        <v>20</v>
      </c>
      <c r="H4" s="12" t="s">
        <v>21</v>
      </c>
      <c r="I4" s="12" t="s">
        <v>23</v>
      </c>
      <c r="J4" s="12" t="s">
        <v>24</v>
      </c>
      <c r="K4" s="12" t="s">
        <v>26</v>
      </c>
      <c r="L4" s="12" t="s">
        <v>27</v>
      </c>
    </row>
    <row r="5" ht="18.0" customHeight="1">
      <c r="A5" s="16" t="s">
        <v>2571</v>
      </c>
      <c r="B5" s="4"/>
      <c r="C5" s="4"/>
      <c r="D5" s="4"/>
      <c r="E5" s="4"/>
      <c r="F5" s="4"/>
      <c r="G5" s="4"/>
      <c r="H5" s="4"/>
      <c r="I5" s="4"/>
      <c r="J5" s="4"/>
      <c r="K5" s="4"/>
      <c r="L5" s="5"/>
    </row>
    <row r="6" ht="49.5" customHeight="1">
      <c r="A6" s="27" t="s">
        <v>2573</v>
      </c>
      <c r="B6" s="19" t="s">
        <v>2574</v>
      </c>
      <c r="C6" s="28" t="s">
        <v>2575</v>
      </c>
      <c r="D6" s="28" t="s">
        <v>2576</v>
      </c>
      <c r="E6" s="30" t="s">
        <v>25</v>
      </c>
      <c r="F6" s="62" t="s">
        <v>2578</v>
      </c>
      <c r="G6" s="28" t="s">
        <v>2582</v>
      </c>
      <c r="H6" s="62" t="s">
        <v>2583</v>
      </c>
      <c r="I6" s="41" t="s">
        <v>2584</v>
      </c>
      <c r="J6" s="63" t="s">
        <v>41</v>
      </c>
      <c r="K6" s="28"/>
      <c r="L6" s="62" t="s">
        <v>2586</v>
      </c>
    </row>
    <row r="7" ht="97.5" customHeight="1">
      <c r="A7" s="18" t="s">
        <v>2587</v>
      </c>
      <c r="B7" s="19" t="s">
        <v>2574</v>
      </c>
      <c r="C7" s="21" t="s">
        <v>2588</v>
      </c>
      <c r="D7" s="21" t="s">
        <v>2576</v>
      </c>
      <c r="E7" s="23" t="s">
        <v>15</v>
      </c>
      <c r="F7" s="64" t="s">
        <v>2578</v>
      </c>
      <c r="G7" s="21" t="s">
        <v>2590</v>
      </c>
      <c r="H7" s="64" t="s">
        <v>2583</v>
      </c>
      <c r="I7" s="25" t="s">
        <v>2584</v>
      </c>
      <c r="J7" s="63" t="s">
        <v>41</v>
      </c>
      <c r="K7" s="21"/>
      <c r="L7" s="64" t="s">
        <v>2586</v>
      </c>
    </row>
    <row r="8" ht="49.5" customHeight="1">
      <c r="A8" s="27" t="s">
        <v>2594</v>
      </c>
      <c r="B8" s="19" t="s">
        <v>2574</v>
      </c>
      <c r="C8" s="28" t="s">
        <v>2595</v>
      </c>
      <c r="D8" s="28" t="s">
        <v>2576</v>
      </c>
      <c r="E8" s="23" t="s">
        <v>15</v>
      </c>
      <c r="F8" s="62" t="s">
        <v>2578</v>
      </c>
      <c r="G8" s="28" t="s">
        <v>2598</v>
      </c>
      <c r="H8" s="62" t="s">
        <v>2583</v>
      </c>
      <c r="I8" s="41" t="s">
        <v>2584</v>
      </c>
      <c r="J8" s="63" t="s">
        <v>41</v>
      </c>
      <c r="K8" s="28"/>
      <c r="L8" s="62" t="s">
        <v>2586</v>
      </c>
    </row>
    <row r="9" ht="18.0" customHeight="1">
      <c r="A9" s="16" t="s">
        <v>2602</v>
      </c>
      <c r="B9" s="4"/>
      <c r="C9" s="4"/>
      <c r="D9" s="4"/>
      <c r="E9" s="4"/>
      <c r="F9" s="4"/>
      <c r="G9" s="4"/>
      <c r="H9" s="4"/>
      <c r="I9" s="4"/>
      <c r="J9" s="4"/>
      <c r="K9" s="4"/>
      <c r="L9" s="5"/>
    </row>
    <row r="10" ht="37.5" customHeight="1">
      <c r="A10" s="18" t="s">
        <v>2604</v>
      </c>
      <c r="B10" s="19" t="s">
        <v>2574</v>
      </c>
      <c r="C10" s="21" t="s">
        <v>2606</v>
      </c>
      <c r="D10" s="21" t="s">
        <v>2576</v>
      </c>
      <c r="E10" s="32" t="s">
        <v>25</v>
      </c>
      <c r="F10" s="64" t="s">
        <v>2578</v>
      </c>
      <c r="G10" s="21" t="s">
        <v>2607</v>
      </c>
      <c r="H10" s="64" t="s">
        <v>2583</v>
      </c>
      <c r="I10" s="21" t="s">
        <v>55</v>
      </c>
      <c r="J10" s="63" t="s">
        <v>41</v>
      </c>
      <c r="K10" s="21"/>
      <c r="L10" s="64" t="s">
        <v>2608</v>
      </c>
    </row>
    <row r="11" ht="49.5" customHeight="1">
      <c r="A11" s="27" t="s">
        <v>2609</v>
      </c>
      <c r="B11" s="19" t="s">
        <v>2574</v>
      </c>
      <c r="C11" s="28" t="s">
        <v>2614</v>
      </c>
      <c r="D11" s="28" t="s">
        <v>2576</v>
      </c>
      <c r="E11" s="30" t="s">
        <v>25</v>
      </c>
      <c r="F11" s="62" t="s">
        <v>2578</v>
      </c>
      <c r="G11" s="28" t="s">
        <v>2616</v>
      </c>
      <c r="H11" s="62" t="s">
        <v>2583</v>
      </c>
      <c r="I11" s="41" t="s">
        <v>2584</v>
      </c>
      <c r="J11" s="63" t="s">
        <v>41</v>
      </c>
      <c r="K11" s="28"/>
      <c r="L11" s="62" t="s">
        <v>2608</v>
      </c>
    </row>
    <row r="12" ht="49.5" customHeight="1">
      <c r="A12" s="18" t="s">
        <v>2620</v>
      </c>
      <c r="B12" s="19" t="s">
        <v>2574</v>
      </c>
      <c r="C12" s="21" t="s">
        <v>2621</v>
      </c>
      <c r="D12" s="21" t="s">
        <v>2576</v>
      </c>
      <c r="E12" s="32" t="s">
        <v>25</v>
      </c>
      <c r="F12" s="64" t="s">
        <v>2578</v>
      </c>
      <c r="G12" s="21" t="s">
        <v>2622</v>
      </c>
      <c r="H12" s="64" t="s">
        <v>2583</v>
      </c>
      <c r="I12" s="25" t="s">
        <v>2584</v>
      </c>
      <c r="J12" s="63" t="s">
        <v>41</v>
      </c>
      <c r="K12" s="21"/>
      <c r="L12" s="64" t="s">
        <v>2608</v>
      </c>
    </row>
    <row r="13" ht="49.5" customHeight="1">
      <c r="A13" s="27" t="s">
        <v>2624</v>
      </c>
      <c r="B13" s="19" t="s">
        <v>2574</v>
      </c>
      <c r="C13" s="28" t="s">
        <v>2626</v>
      </c>
      <c r="D13" s="28" t="s">
        <v>2576</v>
      </c>
      <c r="E13" s="30" t="s">
        <v>25</v>
      </c>
      <c r="F13" s="62" t="s">
        <v>2578</v>
      </c>
      <c r="G13" s="28" t="s">
        <v>2628</v>
      </c>
      <c r="H13" s="62" t="s">
        <v>2583</v>
      </c>
      <c r="I13" s="41" t="s">
        <v>2584</v>
      </c>
      <c r="J13" s="63" t="s">
        <v>41</v>
      </c>
      <c r="K13" s="28"/>
      <c r="L13" s="62" t="s">
        <v>2608</v>
      </c>
    </row>
    <row r="14" ht="18.0" customHeight="1">
      <c r="A14" s="16" t="s">
        <v>2631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5"/>
    </row>
    <row r="15" ht="37.5" customHeight="1">
      <c r="A15" s="18" t="s">
        <v>2635</v>
      </c>
      <c r="B15" s="19" t="s">
        <v>2574</v>
      </c>
      <c r="C15" s="21" t="s">
        <v>2636</v>
      </c>
      <c r="D15" s="21" t="s">
        <v>2576</v>
      </c>
      <c r="E15" s="32" t="s">
        <v>25</v>
      </c>
      <c r="F15" s="64" t="s">
        <v>2578</v>
      </c>
      <c r="G15" s="21" t="s">
        <v>2639</v>
      </c>
      <c r="H15" s="64" t="s">
        <v>2583</v>
      </c>
      <c r="I15" s="21" t="s">
        <v>55</v>
      </c>
      <c r="J15" s="63" t="s">
        <v>41</v>
      </c>
      <c r="K15" s="21"/>
      <c r="L15" s="64" t="s">
        <v>2641</v>
      </c>
    </row>
    <row r="16" ht="37.5" customHeight="1">
      <c r="A16" s="27" t="s">
        <v>2643</v>
      </c>
      <c r="B16" s="19" t="s">
        <v>2574</v>
      </c>
      <c r="C16" s="28" t="s">
        <v>2646</v>
      </c>
      <c r="D16" s="28" t="s">
        <v>2576</v>
      </c>
      <c r="E16" s="30" t="s">
        <v>25</v>
      </c>
      <c r="F16" s="62" t="s">
        <v>2578</v>
      </c>
      <c r="G16" s="28" t="s">
        <v>2647</v>
      </c>
      <c r="H16" s="62" t="s">
        <v>2583</v>
      </c>
      <c r="I16" s="41" t="s">
        <v>56</v>
      </c>
      <c r="J16" s="63" t="s">
        <v>41</v>
      </c>
      <c r="K16" s="28"/>
      <c r="L16" s="62" t="s">
        <v>2641</v>
      </c>
    </row>
    <row r="17" ht="49.5" customHeight="1">
      <c r="A17" s="18" t="s">
        <v>2648</v>
      </c>
      <c r="B17" s="19" t="s">
        <v>2574</v>
      </c>
      <c r="C17" s="21" t="s">
        <v>2649</v>
      </c>
      <c r="D17" s="21" t="s">
        <v>2576</v>
      </c>
      <c r="E17" s="32" t="s">
        <v>25</v>
      </c>
      <c r="F17" s="64" t="s">
        <v>2578</v>
      </c>
      <c r="G17" s="21" t="s">
        <v>2651</v>
      </c>
      <c r="H17" s="64" t="s">
        <v>2583</v>
      </c>
      <c r="I17" s="25" t="s">
        <v>2584</v>
      </c>
      <c r="J17" s="63" t="s">
        <v>41</v>
      </c>
      <c r="K17" s="21"/>
      <c r="L17" s="64" t="s">
        <v>2641</v>
      </c>
    </row>
    <row r="18" ht="37.5" customHeight="1">
      <c r="A18" s="27" t="s">
        <v>2652</v>
      </c>
      <c r="B18" s="19" t="s">
        <v>2574</v>
      </c>
      <c r="C18" s="28" t="s">
        <v>2653</v>
      </c>
      <c r="D18" s="28" t="s">
        <v>2576</v>
      </c>
      <c r="E18" s="30" t="s">
        <v>25</v>
      </c>
      <c r="F18" s="62" t="s">
        <v>2578</v>
      </c>
      <c r="G18" s="28" t="s">
        <v>2655</v>
      </c>
      <c r="H18" s="62" t="s">
        <v>2583</v>
      </c>
      <c r="I18" s="41" t="s">
        <v>56</v>
      </c>
      <c r="J18" s="63" t="s">
        <v>41</v>
      </c>
      <c r="K18" s="28"/>
      <c r="L18" s="62" t="s">
        <v>2641</v>
      </c>
    </row>
    <row r="19" ht="18.0" customHeight="1">
      <c r="A19" s="16" t="s">
        <v>2659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5"/>
    </row>
    <row r="20" ht="37.5" customHeight="1">
      <c r="A20" s="18" t="s">
        <v>2660</v>
      </c>
      <c r="B20" s="19" t="s">
        <v>2574</v>
      </c>
      <c r="C20" s="21" t="s">
        <v>2661</v>
      </c>
      <c r="D20" s="21" t="s">
        <v>2576</v>
      </c>
      <c r="E20" s="32" t="s">
        <v>25</v>
      </c>
      <c r="F20" s="64" t="s">
        <v>2578</v>
      </c>
      <c r="G20" s="21" t="s">
        <v>2662</v>
      </c>
      <c r="H20" s="64" t="s">
        <v>2583</v>
      </c>
      <c r="I20" s="21" t="s">
        <v>55</v>
      </c>
      <c r="J20" s="63" t="s">
        <v>41</v>
      </c>
      <c r="K20" s="21"/>
      <c r="L20" s="64" t="s">
        <v>2664</v>
      </c>
    </row>
    <row r="21" ht="37.5" customHeight="1">
      <c r="A21" s="27" t="s">
        <v>2665</v>
      </c>
      <c r="B21" s="19" t="s">
        <v>2574</v>
      </c>
      <c r="C21" s="28" t="s">
        <v>2668</v>
      </c>
      <c r="D21" s="28" t="s">
        <v>2576</v>
      </c>
      <c r="E21" s="30" t="s">
        <v>25</v>
      </c>
      <c r="F21" s="62" t="s">
        <v>2578</v>
      </c>
      <c r="G21" s="28" t="s">
        <v>2670</v>
      </c>
      <c r="H21" s="62" t="s">
        <v>2583</v>
      </c>
      <c r="I21" s="41" t="s">
        <v>56</v>
      </c>
      <c r="J21" s="63" t="s">
        <v>41</v>
      </c>
      <c r="K21" s="28"/>
      <c r="L21" s="62" t="s">
        <v>2664</v>
      </c>
    </row>
    <row r="22" ht="49.5" customHeight="1">
      <c r="A22" s="18" t="s">
        <v>2671</v>
      </c>
      <c r="B22" s="19" t="s">
        <v>2574</v>
      </c>
      <c r="C22" s="21" t="s">
        <v>2672</v>
      </c>
      <c r="D22" s="21" t="s">
        <v>2576</v>
      </c>
      <c r="E22" s="32" t="s">
        <v>25</v>
      </c>
      <c r="F22" s="64" t="s">
        <v>2578</v>
      </c>
      <c r="G22" s="21" t="s">
        <v>2674</v>
      </c>
      <c r="H22" s="64" t="s">
        <v>2583</v>
      </c>
      <c r="I22" s="25" t="s">
        <v>2584</v>
      </c>
      <c r="J22" s="63" t="s">
        <v>41</v>
      </c>
      <c r="K22" s="21"/>
      <c r="L22" s="64" t="s">
        <v>2664</v>
      </c>
    </row>
    <row r="23" ht="37.5" customHeight="1">
      <c r="A23" s="27" t="s">
        <v>2678</v>
      </c>
      <c r="B23" s="19" t="s">
        <v>2574</v>
      </c>
      <c r="C23" s="28" t="s">
        <v>2679</v>
      </c>
      <c r="D23" s="28" t="s">
        <v>2576</v>
      </c>
      <c r="E23" s="30" t="s">
        <v>25</v>
      </c>
      <c r="F23" s="62" t="s">
        <v>2578</v>
      </c>
      <c r="G23" s="28" t="s">
        <v>2680</v>
      </c>
      <c r="H23" s="62" t="s">
        <v>2583</v>
      </c>
      <c r="I23" s="41" t="s">
        <v>56</v>
      </c>
      <c r="J23" s="63" t="s">
        <v>41</v>
      </c>
      <c r="K23" s="28"/>
      <c r="L23" s="62" t="s">
        <v>2664</v>
      </c>
    </row>
    <row r="24" ht="18.0" customHeight="1">
      <c r="A24" s="16" t="s">
        <v>2683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5"/>
    </row>
    <row r="25" ht="37.5" customHeight="1">
      <c r="A25" s="18" t="s">
        <v>2686</v>
      </c>
      <c r="B25" s="19" t="s">
        <v>2574</v>
      </c>
      <c r="C25" s="21" t="s">
        <v>2687</v>
      </c>
      <c r="D25" s="21" t="s">
        <v>2576</v>
      </c>
      <c r="E25" s="32" t="s">
        <v>25</v>
      </c>
      <c r="F25" s="64" t="s">
        <v>2578</v>
      </c>
      <c r="G25" s="21" t="s">
        <v>2688</v>
      </c>
      <c r="H25" s="64" t="s">
        <v>2583</v>
      </c>
      <c r="I25" s="21" t="s">
        <v>55</v>
      </c>
      <c r="J25" s="63" t="s">
        <v>41</v>
      </c>
      <c r="K25" s="21"/>
      <c r="L25" s="64" t="s">
        <v>2689</v>
      </c>
    </row>
    <row r="26" ht="37.5" customHeight="1">
      <c r="A26" s="27" t="s">
        <v>2690</v>
      </c>
      <c r="B26" s="19" t="s">
        <v>2574</v>
      </c>
      <c r="C26" s="28" t="s">
        <v>2691</v>
      </c>
      <c r="D26" s="28" t="s">
        <v>2576</v>
      </c>
      <c r="E26" s="30" t="s">
        <v>25</v>
      </c>
      <c r="F26" s="62" t="s">
        <v>2578</v>
      </c>
      <c r="G26" s="28" t="s">
        <v>2692</v>
      </c>
      <c r="H26" s="62" t="s">
        <v>2583</v>
      </c>
      <c r="I26" s="41" t="s">
        <v>56</v>
      </c>
      <c r="J26" s="63" t="s">
        <v>41</v>
      </c>
      <c r="K26" s="28"/>
      <c r="L26" s="62" t="s">
        <v>2689</v>
      </c>
    </row>
    <row r="27" ht="49.5" customHeight="1">
      <c r="A27" s="18" t="s">
        <v>2693</v>
      </c>
      <c r="B27" s="19" t="s">
        <v>2574</v>
      </c>
      <c r="C27" s="21" t="s">
        <v>2694</v>
      </c>
      <c r="D27" s="21" t="s">
        <v>2576</v>
      </c>
      <c r="E27" s="23" t="s">
        <v>15</v>
      </c>
      <c r="F27" s="64" t="s">
        <v>2578</v>
      </c>
      <c r="G27" s="21" t="s">
        <v>2695</v>
      </c>
      <c r="H27" s="64" t="s">
        <v>2583</v>
      </c>
      <c r="I27" s="25" t="s">
        <v>56</v>
      </c>
      <c r="J27" s="63" t="s">
        <v>41</v>
      </c>
      <c r="K27" s="21"/>
      <c r="L27" s="64" t="s">
        <v>2689</v>
      </c>
    </row>
    <row r="28" ht="49.5" customHeight="1">
      <c r="A28" s="27" t="s">
        <v>2696</v>
      </c>
      <c r="B28" s="19" t="s">
        <v>2574</v>
      </c>
      <c r="C28" s="28" t="s">
        <v>2697</v>
      </c>
      <c r="D28" s="28" t="s">
        <v>2576</v>
      </c>
      <c r="E28" s="23" t="s">
        <v>15</v>
      </c>
      <c r="F28" s="62" t="s">
        <v>2578</v>
      </c>
      <c r="G28" s="28" t="s">
        <v>2698</v>
      </c>
      <c r="H28" s="62" t="s">
        <v>2583</v>
      </c>
      <c r="I28" s="41" t="s">
        <v>56</v>
      </c>
      <c r="J28" s="63" t="s">
        <v>41</v>
      </c>
      <c r="K28" s="28"/>
      <c r="L28" s="62" t="s">
        <v>2689</v>
      </c>
    </row>
    <row r="29" ht="49.5" customHeight="1">
      <c r="A29" s="18" t="s">
        <v>2699</v>
      </c>
      <c r="B29" s="19" t="s">
        <v>2574</v>
      </c>
      <c r="C29" s="21" t="s">
        <v>2700</v>
      </c>
      <c r="D29" s="21" t="s">
        <v>2576</v>
      </c>
      <c r="E29" s="32" t="s">
        <v>25</v>
      </c>
      <c r="F29" s="64" t="s">
        <v>2578</v>
      </c>
      <c r="G29" s="21" t="s">
        <v>2701</v>
      </c>
      <c r="H29" s="64" t="s">
        <v>2583</v>
      </c>
      <c r="I29" s="25" t="s">
        <v>2584</v>
      </c>
      <c r="J29" s="63" t="s">
        <v>41</v>
      </c>
      <c r="K29" s="21"/>
      <c r="L29" s="64" t="s">
        <v>2689</v>
      </c>
    </row>
    <row r="30" ht="18.0" customHeight="1">
      <c r="A30" s="16" t="s">
        <v>2702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5"/>
    </row>
    <row r="31" ht="49.5" customHeight="1">
      <c r="A31" s="27" t="s">
        <v>2703</v>
      </c>
      <c r="B31" s="19" t="s">
        <v>2574</v>
      </c>
      <c r="C31" s="28" t="s">
        <v>2704</v>
      </c>
      <c r="D31" s="28" t="s">
        <v>2576</v>
      </c>
      <c r="E31" s="30" t="s">
        <v>25</v>
      </c>
      <c r="F31" s="62" t="s">
        <v>2578</v>
      </c>
      <c r="G31" s="28" t="s">
        <v>2705</v>
      </c>
      <c r="H31" s="62" t="s">
        <v>2583</v>
      </c>
      <c r="I31" s="41" t="s">
        <v>2584</v>
      </c>
      <c r="J31" s="63" t="s">
        <v>41</v>
      </c>
      <c r="K31" s="28"/>
      <c r="L31" s="62" t="s">
        <v>2706</v>
      </c>
    </row>
    <row r="32" ht="37.5" customHeight="1">
      <c r="A32" s="18" t="s">
        <v>2707</v>
      </c>
      <c r="B32" s="19" t="s">
        <v>2574</v>
      </c>
      <c r="C32" s="21" t="s">
        <v>2708</v>
      </c>
      <c r="D32" s="21" t="s">
        <v>2576</v>
      </c>
      <c r="E32" s="32" t="s">
        <v>25</v>
      </c>
      <c r="F32" s="64" t="s">
        <v>2578</v>
      </c>
      <c r="G32" s="21" t="s">
        <v>2709</v>
      </c>
      <c r="H32" s="64" t="s">
        <v>2583</v>
      </c>
      <c r="I32" s="25" t="s">
        <v>56</v>
      </c>
      <c r="J32" s="63" t="s">
        <v>41</v>
      </c>
      <c r="K32" s="21"/>
      <c r="L32" s="64" t="s">
        <v>2706</v>
      </c>
    </row>
    <row r="33" ht="61.5" customHeight="1">
      <c r="A33" s="27" t="s">
        <v>2710</v>
      </c>
      <c r="B33" s="19" t="s">
        <v>2574</v>
      </c>
      <c r="C33" s="28" t="s">
        <v>2711</v>
      </c>
      <c r="D33" s="28" t="s">
        <v>2576</v>
      </c>
      <c r="E33" s="23" t="s">
        <v>15</v>
      </c>
      <c r="F33" s="62" t="s">
        <v>2578</v>
      </c>
      <c r="G33" s="28" t="s">
        <v>2712</v>
      </c>
      <c r="H33" s="62" t="s">
        <v>2583</v>
      </c>
      <c r="I33" s="41" t="s">
        <v>2584</v>
      </c>
      <c r="J33" s="63" t="s">
        <v>41</v>
      </c>
      <c r="K33" s="28"/>
      <c r="L33" s="62" t="s">
        <v>2706</v>
      </c>
    </row>
    <row r="34" ht="49.5" customHeight="1">
      <c r="A34" s="18" t="s">
        <v>2713</v>
      </c>
      <c r="B34" s="19" t="s">
        <v>2574</v>
      </c>
      <c r="C34" s="21" t="s">
        <v>2714</v>
      </c>
      <c r="D34" s="21" t="s">
        <v>2576</v>
      </c>
      <c r="E34" s="23" t="s">
        <v>15</v>
      </c>
      <c r="F34" s="64" t="s">
        <v>2578</v>
      </c>
      <c r="G34" s="21" t="s">
        <v>2715</v>
      </c>
      <c r="H34" s="64" t="s">
        <v>2583</v>
      </c>
      <c r="I34" s="25" t="s">
        <v>56</v>
      </c>
      <c r="J34" s="63" t="s">
        <v>41</v>
      </c>
      <c r="K34" s="21"/>
      <c r="L34" s="65" t="s">
        <v>2716</v>
      </c>
    </row>
    <row r="35" ht="49.5" customHeight="1">
      <c r="A35" s="27" t="s">
        <v>2717</v>
      </c>
      <c r="B35" s="19" t="s">
        <v>2574</v>
      </c>
      <c r="C35" s="28" t="s">
        <v>2718</v>
      </c>
      <c r="D35" s="28" t="s">
        <v>2576</v>
      </c>
      <c r="E35" s="23" t="s">
        <v>15</v>
      </c>
      <c r="F35" s="62" t="s">
        <v>2578</v>
      </c>
      <c r="G35" s="28" t="s">
        <v>2719</v>
      </c>
      <c r="H35" s="62" t="s">
        <v>2583</v>
      </c>
      <c r="I35" s="41" t="s">
        <v>2584</v>
      </c>
      <c r="J35" s="63" t="s">
        <v>41</v>
      </c>
      <c r="K35" s="28"/>
      <c r="L35" s="62" t="s">
        <v>2706</v>
      </c>
    </row>
    <row r="36" ht="49.5" customHeight="1">
      <c r="A36" s="18" t="s">
        <v>2720</v>
      </c>
      <c r="B36" s="19" t="s">
        <v>2574</v>
      </c>
      <c r="C36" s="21" t="s">
        <v>2721</v>
      </c>
      <c r="D36" s="21" t="s">
        <v>2576</v>
      </c>
      <c r="E36" s="32" t="s">
        <v>25</v>
      </c>
      <c r="F36" s="64" t="s">
        <v>2578</v>
      </c>
      <c r="G36" s="21" t="s">
        <v>2722</v>
      </c>
      <c r="H36" s="64" t="s">
        <v>2583</v>
      </c>
      <c r="I36" s="25" t="s">
        <v>2584</v>
      </c>
      <c r="J36" s="63" t="s">
        <v>41</v>
      </c>
      <c r="K36" s="21"/>
      <c r="L36" s="64" t="s">
        <v>2706</v>
      </c>
    </row>
    <row r="37" ht="73.5" customHeight="1">
      <c r="A37" s="27" t="s">
        <v>2723</v>
      </c>
      <c r="B37" s="19" t="s">
        <v>2574</v>
      </c>
      <c r="C37" s="28" t="s">
        <v>2724</v>
      </c>
      <c r="D37" s="28" t="s">
        <v>2576</v>
      </c>
      <c r="E37" s="23" t="s">
        <v>15</v>
      </c>
      <c r="F37" s="62" t="s">
        <v>2578</v>
      </c>
      <c r="G37" s="28" t="s">
        <v>2725</v>
      </c>
      <c r="H37" s="62" t="s">
        <v>2583</v>
      </c>
      <c r="I37" s="41" t="s">
        <v>2584</v>
      </c>
      <c r="J37" s="63" t="s">
        <v>41</v>
      </c>
      <c r="K37" s="28"/>
      <c r="L37" s="66" t="s">
        <v>2716</v>
      </c>
    </row>
    <row r="38" ht="18.0" customHeight="1">
      <c r="A38" s="16" t="s">
        <v>2726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5"/>
    </row>
    <row r="39" ht="97.5" customHeight="1">
      <c r="A39" s="18" t="s">
        <v>2727</v>
      </c>
      <c r="B39" s="19" t="s">
        <v>2574</v>
      </c>
      <c r="C39" s="21" t="s">
        <v>2728</v>
      </c>
      <c r="D39" s="21" t="s">
        <v>2576</v>
      </c>
      <c r="E39" s="23" t="s">
        <v>15</v>
      </c>
      <c r="F39" s="64" t="s">
        <v>2578</v>
      </c>
      <c r="G39" s="21" t="s">
        <v>2729</v>
      </c>
      <c r="H39" s="64" t="s">
        <v>2583</v>
      </c>
      <c r="I39" s="25" t="s">
        <v>2584</v>
      </c>
      <c r="J39" s="63" t="s">
        <v>41</v>
      </c>
      <c r="K39" s="21"/>
      <c r="L39" s="64" t="s">
        <v>2730</v>
      </c>
    </row>
    <row r="40" ht="18.0" customHeight="1">
      <c r="A40" s="16" t="s">
        <v>2731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5"/>
    </row>
    <row r="41" ht="49.5" customHeight="1">
      <c r="A41" s="27" t="s">
        <v>2732</v>
      </c>
      <c r="B41" s="19" t="s">
        <v>2574</v>
      </c>
      <c r="C41" s="28" t="s">
        <v>2733</v>
      </c>
      <c r="D41" s="28" t="s">
        <v>2576</v>
      </c>
      <c r="E41" s="23" t="s">
        <v>15</v>
      </c>
      <c r="F41" s="62" t="s">
        <v>2578</v>
      </c>
      <c r="G41" s="28" t="s">
        <v>2734</v>
      </c>
      <c r="H41" s="62" t="s">
        <v>2583</v>
      </c>
      <c r="I41" s="41" t="s">
        <v>2584</v>
      </c>
      <c r="J41" s="63" t="s">
        <v>41</v>
      </c>
      <c r="K41" s="28"/>
      <c r="L41" s="62" t="s">
        <v>2735</v>
      </c>
    </row>
    <row r="42" ht="73.5" customHeight="1">
      <c r="A42" s="18" t="s">
        <v>2736</v>
      </c>
      <c r="B42" s="19" t="s">
        <v>2574</v>
      </c>
      <c r="C42" s="21" t="s">
        <v>2737</v>
      </c>
      <c r="D42" s="21" t="s">
        <v>2576</v>
      </c>
      <c r="E42" s="23" t="s">
        <v>15</v>
      </c>
      <c r="F42" s="64" t="s">
        <v>2578</v>
      </c>
      <c r="G42" s="21" t="s">
        <v>2738</v>
      </c>
      <c r="H42" s="64" t="s">
        <v>2583</v>
      </c>
      <c r="I42" s="25" t="s">
        <v>2584</v>
      </c>
      <c r="J42" s="63" t="s">
        <v>41</v>
      </c>
      <c r="K42" s="21"/>
      <c r="L42" s="64" t="s">
        <v>2735</v>
      </c>
    </row>
    <row r="43" ht="61.5" customHeight="1">
      <c r="A43" s="27" t="s">
        <v>2739</v>
      </c>
      <c r="B43" s="19" t="s">
        <v>2574</v>
      </c>
      <c r="C43" s="28" t="s">
        <v>2740</v>
      </c>
      <c r="D43" s="28" t="s">
        <v>2576</v>
      </c>
      <c r="E43" s="23" t="s">
        <v>15</v>
      </c>
      <c r="F43" s="62" t="s">
        <v>2578</v>
      </c>
      <c r="G43" s="28" t="s">
        <v>2741</v>
      </c>
      <c r="H43" s="62" t="s">
        <v>2583</v>
      </c>
      <c r="I43" s="41" t="s">
        <v>2584</v>
      </c>
      <c r="J43" s="63" t="s">
        <v>41</v>
      </c>
      <c r="K43" s="28"/>
      <c r="L43" s="62" t="s">
        <v>2735</v>
      </c>
    </row>
    <row r="44" ht="49.5" customHeight="1">
      <c r="A44" s="18" t="s">
        <v>2742</v>
      </c>
      <c r="B44" s="19" t="s">
        <v>2574</v>
      </c>
      <c r="C44" s="21" t="s">
        <v>2743</v>
      </c>
      <c r="D44" s="21" t="s">
        <v>2576</v>
      </c>
      <c r="E44" s="23" t="s">
        <v>15</v>
      </c>
      <c r="F44" s="64" t="s">
        <v>2578</v>
      </c>
      <c r="G44" s="21" t="s">
        <v>2744</v>
      </c>
      <c r="H44" s="64" t="s">
        <v>2583</v>
      </c>
      <c r="I44" s="25" t="s">
        <v>2584</v>
      </c>
      <c r="J44" s="63" t="s">
        <v>41</v>
      </c>
      <c r="K44" s="21"/>
      <c r="L44" s="64" t="s">
        <v>2735</v>
      </c>
    </row>
    <row r="45" ht="49.5" customHeight="1">
      <c r="A45" s="27" t="s">
        <v>2745</v>
      </c>
      <c r="B45" s="19" t="s">
        <v>2574</v>
      </c>
      <c r="C45" s="28" t="s">
        <v>2746</v>
      </c>
      <c r="D45" s="28" t="s">
        <v>2576</v>
      </c>
      <c r="E45" s="23" t="s">
        <v>15</v>
      </c>
      <c r="F45" s="62" t="s">
        <v>2578</v>
      </c>
      <c r="G45" s="28" t="s">
        <v>2747</v>
      </c>
      <c r="H45" s="62" t="s">
        <v>2583</v>
      </c>
      <c r="I45" s="41" t="s">
        <v>2584</v>
      </c>
      <c r="J45" s="63" t="s">
        <v>41</v>
      </c>
      <c r="K45" s="28"/>
      <c r="L45" s="62" t="s">
        <v>2735</v>
      </c>
    </row>
    <row r="46" ht="18.0" customHeight="1">
      <c r="A46" s="16" t="s">
        <v>2748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5"/>
    </row>
    <row r="47" ht="37.5" customHeight="1">
      <c r="A47" s="18" t="s">
        <v>2749</v>
      </c>
      <c r="B47" s="19" t="s">
        <v>2574</v>
      </c>
      <c r="C47" s="21" t="s">
        <v>2750</v>
      </c>
      <c r="D47" s="21" t="s">
        <v>2576</v>
      </c>
      <c r="E47" s="32" t="s">
        <v>25</v>
      </c>
      <c r="F47" s="64" t="s">
        <v>2578</v>
      </c>
      <c r="G47" s="21" t="s">
        <v>2751</v>
      </c>
      <c r="H47" s="64" t="s">
        <v>2583</v>
      </c>
      <c r="I47" s="21" t="s">
        <v>55</v>
      </c>
      <c r="J47" s="63" t="s">
        <v>41</v>
      </c>
      <c r="K47" s="21"/>
      <c r="L47" s="64" t="s">
        <v>2752</v>
      </c>
    </row>
    <row r="48" ht="49.5" customHeight="1">
      <c r="A48" s="27" t="s">
        <v>2753</v>
      </c>
      <c r="B48" s="19" t="s">
        <v>2574</v>
      </c>
      <c r="C48" s="28" t="s">
        <v>2754</v>
      </c>
      <c r="D48" s="28" t="s">
        <v>2576</v>
      </c>
      <c r="E48" s="30" t="s">
        <v>25</v>
      </c>
      <c r="F48" s="62" t="s">
        <v>2578</v>
      </c>
      <c r="G48" s="28" t="s">
        <v>2755</v>
      </c>
      <c r="H48" s="62" t="s">
        <v>2583</v>
      </c>
      <c r="I48" s="41" t="s">
        <v>2584</v>
      </c>
      <c r="J48" s="63" t="s">
        <v>41</v>
      </c>
      <c r="K48" s="28"/>
      <c r="L48" s="62" t="s">
        <v>2752</v>
      </c>
    </row>
    <row r="49" ht="37.5" customHeight="1">
      <c r="A49" s="18" t="s">
        <v>2756</v>
      </c>
      <c r="B49" s="19" t="s">
        <v>2574</v>
      </c>
      <c r="C49" s="21" t="s">
        <v>2757</v>
      </c>
      <c r="D49" s="21" t="s">
        <v>2576</v>
      </c>
      <c r="E49" s="32" t="s">
        <v>25</v>
      </c>
      <c r="F49" s="64" t="s">
        <v>2578</v>
      </c>
      <c r="G49" s="21" t="s">
        <v>2758</v>
      </c>
      <c r="H49" s="64" t="s">
        <v>2583</v>
      </c>
      <c r="I49" s="21" t="s">
        <v>55</v>
      </c>
      <c r="J49" s="63" t="s">
        <v>41</v>
      </c>
      <c r="K49" s="21"/>
      <c r="L49" s="64" t="s">
        <v>2752</v>
      </c>
    </row>
    <row r="50" ht="37.5" customHeight="1">
      <c r="A50" s="27" t="s">
        <v>2759</v>
      </c>
      <c r="B50" s="19" t="s">
        <v>2574</v>
      </c>
      <c r="C50" s="28" t="s">
        <v>2760</v>
      </c>
      <c r="D50" s="28" t="s">
        <v>2576</v>
      </c>
      <c r="E50" s="30" t="s">
        <v>25</v>
      </c>
      <c r="F50" s="62" t="s">
        <v>2578</v>
      </c>
      <c r="G50" s="28" t="s">
        <v>2761</v>
      </c>
      <c r="H50" s="62" t="s">
        <v>2583</v>
      </c>
      <c r="I50" s="41" t="s">
        <v>56</v>
      </c>
      <c r="J50" s="63" t="s">
        <v>41</v>
      </c>
      <c r="K50" s="28"/>
      <c r="L50" s="62" t="s">
        <v>2752</v>
      </c>
    </row>
    <row r="51" ht="18.0" customHeight="1">
      <c r="A51" s="16" t="s">
        <v>2762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5"/>
    </row>
    <row r="52" ht="49.5" customHeight="1">
      <c r="A52" s="18" t="s">
        <v>2763</v>
      </c>
      <c r="B52" s="19" t="s">
        <v>2574</v>
      </c>
      <c r="C52" s="21" t="s">
        <v>2764</v>
      </c>
      <c r="D52" s="21" t="s">
        <v>2576</v>
      </c>
      <c r="E52" s="23" t="s">
        <v>15</v>
      </c>
      <c r="F52" s="64" t="s">
        <v>2578</v>
      </c>
      <c r="G52" s="21" t="s">
        <v>2765</v>
      </c>
      <c r="H52" s="64" t="s">
        <v>2583</v>
      </c>
      <c r="I52" s="25" t="s">
        <v>2584</v>
      </c>
      <c r="J52" s="63" t="s">
        <v>41</v>
      </c>
      <c r="K52" s="21"/>
      <c r="L52" s="65" t="s">
        <v>2766</v>
      </c>
    </row>
    <row r="53" ht="49.5" customHeight="1">
      <c r="A53" s="27" t="s">
        <v>2767</v>
      </c>
      <c r="B53" s="19" t="s">
        <v>2574</v>
      </c>
      <c r="C53" s="28" t="s">
        <v>2768</v>
      </c>
      <c r="D53" s="28" t="s">
        <v>2576</v>
      </c>
      <c r="E53" s="23" t="s">
        <v>15</v>
      </c>
      <c r="F53" s="62" t="s">
        <v>2578</v>
      </c>
      <c r="G53" s="28" t="s">
        <v>2769</v>
      </c>
      <c r="H53" s="62" t="s">
        <v>2583</v>
      </c>
      <c r="I53" s="41" t="s">
        <v>2584</v>
      </c>
      <c r="J53" s="63" t="s">
        <v>41</v>
      </c>
      <c r="K53" s="28"/>
      <c r="L53" s="66" t="s">
        <v>2766</v>
      </c>
    </row>
    <row r="54" ht="49.5" customHeight="1">
      <c r="A54" s="18" t="s">
        <v>2770</v>
      </c>
      <c r="B54" s="19" t="s">
        <v>2574</v>
      </c>
      <c r="C54" s="21" t="s">
        <v>2771</v>
      </c>
      <c r="D54" s="21" t="s">
        <v>2576</v>
      </c>
      <c r="E54" s="32" t="s">
        <v>25</v>
      </c>
      <c r="F54" s="64" t="s">
        <v>2578</v>
      </c>
      <c r="G54" s="21" t="s">
        <v>2772</v>
      </c>
      <c r="H54" s="64" t="s">
        <v>2583</v>
      </c>
      <c r="I54" s="25" t="s">
        <v>2584</v>
      </c>
      <c r="J54" s="63" t="s">
        <v>41</v>
      </c>
      <c r="K54" s="21"/>
      <c r="L54" s="64" t="s">
        <v>2773</v>
      </c>
    </row>
    <row r="55" ht="37.5" customHeight="1">
      <c r="A55" s="27" t="s">
        <v>2774</v>
      </c>
      <c r="B55" s="19" t="s">
        <v>2574</v>
      </c>
      <c r="C55" s="28" t="s">
        <v>2775</v>
      </c>
      <c r="D55" s="28" t="s">
        <v>2576</v>
      </c>
      <c r="E55" s="30" t="s">
        <v>25</v>
      </c>
      <c r="F55" s="62" t="s">
        <v>2578</v>
      </c>
      <c r="G55" s="28" t="s">
        <v>2776</v>
      </c>
      <c r="H55" s="62" t="s">
        <v>2583</v>
      </c>
      <c r="I55" s="28" t="s">
        <v>55</v>
      </c>
      <c r="J55" s="63" t="s">
        <v>41</v>
      </c>
      <c r="K55" s="28"/>
      <c r="L55" s="62" t="s">
        <v>2773</v>
      </c>
    </row>
    <row r="56" ht="49.5" customHeight="1">
      <c r="A56" s="18" t="s">
        <v>2777</v>
      </c>
      <c r="B56" s="19" t="s">
        <v>2574</v>
      </c>
      <c r="C56" s="21" t="s">
        <v>2778</v>
      </c>
      <c r="D56" s="21" t="s">
        <v>2576</v>
      </c>
      <c r="E56" s="32" t="s">
        <v>25</v>
      </c>
      <c r="F56" s="64" t="s">
        <v>2578</v>
      </c>
      <c r="G56" s="21" t="s">
        <v>2779</v>
      </c>
      <c r="H56" s="64" t="s">
        <v>2583</v>
      </c>
      <c r="I56" s="25" t="s">
        <v>2584</v>
      </c>
      <c r="J56" s="63" t="s">
        <v>41</v>
      </c>
      <c r="K56" s="21"/>
      <c r="L56" s="64" t="s">
        <v>2773</v>
      </c>
    </row>
    <row r="57" ht="37.5" customHeight="1">
      <c r="A57" s="27" t="s">
        <v>2780</v>
      </c>
      <c r="B57" s="19" t="s">
        <v>2574</v>
      </c>
      <c r="C57" s="28" t="s">
        <v>2781</v>
      </c>
      <c r="D57" s="28" t="s">
        <v>2576</v>
      </c>
      <c r="E57" s="23" t="s">
        <v>15</v>
      </c>
      <c r="F57" s="62" t="s">
        <v>2578</v>
      </c>
      <c r="G57" s="28" t="s">
        <v>2782</v>
      </c>
      <c r="H57" s="62" t="s">
        <v>2583</v>
      </c>
      <c r="I57" s="28" t="s">
        <v>55</v>
      </c>
      <c r="J57" s="63" t="s">
        <v>41</v>
      </c>
      <c r="K57" s="28"/>
      <c r="L57" s="62" t="s">
        <v>2773</v>
      </c>
    </row>
    <row r="58" ht="18.0" customHeight="1">
      <c r="A58" s="16" t="s">
        <v>2783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5"/>
    </row>
    <row r="59" ht="37.5" customHeight="1">
      <c r="A59" s="18" t="s">
        <v>2784</v>
      </c>
      <c r="B59" s="19" t="s">
        <v>2574</v>
      </c>
      <c r="C59" s="21" t="s">
        <v>2785</v>
      </c>
      <c r="D59" s="21" t="s">
        <v>2576</v>
      </c>
      <c r="E59" s="32" t="s">
        <v>25</v>
      </c>
      <c r="F59" s="64" t="s">
        <v>2578</v>
      </c>
      <c r="G59" s="21" t="s">
        <v>2786</v>
      </c>
      <c r="H59" s="64" t="s">
        <v>2583</v>
      </c>
      <c r="I59" s="21" t="s">
        <v>55</v>
      </c>
      <c r="J59" s="63" t="s">
        <v>41</v>
      </c>
      <c r="K59" s="21"/>
      <c r="L59" s="65" t="s">
        <v>2787</v>
      </c>
    </row>
    <row r="60" ht="37.5" customHeight="1">
      <c r="A60" s="27" t="s">
        <v>2788</v>
      </c>
      <c r="B60" s="19" t="s">
        <v>2574</v>
      </c>
      <c r="C60" s="28" t="s">
        <v>2789</v>
      </c>
      <c r="D60" s="28" t="s">
        <v>2576</v>
      </c>
      <c r="E60" s="30" t="s">
        <v>25</v>
      </c>
      <c r="F60" s="62" t="s">
        <v>2578</v>
      </c>
      <c r="G60" s="28" t="s">
        <v>2790</v>
      </c>
      <c r="H60" s="62" t="s">
        <v>2583</v>
      </c>
      <c r="I60" s="28" t="s">
        <v>55</v>
      </c>
      <c r="J60" s="63" t="s">
        <v>41</v>
      </c>
      <c r="K60" s="28"/>
      <c r="L60" s="66" t="s">
        <v>2787</v>
      </c>
    </row>
    <row r="61" ht="37.5" customHeight="1">
      <c r="A61" s="18" t="s">
        <v>2791</v>
      </c>
      <c r="B61" s="19" t="s">
        <v>2574</v>
      </c>
      <c r="C61" s="21" t="s">
        <v>2792</v>
      </c>
      <c r="D61" s="21" t="s">
        <v>2576</v>
      </c>
      <c r="E61" s="32" t="s">
        <v>25</v>
      </c>
      <c r="F61" s="64" t="s">
        <v>2578</v>
      </c>
      <c r="G61" s="21" t="s">
        <v>2793</v>
      </c>
      <c r="H61" s="64" t="s">
        <v>2583</v>
      </c>
      <c r="I61" s="21" t="s">
        <v>55</v>
      </c>
      <c r="J61" s="63" t="s">
        <v>41</v>
      </c>
      <c r="K61" s="21"/>
      <c r="L61" s="65" t="s">
        <v>2787</v>
      </c>
    </row>
    <row r="62" ht="37.5" customHeight="1">
      <c r="A62" s="27" t="s">
        <v>2794</v>
      </c>
      <c r="B62" s="19" t="s">
        <v>2574</v>
      </c>
      <c r="C62" s="28" t="s">
        <v>2795</v>
      </c>
      <c r="D62" s="28" t="s">
        <v>2576</v>
      </c>
      <c r="E62" s="30" t="s">
        <v>25</v>
      </c>
      <c r="F62" s="62" t="s">
        <v>2578</v>
      </c>
      <c r="G62" s="28" t="s">
        <v>2796</v>
      </c>
      <c r="H62" s="62" t="s">
        <v>2583</v>
      </c>
      <c r="I62" s="28" t="s">
        <v>55</v>
      </c>
      <c r="J62" s="63" t="s">
        <v>41</v>
      </c>
      <c r="K62" s="28"/>
      <c r="L62" s="66" t="s">
        <v>2787</v>
      </c>
    </row>
    <row r="63" ht="18.0" customHeight="1">
      <c r="A63" s="16" t="s">
        <v>2797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5"/>
    </row>
    <row r="64" ht="49.5" customHeight="1">
      <c r="A64" s="18" t="s">
        <v>2798</v>
      </c>
      <c r="B64" s="19" t="s">
        <v>2574</v>
      </c>
      <c r="C64" s="21" t="s">
        <v>2799</v>
      </c>
      <c r="D64" s="21" t="s">
        <v>2576</v>
      </c>
      <c r="E64" s="32" t="s">
        <v>25</v>
      </c>
      <c r="F64" s="64" t="s">
        <v>2578</v>
      </c>
      <c r="G64" s="21" t="s">
        <v>2800</v>
      </c>
      <c r="H64" s="64" t="s">
        <v>2583</v>
      </c>
      <c r="I64" s="25" t="s">
        <v>2584</v>
      </c>
      <c r="J64" s="63" t="s">
        <v>41</v>
      </c>
      <c r="K64" s="21"/>
      <c r="L64" s="64" t="s">
        <v>2801</v>
      </c>
    </row>
    <row r="65" ht="49.5" customHeight="1">
      <c r="A65" s="27" t="s">
        <v>2802</v>
      </c>
      <c r="B65" s="19" t="s">
        <v>2574</v>
      </c>
      <c r="C65" s="28" t="s">
        <v>2803</v>
      </c>
      <c r="D65" s="28" t="s">
        <v>2576</v>
      </c>
      <c r="E65" s="30" t="s">
        <v>25</v>
      </c>
      <c r="F65" s="62" t="s">
        <v>2578</v>
      </c>
      <c r="G65" s="28" t="s">
        <v>2804</v>
      </c>
      <c r="H65" s="62" t="s">
        <v>2583</v>
      </c>
      <c r="I65" s="28" t="s">
        <v>55</v>
      </c>
      <c r="J65" s="63" t="s">
        <v>41</v>
      </c>
      <c r="K65" s="28"/>
      <c r="L65" s="62" t="s">
        <v>2801</v>
      </c>
    </row>
    <row r="66" ht="49.5" customHeight="1">
      <c r="A66" s="18" t="s">
        <v>2805</v>
      </c>
      <c r="B66" s="19" t="s">
        <v>2574</v>
      </c>
      <c r="C66" s="21" t="s">
        <v>2806</v>
      </c>
      <c r="D66" s="21" t="s">
        <v>2576</v>
      </c>
      <c r="E66" s="32" t="s">
        <v>25</v>
      </c>
      <c r="F66" s="64" t="s">
        <v>2578</v>
      </c>
      <c r="G66" s="21" t="s">
        <v>2807</v>
      </c>
      <c r="H66" s="64" t="s">
        <v>2583</v>
      </c>
      <c r="I66" s="25" t="s">
        <v>2584</v>
      </c>
      <c r="J66" s="63" t="s">
        <v>41</v>
      </c>
      <c r="K66" s="21"/>
      <c r="L66" s="64" t="s">
        <v>2801</v>
      </c>
    </row>
    <row r="67" ht="49.5" customHeight="1">
      <c r="A67" s="27" t="s">
        <v>2808</v>
      </c>
      <c r="B67" s="19" t="s">
        <v>2574</v>
      </c>
      <c r="C67" s="28" t="s">
        <v>2809</v>
      </c>
      <c r="D67" s="28" t="s">
        <v>2576</v>
      </c>
      <c r="E67" s="30" t="s">
        <v>25</v>
      </c>
      <c r="F67" s="62" t="s">
        <v>2578</v>
      </c>
      <c r="G67" s="28" t="s">
        <v>2810</v>
      </c>
      <c r="H67" s="62" t="s">
        <v>2583</v>
      </c>
      <c r="I67" s="41" t="s">
        <v>2584</v>
      </c>
      <c r="J67" s="63" t="s">
        <v>41</v>
      </c>
      <c r="K67" s="28"/>
      <c r="L67" s="62" t="s">
        <v>2801</v>
      </c>
    </row>
    <row r="68" ht="49.5" customHeight="1">
      <c r="A68" s="18" t="s">
        <v>2811</v>
      </c>
      <c r="B68" s="19" t="s">
        <v>2574</v>
      </c>
      <c r="C68" s="21" t="s">
        <v>2812</v>
      </c>
      <c r="D68" s="21" t="s">
        <v>2576</v>
      </c>
      <c r="E68" s="23" t="s">
        <v>15</v>
      </c>
      <c r="F68" s="64" t="s">
        <v>2578</v>
      </c>
      <c r="G68" s="21" t="s">
        <v>2813</v>
      </c>
      <c r="H68" s="64" t="s">
        <v>2583</v>
      </c>
      <c r="I68" s="25" t="s">
        <v>2584</v>
      </c>
      <c r="J68" s="63" t="s">
        <v>41</v>
      </c>
      <c r="K68" s="21"/>
      <c r="L68" s="64" t="s">
        <v>2801</v>
      </c>
    </row>
    <row r="69" ht="18.0" customHeight="1">
      <c r="A69" s="16" t="s">
        <v>2814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5"/>
    </row>
    <row r="70" ht="49.5" customHeight="1">
      <c r="A70" s="27" t="s">
        <v>2815</v>
      </c>
      <c r="B70" s="19" t="s">
        <v>2574</v>
      </c>
      <c r="C70" s="28" t="s">
        <v>2816</v>
      </c>
      <c r="D70" s="28" t="s">
        <v>2576</v>
      </c>
      <c r="E70" s="30" t="s">
        <v>25</v>
      </c>
      <c r="F70" s="62" t="s">
        <v>2578</v>
      </c>
      <c r="G70" s="28" t="s">
        <v>2817</v>
      </c>
      <c r="H70" s="62" t="s">
        <v>2583</v>
      </c>
      <c r="I70" s="41" t="s">
        <v>2584</v>
      </c>
      <c r="J70" s="63" t="s">
        <v>41</v>
      </c>
      <c r="K70" s="28"/>
      <c r="L70" s="62" t="s">
        <v>2818</v>
      </c>
    </row>
    <row r="71" ht="18.0" customHeight="1">
      <c r="A71" s="16" t="s">
        <v>2819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5"/>
    </row>
    <row r="72" ht="97.5" customHeight="1">
      <c r="A72" s="18" t="s">
        <v>2820</v>
      </c>
      <c r="B72" s="19" t="s">
        <v>2574</v>
      </c>
      <c r="C72" s="21" t="s">
        <v>2821</v>
      </c>
      <c r="D72" s="21" t="s">
        <v>2576</v>
      </c>
      <c r="E72" s="23" t="s">
        <v>15</v>
      </c>
      <c r="F72" s="64" t="s">
        <v>2578</v>
      </c>
      <c r="G72" s="21" t="s">
        <v>2822</v>
      </c>
      <c r="H72" s="64" t="s">
        <v>2583</v>
      </c>
      <c r="I72" s="25" t="s">
        <v>2584</v>
      </c>
      <c r="J72" s="63" t="s">
        <v>41</v>
      </c>
      <c r="K72" s="21"/>
      <c r="L72" s="64" t="s">
        <v>2823</v>
      </c>
    </row>
    <row r="73" ht="97.5" customHeight="1">
      <c r="A73" s="27" t="s">
        <v>2824</v>
      </c>
      <c r="B73" s="19" t="s">
        <v>2574</v>
      </c>
      <c r="C73" s="28" t="s">
        <v>2825</v>
      </c>
      <c r="D73" s="28" t="s">
        <v>2576</v>
      </c>
      <c r="E73" s="23" t="s">
        <v>15</v>
      </c>
      <c r="F73" s="62" t="s">
        <v>2578</v>
      </c>
      <c r="G73" s="28" t="s">
        <v>2826</v>
      </c>
      <c r="H73" s="62" t="s">
        <v>2583</v>
      </c>
      <c r="I73" s="41" t="s">
        <v>2584</v>
      </c>
      <c r="J73" s="63" t="s">
        <v>41</v>
      </c>
      <c r="K73" s="28"/>
      <c r="L73" s="62" t="s">
        <v>2823</v>
      </c>
    </row>
    <row r="74" ht="61.5" customHeight="1">
      <c r="A74" s="18" t="s">
        <v>2827</v>
      </c>
      <c r="B74" s="19" t="s">
        <v>2574</v>
      </c>
      <c r="C74" s="21" t="s">
        <v>2828</v>
      </c>
      <c r="D74" s="21" t="s">
        <v>2576</v>
      </c>
      <c r="E74" s="23" t="s">
        <v>15</v>
      </c>
      <c r="F74" s="64" t="s">
        <v>2578</v>
      </c>
      <c r="G74" s="21" t="s">
        <v>2829</v>
      </c>
      <c r="H74" s="64" t="s">
        <v>2583</v>
      </c>
      <c r="I74" s="25" t="s">
        <v>2584</v>
      </c>
      <c r="J74" s="63" t="s">
        <v>41</v>
      </c>
      <c r="K74" s="21"/>
      <c r="L74" s="64" t="s">
        <v>2823</v>
      </c>
    </row>
    <row r="75" ht="49.5" customHeight="1">
      <c r="A75" s="27" t="s">
        <v>2830</v>
      </c>
      <c r="B75" s="19" t="s">
        <v>2574</v>
      </c>
      <c r="C75" s="28" t="s">
        <v>2831</v>
      </c>
      <c r="D75" s="28" t="s">
        <v>2576</v>
      </c>
      <c r="E75" s="23" t="s">
        <v>15</v>
      </c>
      <c r="F75" s="62" t="s">
        <v>2578</v>
      </c>
      <c r="G75" s="28" t="s">
        <v>2832</v>
      </c>
      <c r="H75" s="62" t="s">
        <v>2583</v>
      </c>
      <c r="I75" s="41" t="s">
        <v>2584</v>
      </c>
      <c r="J75" s="63" t="s">
        <v>41</v>
      </c>
      <c r="K75" s="28"/>
      <c r="L75" s="62" t="s">
        <v>2823</v>
      </c>
    </row>
    <row r="76" ht="73.5" customHeight="1">
      <c r="A76" s="18" t="s">
        <v>2833</v>
      </c>
      <c r="B76" s="19" t="s">
        <v>2574</v>
      </c>
      <c r="C76" s="21" t="s">
        <v>2834</v>
      </c>
      <c r="D76" s="21" t="s">
        <v>2576</v>
      </c>
      <c r="E76" s="23" t="s">
        <v>15</v>
      </c>
      <c r="F76" s="64" t="s">
        <v>2578</v>
      </c>
      <c r="G76" s="21" t="s">
        <v>2835</v>
      </c>
      <c r="H76" s="64" t="s">
        <v>2583</v>
      </c>
      <c r="I76" s="25" t="s">
        <v>2584</v>
      </c>
      <c r="J76" s="63" t="s">
        <v>41</v>
      </c>
      <c r="K76" s="21"/>
      <c r="L76" s="64" t="s">
        <v>2823</v>
      </c>
    </row>
    <row r="77" ht="18.0" customHeight="1">
      <c r="A77" s="16" t="s">
        <v>2836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5"/>
    </row>
    <row r="78" ht="49.5" customHeight="1">
      <c r="A78" s="27" t="s">
        <v>2837</v>
      </c>
      <c r="B78" s="19" t="s">
        <v>2574</v>
      </c>
      <c r="C78" s="28" t="s">
        <v>2838</v>
      </c>
      <c r="D78" s="28" t="s">
        <v>2576</v>
      </c>
      <c r="E78" s="23" t="s">
        <v>15</v>
      </c>
      <c r="F78" s="62" t="s">
        <v>2578</v>
      </c>
      <c r="G78" s="28" t="s">
        <v>2839</v>
      </c>
      <c r="H78" s="62" t="s">
        <v>2583</v>
      </c>
      <c r="I78" s="41" t="s">
        <v>2584</v>
      </c>
      <c r="J78" s="63" t="s">
        <v>41</v>
      </c>
      <c r="K78" s="28"/>
      <c r="L78" s="62" t="s">
        <v>2823</v>
      </c>
    </row>
    <row r="79" ht="73.5" customHeight="1">
      <c r="A79" s="18" t="s">
        <v>2840</v>
      </c>
      <c r="B79" s="19" t="s">
        <v>2574</v>
      </c>
      <c r="C79" s="21" t="s">
        <v>2841</v>
      </c>
      <c r="D79" s="21" t="s">
        <v>2576</v>
      </c>
      <c r="E79" s="23" t="s">
        <v>15</v>
      </c>
      <c r="F79" s="64" t="s">
        <v>2578</v>
      </c>
      <c r="G79" s="21" t="s">
        <v>2842</v>
      </c>
      <c r="H79" s="64" t="s">
        <v>2583</v>
      </c>
      <c r="I79" s="25" t="s">
        <v>2584</v>
      </c>
      <c r="J79" s="63" t="s">
        <v>41</v>
      </c>
      <c r="K79" s="21"/>
      <c r="L79" s="64" t="s">
        <v>2823</v>
      </c>
    </row>
    <row r="80" ht="73.5" customHeight="1">
      <c r="A80" s="27" t="s">
        <v>2843</v>
      </c>
      <c r="B80" s="19" t="s">
        <v>2574</v>
      </c>
      <c r="C80" s="28" t="s">
        <v>2844</v>
      </c>
      <c r="D80" s="28" t="s">
        <v>2576</v>
      </c>
      <c r="E80" s="23" t="s">
        <v>15</v>
      </c>
      <c r="F80" s="62" t="s">
        <v>2578</v>
      </c>
      <c r="G80" s="28" t="s">
        <v>2845</v>
      </c>
      <c r="H80" s="62" t="s">
        <v>2583</v>
      </c>
      <c r="I80" s="41" t="s">
        <v>2584</v>
      </c>
      <c r="J80" s="63" t="s">
        <v>41</v>
      </c>
      <c r="K80" s="28"/>
      <c r="L80" s="66" t="s">
        <v>2846</v>
      </c>
    </row>
    <row r="81" ht="73.5" customHeight="1">
      <c r="A81" s="18" t="s">
        <v>2847</v>
      </c>
      <c r="B81" s="19" t="s">
        <v>2574</v>
      </c>
      <c r="C81" s="21" t="s">
        <v>2848</v>
      </c>
      <c r="D81" s="21" t="s">
        <v>2576</v>
      </c>
      <c r="E81" s="23" t="s">
        <v>15</v>
      </c>
      <c r="F81" s="64" t="s">
        <v>2578</v>
      </c>
      <c r="G81" s="21" t="s">
        <v>2849</v>
      </c>
      <c r="H81" s="64" t="s">
        <v>2583</v>
      </c>
      <c r="I81" s="25" t="s">
        <v>2584</v>
      </c>
      <c r="J81" s="63" t="s">
        <v>41</v>
      </c>
      <c r="K81" s="21"/>
      <c r="L81" s="64" t="s">
        <v>2823</v>
      </c>
    </row>
    <row r="82" ht="61.5" customHeight="1">
      <c r="A82" s="27" t="s">
        <v>2850</v>
      </c>
      <c r="B82" s="19" t="s">
        <v>2574</v>
      </c>
      <c r="C82" s="28" t="s">
        <v>2851</v>
      </c>
      <c r="D82" s="28" t="s">
        <v>2576</v>
      </c>
      <c r="E82" s="23" t="s">
        <v>15</v>
      </c>
      <c r="F82" s="62" t="s">
        <v>2578</v>
      </c>
      <c r="G82" s="28" t="s">
        <v>2852</v>
      </c>
      <c r="H82" s="62" t="s">
        <v>2583</v>
      </c>
      <c r="I82" s="41" t="s">
        <v>2584</v>
      </c>
      <c r="J82" s="63" t="s">
        <v>41</v>
      </c>
      <c r="K82" s="28"/>
      <c r="L82" s="62" t="s">
        <v>2823</v>
      </c>
    </row>
    <row r="83" ht="18.0" customHeight="1">
      <c r="A83" s="16" t="s">
        <v>2819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5"/>
    </row>
    <row r="84" ht="73.5" customHeight="1">
      <c r="A84" s="18" t="s">
        <v>2853</v>
      </c>
      <c r="B84" s="19" t="s">
        <v>2574</v>
      </c>
      <c r="C84" s="21" t="s">
        <v>2854</v>
      </c>
      <c r="D84" s="21" t="s">
        <v>2576</v>
      </c>
      <c r="E84" s="23" t="s">
        <v>15</v>
      </c>
      <c r="F84" s="64" t="s">
        <v>2578</v>
      </c>
      <c r="G84" s="21" t="s">
        <v>2855</v>
      </c>
      <c r="H84" s="64" t="s">
        <v>2583</v>
      </c>
      <c r="I84" s="25" t="s">
        <v>2584</v>
      </c>
      <c r="J84" s="63" t="s">
        <v>41</v>
      </c>
      <c r="K84" s="21"/>
      <c r="L84" s="64" t="s">
        <v>2823</v>
      </c>
    </row>
    <row r="85" ht="49.5" customHeight="1">
      <c r="A85" s="27" t="s">
        <v>2856</v>
      </c>
      <c r="B85" s="19" t="s">
        <v>2574</v>
      </c>
      <c r="C85" s="28" t="s">
        <v>2857</v>
      </c>
      <c r="D85" s="28" t="s">
        <v>2576</v>
      </c>
      <c r="E85" s="30" t="s">
        <v>25</v>
      </c>
      <c r="F85" s="62" t="s">
        <v>2578</v>
      </c>
      <c r="G85" s="28" t="s">
        <v>2858</v>
      </c>
      <c r="H85" s="62" t="s">
        <v>2583</v>
      </c>
      <c r="I85" s="41" t="s">
        <v>2584</v>
      </c>
      <c r="J85" s="63" t="s">
        <v>41</v>
      </c>
      <c r="K85" s="28"/>
      <c r="L85" s="62" t="s">
        <v>2823</v>
      </c>
    </row>
    <row r="86" ht="61.5" customHeight="1">
      <c r="A86" s="18" t="s">
        <v>2859</v>
      </c>
      <c r="B86" s="19" t="s">
        <v>2574</v>
      </c>
      <c r="C86" s="21" t="s">
        <v>2860</v>
      </c>
      <c r="D86" s="21" t="s">
        <v>2576</v>
      </c>
      <c r="E86" s="23" t="s">
        <v>15</v>
      </c>
      <c r="F86" s="64" t="s">
        <v>2578</v>
      </c>
      <c r="G86" s="21" t="s">
        <v>2861</v>
      </c>
      <c r="H86" s="64" t="s">
        <v>2583</v>
      </c>
      <c r="I86" s="25" t="s">
        <v>2584</v>
      </c>
      <c r="J86" s="63" t="s">
        <v>41</v>
      </c>
      <c r="K86" s="21"/>
      <c r="L86" s="65" t="s">
        <v>2846</v>
      </c>
    </row>
    <row r="87" ht="18.0" customHeight="1">
      <c r="A87" s="16" t="s">
        <v>2862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5"/>
    </row>
    <row r="88" ht="37.5" customHeight="1">
      <c r="A88" s="27" t="s">
        <v>2863</v>
      </c>
      <c r="B88" s="19" t="s">
        <v>2574</v>
      </c>
      <c r="C88" s="28" t="s">
        <v>2864</v>
      </c>
      <c r="D88" s="28" t="s">
        <v>2576</v>
      </c>
      <c r="E88" s="30" t="s">
        <v>25</v>
      </c>
      <c r="F88" s="62" t="s">
        <v>2578</v>
      </c>
      <c r="G88" s="28" t="s">
        <v>2865</v>
      </c>
      <c r="H88" s="62" t="s">
        <v>2583</v>
      </c>
      <c r="I88" s="28" t="s">
        <v>55</v>
      </c>
      <c r="J88" s="63" t="s">
        <v>41</v>
      </c>
      <c r="K88" s="28"/>
      <c r="L88" s="62" t="s">
        <v>2823</v>
      </c>
    </row>
    <row r="89" ht="49.5" customHeight="1">
      <c r="A89" s="18" t="s">
        <v>2866</v>
      </c>
      <c r="B89" s="19" t="s">
        <v>2574</v>
      </c>
      <c r="C89" s="21" t="s">
        <v>2867</v>
      </c>
      <c r="D89" s="21" t="s">
        <v>2576</v>
      </c>
      <c r="E89" s="23" t="s">
        <v>15</v>
      </c>
      <c r="F89" s="64" t="s">
        <v>2578</v>
      </c>
      <c r="G89" s="21" t="s">
        <v>2868</v>
      </c>
      <c r="H89" s="64" t="s">
        <v>2583</v>
      </c>
      <c r="I89" s="25" t="s">
        <v>2584</v>
      </c>
      <c r="J89" s="63" t="s">
        <v>41</v>
      </c>
      <c r="K89" s="21"/>
      <c r="L89" s="65" t="s">
        <v>2846</v>
      </c>
    </row>
    <row r="90" ht="49.5" customHeight="1">
      <c r="A90" s="27" t="s">
        <v>2869</v>
      </c>
      <c r="B90" s="19" t="s">
        <v>2574</v>
      </c>
      <c r="C90" s="28" t="s">
        <v>2870</v>
      </c>
      <c r="D90" s="28" t="s">
        <v>2576</v>
      </c>
      <c r="E90" s="23" t="s">
        <v>15</v>
      </c>
      <c r="F90" s="62" t="s">
        <v>2578</v>
      </c>
      <c r="G90" s="28" t="s">
        <v>2871</v>
      </c>
      <c r="H90" s="62" t="s">
        <v>2583</v>
      </c>
      <c r="I90" s="41" t="s">
        <v>2584</v>
      </c>
      <c r="J90" s="63" t="s">
        <v>41</v>
      </c>
      <c r="K90" s="28"/>
      <c r="L90" s="62" t="s">
        <v>2823</v>
      </c>
    </row>
    <row r="91" ht="37.5" customHeight="1">
      <c r="A91" s="18" t="s">
        <v>2872</v>
      </c>
      <c r="B91" s="19" t="s">
        <v>2574</v>
      </c>
      <c r="C91" s="21" t="s">
        <v>2873</v>
      </c>
      <c r="D91" s="21" t="s">
        <v>2576</v>
      </c>
      <c r="E91" s="32" t="s">
        <v>25</v>
      </c>
      <c r="F91" s="64" t="s">
        <v>2578</v>
      </c>
      <c r="G91" s="21" t="s">
        <v>2874</v>
      </c>
      <c r="H91" s="64" t="s">
        <v>2583</v>
      </c>
      <c r="I91" s="21" t="s">
        <v>55</v>
      </c>
      <c r="J91" s="63" t="s">
        <v>41</v>
      </c>
      <c r="K91" s="21"/>
      <c r="L91" s="64" t="s">
        <v>2823</v>
      </c>
    </row>
    <row r="92" ht="49.5" customHeight="1">
      <c r="A92" s="27" t="s">
        <v>2875</v>
      </c>
      <c r="B92" s="19" t="s">
        <v>2574</v>
      </c>
      <c r="C92" s="28" t="s">
        <v>2876</v>
      </c>
      <c r="D92" s="28" t="s">
        <v>2576</v>
      </c>
      <c r="E92" s="23" t="s">
        <v>15</v>
      </c>
      <c r="F92" s="62" t="s">
        <v>2578</v>
      </c>
      <c r="G92" s="28" t="s">
        <v>2877</v>
      </c>
      <c r="H92" s="62" t="s">
        <v>2583</v>
      </c>
      <c r="I92" s="41" t="s">
        <v>2584</v>
      </c>
      <c r="J92" s="63" t="s">
        <v>41</v>
      </c>
      <c r="K92" s="28"/>
      <c r="L92" s="62" t="s">
        <v>2823</v>
      </c>
    </row>
    <row r="93" ht="49.5" customHeight="1">
      <c r="A93" s="18" t="s">
        <v>2878</v>
      </c>
      <c r="B93" s="19" t="s">
        <v>2574</v>
      </c>
      <c r="C93" s="21" t="s">
        <v>2879</v>
      </c>
      <c r="D93" s="21" t="s">
        <v>2576</v>
      </c>
      <c r="E93" s="23" t="s">
        <v>15</v>
      </c>
      <c r="F93" s="64" t="s">
        <v>2578</v>
      </c>
      <c r="G93" s="21" t="s">
        <v>2880</v>
      </c>
      <c r="H93" s="64" t="s">
        <v>2583</v>
      </c>
      <c r="I93" s="25" t="s">
        <v>2584</v>
      </c>
      <c r="J93" s="63" t="s">
        <v>41</v>
      </c>
      <c r="K93" s="21"/>
      <c r="L93" s="64" t="s">
        <v>2823</v>
      </c>
    </row>
    <row r="94" ht="18.0" customHeight="1">
      <c r="A94" s="16" t="s">
        <v>2881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5"/>
    </row>
    <row r="95" ht="61.5" customHeight="1">
      <c r="A95" s="27" t="s">
        <v>2882</v>
      </c>
      <c r="B95" s="19" t="s">
        <v>2574</v>
      </c>
      <c r="C95" s="28" t="s">
        <v>2883</v>
      </c>
      <c r="D95" s="28" t="s">
        <v>2576</v>
      </c>
      <c r="E95" s="23" t="s">
        <v>15</v>
      </c>
      <c r="F95" s="62" t="s">
        <v>2578</v>
      </c>
      <c r="G95" s="28" t="s">
        <v>2884</v>
      </c>
      <c r="H95" s="62" t="s">
        <v>2583</v>
      </c>
      <c r="I95" s="41" t="s">
        <v>2584</v>
      </c>
      <c r="J95" s="63" t="s">
        <v>41</v>
      </c>
      <c r="K95" s="28"/>
      <c r="L95" s="62" t="s">
        <v>2823</v>
      </c>
    </row>
    <row r="96" ht="49.5" customHeight="1">
      <c r="A96" s="18" t="s">
        <v>2885</v>
      </c>
      <c r="B96" s="19" t="s">
        <v>2574</v>
      </c>
      <c r="C96" s="21" t="s">
        <v>2886</v>
      </c>
      <c r="D96" s="21" t="s">
        <v>2576</v>
      </c>
      <c r="E96" s="32" t="s">
        <v>25</v>
      </c>
      <c r="F96" s="64" t="s">
        <v>2578</v>
      </c>
      <c r="G96" s="21" t="s">
        <v>2887</v>
      </c>
      <c r="H96" s="64" t="s">
        <v>2583</v>
      </c>
      <c r="I96" s="25" t="s">
        <v>2584</v>
      </c>
      <c r="J96" s="63" t="s">
        <v>41</v>
      </c>
      <c r="K96" s="21"/>
      <c r="L96" s="64" t="s">
        <v>2823</v>
      </c>
    </row>
    <row r="97" ht="49.5" customHeight="1">
      <c r="A97" s="27" t="s">
        <v>2888</v>
      </c>
      <c r="B97" s="19" t="s">
        <v>2574</v>
      </c>
      <c r="C97" s="28" t="s">
        <v>2889</v>
      </c>
      <c r="D97" s="28" t="s">
        <v>2576</v>
      </c>
      <c r="E97" s="23" t="s">
        <v>15</v>
      </c>
      <c r="F97" s="62" t="s">
        <v>2578</v>
      </c>
      <c r="G97" s="28" t="s">
        <v>2890</v>
      </c>
      <c r="H97" s="62" t="s">
        <v>2583</v>
      </c>
      <c r="I97" s="41" t="s">
        <v>2584</v>
      </c>
      <c r="J97" s="63" t="s">
        <v>41</v>
      </c>
      <c r="K97" s="28"/>
      <c r="L97" s="62" t="s">
        <v>2823</v>
      </c>
    </row>
    <row r="98" ht="37.5" customHeight="1">
      <c r="A98" s="18" t="s">
        <v>2891</v>
      </c>
      <c r="B98" s="19" t="s">
        <v>2574</v>
      </c>
      <c r="C98" s="21" t="s">
        <v>2892</v>
      </c>
      <c r="D98" s="21" t="s">
        <v>2576</v>
      </c>
      <c r="E98" s="32" t="s">
        <v>25</v>
      </c>
      <c r="F98" s="64" t="s">
        <v>2578</v>
      </c>
      <c r="G98" s="21" t="s">
        <v>2893</v>
      </c>
      <c r="H98" s="64" t="s">
        <v>2583</v>
      </c>
      <c r="I98" s="21" t="s">
        <v>55</v>
      </c>
      <c r="J98" s="63" t="s">
        <v>41</v>
      </c>
      <c r="K98" s="21"/>
      <c r="L98" s="64" t="s">
        <v>2823</v>
      </c>
    </row>
    <row r="99" ht="73.5" customHeight="1">
      <c r="A99" s="27" t="s">
        <v>2894</v>
      </c>
      <c r="B99" s="19" t="s">
        <v>2574</v>
      </c>
      <c r="C99" s="28" t="s">
        <v>2895</v>
      </c>
      <c r="D99" s="28" t="s">
        <v>2576</v>
      </c>
      <c r="E99" s="23" t="s">
        <v>15</v>
      </c>
      <c r="F99" s="62" t="s">
        <v>2578</v>
      </c>
      <c r="G99" s="28" t="s">
        <v>2896</v>
      </c>
      <c r="H99" s="62" t="s">
        <v>2583</v>
      </c>
      <c r="I99" s="41" t="s">
        <v>2584</v>
      </c>
      <c r="J99" s="63" t="s">
        <v>41</v>
      </c>
      <c r="K99" s="28"/>
      <c r="L99" s="62" t="s">
        <v>2823</v>
      </c>
    </row>
    <row r="100" ht="73.5" customHeight="1">
      <c r="A100" s="18" t="s">
        <v>2897</v>
      </c>
      <c r="B100" s="19" t="s">
        <v>2574</v>
      </c>
      <c r="C100" s="21" t="s">
        <v>2898</v>
      </c>
      <c r="D100" s="21" t="s">
        <v>2576</v>
      </c>
      <c r="E100" s="23" t="s">
        <v>15</v>
      </c>
      <c r="F100" s="64" t="s">
        <v>2578</v>
      </c>
      <c r="G100" s="21" t="s">
        <v>2899</v>
      </c>
      <c r="H100" s="64" t="s">
        <v>2583</v>
      </c>
      <c r="I100" s="25" t="s">
        <v>2584</v>
      </c>
      <c r="J100" s="63" t="s">
        <v>41</v>
      </c>
      <c r="K100" s="21"/>
      <c r="L100" s="64" t="s">
        <v>2823</v>
      </c>
    </row>
    <row r="101" ht="37.5" customHeight="1">
      <c r="A101" s="27" t="s">
        <v>2900</v>
      </c>
      <c r="B101" s="19" t="s">
        <v>2574</v>
      </c>
      <c r="C101" s="28" t="s">
        <v>2901</v>
      </c>
      <c r="D101" s="28" t="s">
        <v>2576</v>
      </c>
      <c r="E101" s="30" t="s">
        <v>25</v>
      </c>
      <c r="F101" s="62" t="s">
        <v>2578</v>
      </c>
      <c r="G101" s="28" t="s">
        <v>2902</v>
      </c>
      <c r="H101" s="62" t="s">
        <v>2583</v>
      </c>
      <c r="I101" s="28" t="s">
        <v>55</v>
      </c>
      <c r="J101" s="63" t="s">
        <v>41</v>
      </c>
      <c r="K101" s="28"/>
      <c r="L101" s="62" t="s">
        <v>2823</v>
      </c>
    </row>
    <row r="102" ht="73.5" customHeight="1">
      <c r="A102" s="18" t="s">
        <v>2903</v>
      </c>
      <c r="B102" s="19" t="s">
        <v>2574</v>
      </c>
      <c r="C102" s="21" t="s">
        <v>2904</v>
      </c>
      <c r="D102" s="21" t="s">
        <v>2576</v>
      </c>
      <c r="E102" s="23" t="s">
        <v>15</v>
      </c>
      <c r="F102" s="64" t="s">
        <v>2578</v>
      </c>
      <c r="G102" s="21" t="s">
        <v>2905</v>
      </c>
      <c r="H102" s="64" t="s">
        <v>2583</v>
      </c>
      <c r="I102" s="25" t="s">
        <v>2584</v>
      </c>
      <c r="J102" s="63" t="s">
        <v>41</v>
      </c>
      <c r="K102" s="21"/>
      <c r="L102" s="64" t="s">
        <v>2823</v>
      </c>
    </row>
    <row r="103" ht="37.5" customHeight="1">
      <c r="A103" s="27" t="s">
        <v>2906</v>
      </c>
      <c r="B103" s="19" t="s">
        <v>2574</v>
      </c>
      <c r="C103" s="28" t="s">
        <v>2907</v>
      </c>
      <c r="D103" s="28" t="s">
        <v>2576</v>
      </c>
      <c r="E103" s="30" t="s">
        <v>25</v>
      </c>
      <c r="F103" s="62" t="s">
        <v>2578</v>
      </c>
      <c r="G103" s="28" t="s">
        <v>2908</v>
      </c>
      <c r="H103" s="62" t="s">
        <v>2583</v>
      </c>
      <c r="I103" s="28" t="s">
        <v>55</v>
      </c>
      <c r="J103" s="63" t="s">
        <v>41</v>
      </c>
      <c r="K103" s="28"/>
      <c r="L103" s="62" t="s">
        <v>2823</v>
      </c>
    </row>
    <row r="104" ht="49.5" customHeight="1">
      <c r="A104" s="18" t="s">
        <v>2909</v>
      </c>
      <c r="B104" s="19" t="s">
        <v>2574</v>
      </c>
      <c r="C104" s="21" t="s">
        <v>2910</v>
      </c>
      <c r="D104" s="21" t="s">
        <v>2576</v>
      </c>
      <c r="E104" s="32" t="s">
        <v>25</v>
      </c>
      <c r="F104" s="64" t="s">
        <v>2578</v>
      </c>
      <c r="G104" s="21" t="s">
        <v>2911</v>
      </c>
      <c r="H104" s="64" t="s">
        <v>2583</v>
      </c>
      <c r="I104" s="25" t="s">
        <v>2584</v>
      </c>
      <c r="J104" s="63" t="s">
        <v>41</v>
      </c>
      <c r="K104" s="21"/>
      <c r="L104" s="64" t="s">
        <v>2823</v>
      </c>
    </row>
    <row r="105" ht="49.5" customHeight="1">
      <c r="A105" s="27" t="s">
        <v>2912</v>
      </c>
      <c r="B105" s="19" t="s">
        <v>2574</v>
      </c>
      <c r="C105" s="28" t="s">
        <v>2913</v>
      </c>
      <c r="D105" s="28" t="s">
        <v>2576</v>
      </c>
      <c r="E105" s="30" t="s">
        <v>25</v>
      </c>
      <c r="F105" s="62" t="s">
        <v>2578</v>
      </c>
      <c r="G105" s="28" t="s">
        <v>2914</v>
      </c>
      <c r="H105" s="62" t="s">
        <v>2583</v>
      </c>
      <c r="I105" s="41" t="s">
        <v>2584</v>
      </c>
      <c r="J105" s="63" t="s">
        <v>41</v>
      </c>
      <c r="K105" s="28"/>
      <c r="L105" s="62" t="s">
        <v>2823</v>
      </c>
    </row>
    <row r="106" ht="61.5" customHeight="1">
      <c r="A106" s="18" t="s">
        <v>2915</v>
      </c>
      <c r="B106" s="19" t="s">
        <v>2574</v>
      </c>
      <c r="C106" s="21" t="s">
        <v>2916</v>
      </c>
      <c r="D106" s="21" t="s">
        <v>2576</v>
      </c>
      <c r="E106" s="32" t="s">
        <v>25</v>
      </c>
      <c r="F106" s="64" t="s">
        <v>2578</v>
      </c>
      <c r="G106" s="21" t="s">
        <v>2917</v>
      </c>
      <c r="H106" s="64" t="s">
        <v>2583</v>
      </c>
      <c r="I106" s="25" t="s">
        <v>2584</v>
      </c>
      <c r="J106" s="63" t="s">
        <v>41</v>
      </c>
      <c r="K106" s="21"/>
      <c r="L106" s="64" t="s">
        <v>2823</v>
      </c>
    </row>
    <row r="107" ht="61.5" customHeight="1">
      <c r="A107" s="27" t="s">
        <v>2918</v>
      </c>
      <c r="B107" s="19" t="s">
        <v>2574</v>
      </c>
      <c r="C107" s="28" t="s">
        <v>2919</v>
      </c>
      <c r="D107" s="28" t="s">
        <v>2576</v>
      </c>
      <c r="E107" s="30" t="s">
        <v>25</v>
      </c>
      <c r="F107" s="62" t="s">
        <v>2578</v>
      </c>
      <c r="G107" s="28" t="s">
        <v>2920</v>
      </c>
      <c r="H107" s="62" t="s">
        <v>2583</v>
      </c>
      <c r="I107" s="41" t="s">
        <v>2584</v>
      </c>
      <c r="J107" s="63" t="s">
        <v>41</v>
      </c>
      <c r="K107" s="28"/>
      <c r="L107" s="62" t="s">
        <v>2823</v>
      </c>
    </row>
    <row r="108" ht="61.5" customHeight="1">
      <c r="A108" s="18" t="s">
        <v>2921</v>
      </c>
      <c r="B108" s="19" t="s">
        <v>2574</v>
      </c>
      <c r="C108" s="21" t="s">
        <v>2922</v>
      </c>
      <c r="D108" s="21" t="s">
        <v>2576</v>
      </c>
      <c r="E108" s="23" t="s">
        <v>15</v>
      </c>
      <c r="F108" s="64" t="s">
        <v>2578</v>
      </c>
      <c r="G108" s="21" t="s">
        <v>2923</v>
      </c>
      <c r="H108" s="64" t="s">
        <v>2583</v>
      </c>
      <c r="I108" s="25" t="s">
        <v>2584</v>
      </c>
      <c r="J108" s="63" t="s">
        <v>41</v>
      </c>
      <c r="K108" s="21"/>
      <c r="L108" s="64" t="s">
        <v>2823</v>
      </c>
    </row>
    <row r="109" ht="61.5" customHeight="1">
      <c r="A109" s="27" t="s">
        <v>2924</v>
      </c>
      <c r="B109" s="19" t="s">
        <v>2574</v>
      </c>
      <c r="C109" s="28" t="s">
        <v>2925</v>
      </c>
      <c r="D109" s="28" t="s">
        <v>2576</v>
      </c>
      <c r="E109" s="23" t="s">
        <v>15</v>
      </c>
      <c r="F109" s="62" t="s">
        <v>2578</v>
      </c>
      <c r="G109" s="28" t="s">
        <v>2926</v>
      </c>
      <c r="H109" s="62" t="s">
        <v>2583</v>
      </c>
      <c r="I109" s="41" t="s">
        <v>2584</v>
      </c>
      <c r="J109" s="63" t="s">
        <v>41</v>
      </c>
      <c r="K109" s="28"/>
      <c r="L109" s="62" t="s">
        <v>2823</v>
      </c>
    </row>
    <row r="110" ht="18.0" customHeight="1">
      <c r="A110" s="16" t="s">
        <v>2783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5"/>
    </row>
    <row r="111" ht="61.5" customHeight="1">
      <c r="A111" s="18" t="s">
        <v>2927</v>
      </c>
      <c r="B111" s="19" t="s">
        <v>2574</v>
      </c>
      <c r="C111" s="21" t="s">
        <v>2928</v>
      </c>
      <c r="D111" s="21" t="s">
        <v>2576</v>
      </c>
      <c r="E111" s="32" t="s">
        <v>25</v>
      </c>
      <c r="F111" s="64" t="s">
        <v>2578</v>
      </c>
      <c r="G111" s="21" t="s">
        <v>2929</v>
      </c>
      <c r="H111" s="64" t="s">
        <v>2583</v>
      </c>
      <c r="I111" s="25" t="s">
        <v>2584</v>
      </c>
      <c r="J111" s="63" t="s">
        <v>41</v>
      </c>
      <c r="K111" s="21"/>
      <c r="L111" s="64" t="s">
        <v>2930</v>
      </c>
    </row>
    <row r="112" ht="61.5" customHeight="1">
      <c r="A112" s="27" t="s">
        <v>2931</v>
      </c>
      <c r="B112" s="19" t="s">
        <v>2574</v>
      </c>
      <c r="C112" s="28" t="s">
        <v>2932</v>
      </c>
      <c r="D112" s="28" t="s">
        <v>2576</v>
      </c>
      <c r="E112" s="30" t="s">
        <v>25</v>
      </c>
      <c r="F112" s="62" t="s">
        <v>2578</v>
      </c>
      <c r="G112" s="28" t="s">
        <v>2933</v>
      </c>
      <c r="H112" s="62" t="s">
        <v>2583</v>
      </c>
      <c r="I112" s="41" t="s">
        <v>2584</v>
      </c>
      <c r="J112" s="63" t="s">
        <v>41</v>
      </c>
      <c r="K112" s="28"/>
      <c r="L112" s="62" t="s">
        <v>2930</v>
      </c>
    </row>
    <row r="113" ht="61.5" customHeight="1">
      <c r="A113" s="18" t="s">
        <v>2934</v>
      </c>
      <c r="B113" s="19" t="s">
        <v>2574</v>
      </c>
      <c r="C113" s="21" t="s">
        <v>2935</v>
      </c>
      <c r="D113" s="21" t="s">
        <v>2576</v>
      </c>
      <c r="E113" s="23" t="s">
        <v>15</v>
      </c>
      <c r="F113" s="64" t="s">
        <v>2578</v>
      </c>
      <c r="G113" s="21" t="s">
        <v>2936</v>
      </c>
      <c r="H113" s="64" t="s">
        <v>2583</v>
      </c>
      <c r="I113" s="25" t="s">
        <v>2584</v>
      </c>
      <c r="J113" s="63" t="s">
        <v>41</v>
      </c>
      <c r="K113" s="21"/>
      <c r="L113" s="64" t="s">
        <v>2930</v>
      </c>
    </row>
    <row r="114" ht="85.5" customHeight="1">
      <c r="A114" s="27" t="s">
        <v>2937</v>
      </c>
      <c r="B114" s="19" t="s">
        <v>2574</v>
      </c>
      <c r="C114" s="28" t="s">
        <v>2938</v>
      </c>
      <c r="D114" s="28" t="s">
        <v>2576</v>
      </c>
      <c r="E114" s="23" t="s">
        <v>15</v>
      </c>
      <c r="F114" s="62" t="s">
        <v>2578</v>
      </c>
      <c r="G114" s="28" t="s">
        <v>2939</v>
      </c>
      <c r="H114" s="62" t="s">
        <v>2583</v>
      </c>
      <c r="I114" s="41" t="s">
        <v>2584</v>
      </c>
      <c r="J114" s="63" t="s">
        <v>41</v>
      </c>
      <c r="K114" s="28"/>
      <c r="L114" s="62" t="s">
        <v>2930</v>
      </c>
    </row>
    <row r="115" ht="49.5" customHeight="1">
      <c r="A115" s="18" t="s">
        <v>2940</v>
      </c>
      <c r="B115" s="19" t="s">
        <v>2574</v>
      </c>
      <c r="C115" s="21" t="s">
        <v>2941</v>
      </c>
      <c r="D115" s="21" t="s">
        <v>2576</v>
      </c>
      <c r="E115" s="32" t="s">
        <v>25</v>
      </c>
      <c r="F115" s="64" t="s">
        <v>2578</v>
      </c>
      <c r="G115" s="21" t="s">
        <v>2942</v>
      </c>
      <c r="H115" s="64" t="s">
        <v>2583</v>
      </c>
      <c r="I115" s="25" t="s">
        <v>2584</v>
      </c>
      <c r="J115" s="63" t="s">
        <v>41</v>
      </c>
      <c r="K115" s="21"/>
      <c r="L115" s="64" t="s">
        <v>2930</v>
      </c>
    </row>
    <row r="116" ht="61.5" customHeight="1">
      <c r="A116" s="27" t="s">
        <v>2943</v>
      </c>
      <c r="B116" s="19" t="s">
        <v>2574</v>
      </c>
      <c r="C116" s="28" t="s">
        <v>2944</v>
      </c>
      <c r="D116" s="28" t="s">
        <v>2576</v>
      </c>
      <c r="E116" s="30" t="s">
        <v>25</v>
      </c>
      <c r="F116" s="62" t="s">
        <v>2578</v>
      </c>
      <c r="G116" s="28" t="s">
        <v>2945</v>
      </c>
      <c r="H116" s="62" t="s">
        <v>2583</v>
      </c>
      <c r="I116" s="41" t="s">
        <v>2584</v>
      </c>
      <c r="J116" s="63" t="s">
        <v>41</v>
      </c>
      <c r="K116" s="28"/>
      <c r="L116" s="62" t="s">
        <v>2930</v>
      </c>
    </row>
    <row r="117" ht="73.5" customHeight="1">
      <c r="A117" s="18" t="s">
        <v>2946</v>
      </c>
      <c r="B117" s="19" t="s">
        <v>2574</v>
      </c>
      <c r="C117" s="21" t="s">
        <v>2947</v>
      </c>
      <c r="D117" s="21" t="s">
        <v>2576</v>
      </c>
      <c r="E117" s="23" t="s">
        <v>15</v>
      </c>
      <c r="F117" s="64" t="s">
        <v>2578</v>
      </c>
      <c r="G117" s="21" t="s">
        <v>2948</v>
      </c>
      <c r="H117" s="64" t="s">
        <v>2583</v>
      </c>
      <c r="I117" s="25" t="s">
        <v>2584</v>
      </c>
      <c r="J117" s="63" t="s">
        <v>41</v>
      </c>
      <c r="K117" s="21"/>
      <c r="L117" s="64" t="s">
        <v>2930</v>
      </c>
    </row>
    <row r="118" ht="97.5" customHeight="1">
      <c r="A118" s="27" t="s">
        <v>2949</v>
      </c>
      <c r="B118" s="19" t="s">
        <v>2574</v>
      </c>
      <c r="C118" s="28" t="s">
        <v>2950</v>
      </c>
      <c r="D118" s="28" t="s">
        <v>2576</v>
      </c>
      <c r="E118" s="23" t="s">
        <v>15</v>
      </c>
      <c r="F118" s="62" t="s">
        <v>2578</v>
      </c>
      <c r="G118" s="28" t="s">
        <v>2951</v>
      </c>
      <c r="H118" s="62" t="s">
        <v>2583</v>
      </c>
      <c r="I118" s="41" t="s">
        <v>2584</v>
      </c>
      <c r="J118" s="63" t="s">
        <v>41</v>
      </c>
      <c r="K118" s="28"/>
      <c r="L118" s="66" t="s">
        <v>2952</v>
      </c>
    </row>
    <row r="119" ht="85.5" customHeight="1">
      <c r="A119" s="18" t="s">
        <v>2953</v>
      </c>
      <c r="B119" s="19" t="s">
        <v>2574</v>
      </c>
      <c r="C119" s="21" t="s">
        <v>2954</v>
      </c>
      <c r="D119" s="21" t="s">
        <v>2576</v>
      </c>
      <c r="E119" s="23" t="s">
        <v>15</v>
      </c>
      <c r="F119" s="64" t="s">
        <v>2578</v>
      </c>
      <c r="G119" s="21" t="s">
        <v>2955</v>
      </c>
      <c r="H119" s="64" t="s">
        <v>2583</v>
      </c>
      <c r="I119" s="25" t="s">
        <v>2584</v>
      </c>
      <c r="J119" s="63" t="s">
        <v>41</v>
      </c>
      <c r="K119" s="21"/>
      <c r="L119" s="65" t="s">
        <v>2952</v>
      </c>
    </row>
    <row r="120" ht="73.5" customHeight="1">
      <c r="A120" s="27" t="s">
        <v>2956</v>
      </c>
      <c r="B120" s="19" t="s">
        <v>2574</v>
      </c>
      <c r="C120" s="28" t="s">
        <v>2957</v>
      </c>
      <c r="D120" s="28" t="s">
        <v>2576</v>
      </c>
      <c r="E120" s="23" t="s">
        <v>15</v>
      </c>
      <c r="F120" s="62" t="s">
        <v>2578</v>
      </c>
      <c r="G120" s="28" t="s">
        <v>2958</v>
      </c>
      <c r="H120" s="62" t="s">
        <v>2583</v>
      </c>
      <c r="I120" s="41" t="s">
        <v>2584</v>
      </c>
      <c r="J120" s="63" t="s">
        <v>41</v>
      </c>
      <c r="K120" s="28"/>
      <c r="L120" s="62" t="s">
        <v>2930</v>
      </c>
    </row>
    <row r="121" ht="73.5" customHeight="1">
      <c r="A121" s="18" t="s">
        <v>2959</v>
      </c>
      <c r="B121" s="19" t="s">
        <v>2574</v>
      </c>
      <c r="C121" s="21" t="s">
        <v>2960</v>
      </c>
      <c r="D121" s="21" t="s">
        <v>2576</v>
      </c>
      <c r="E121" s="32" t="s">
        <v>25</v>
      </c>
      <c r="F121" s="64" t="s">
        <v>2578</v>
      </c>
      <c r="G121" s="21" t="s">
        <v>2961</v>
      </c>
      <c r="H121" s="64" t="s">
        <v>2583</v>
      </c>
      <c r="I121" s="25" t="s">
        <v>2584</v>
      </c>
      <c r="J121" s="63" t="s">
        <v>41</v>
      </c>
      <c r="K121" s="21"/>
      <c r="L121" s="64" t="s">
        <v>2930</v>
      </c>
    </row>
    <row r="122" ht="61.5" customHeight="1">
      <c r="A122" s="27" t="s">
        <v>2962</v>
      </c>
      <c r="B122" s="19" t="s">
        <v>2574</v>
      </c>
      <c r="C122" s="28" t="s">
        <v>2963</v>
      </c>
      <c r="D122" s="28" t="s">
        <v>2576</v>
      </c>
      <c r="E122" s="23" t="s">
        <v>15</v>
      </c>
      <c r="F122" s="62" t="s">
        <v>2578</v>
      </c>
      <c r="G122" s="28" t="s">
        <v>2964</v>
      </c>
      <c r="H122" s="62" t="s">
        <v>2583</v>
      </c>
      <c r="I122" s="41" t="s">
        <v>2584</v>
      </c>
      <c r="J122" s="63" t="s">
        <v>41</v>
      </c>
      <c r="K122" s="28"/>
      <c r="L122" s="62" t="s">
        <v>2930</v>
      </c>
    </row>
    <row r="123" ht="18.0" customHeight="1">
      <c r="A123" s="16" t="s">
        <v>2965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5"/>
    </row>
    <row r="124" ht="49.5" customHeight="1">
      <c r="A124" s="18" t="s">
        <v>2966</v>
      </c>
      <c r="B124" s="19" t="s">
        <v>2574</v>
      </c>
      <c r="C124" s="21" t="s">
        <v>2967</v>
      </c>
      <c r="D124" s="21" t="s">
        <v>2576</v>
      </c>
      <c r="E124" s="32" t="s">
        <v>25</v>
      </c>
      <c r="F124" s="64" t="s">
        <v>2578</v>
      </c>
      <c r="G124" s="21" t="s">
        <v>2968</v>
      </c>
      <c r="H124" s="64" t="s">
        <v>2583</v>
      </c>
      <c r="I124" s="25" t="s">
        <v>2584</v>
      </c>
      <c r="J124" s="63" t="s">
        <v>41</v>
      </c>
      <c r="K124" s="21"/>
      <c r="L124" s="64" t="s">
        <v>2969</v>
      </c>
    </row>
    <row r="125" ht="61.5" customHeight="1">
      <c r="A125" s="27" t="s">
        <v>2970</v>
      </c>
      <c r="B125" s="19" t="s">
        <v>2574</v>
      </c>
      <c r="C125" s="28" t="s">
        <v>2971</v>
      </c>
      <c r="D125" s="28" t="s">
        <v>2576</v>
      </c>
      <c r="E125" s="23" t="s">
        <v>15</v>
      </c>
      <c r="F125" s="62" t="s">
        <v>2578</v>
      </c>
      <c r="G125" s="28" t="s">
        <v>2972</v>
      </c>
      <c r="H125" s="62" t="s">
        <v>2583</v>
      </c>
      <c r="I125" s="41" t="s">
        <v>2584</v>
      </c>
      <c r="J125" s="63" t="s">
        <v>41</v>
      </c>
      <c r="K125" s="28"/>
      <c r="L125" s="62" t="s">
        <v>2969</v>
      </c>
    </row>
    <row r="126" ht="73.5" customHeight="1">
      <c r="A126" s="18" t="s">
        <v>2973</v>
      </c>
      <c r="B126" s="19" t="s">
        <v>2574</v>
      </c>
      <c r="C126" s="21" t="s">
        <v>2974</v>
      </c>
      <c r="D126" s="21" t="s">
        <v>2576</v>
      </c>
      <c r="E126" s="23" t="s">
        <v>15</v>
      </c>
      <c r="F126" s="64" t="s">
        <v>2578</v>
      </c>
      <c r="G126" s="21" t="s">
        <v>2975</v>
      </c>
      <c r="H126" s="64" t="s">
        <v>2583</v>
      </c>
      <c r="I126" s="25" t="s">
        <v>2584</v>
      </c>
      <c r="J126" s="63" t="s">
        <v>41</v>
      </c>
      <c r="K126" s="21"/>
      <c r="L126" s="64" t="s">
        <v>2969</v>
      </c>
    </row>
    <row r="127" ht="109.5" customHeight="1">
      <c r="A127" s="27" t="s">
        <v>2976</v>
      </c>
      <c r="B127" s="19" t="s">
        <v>2574</v>
      </c>
      <c r="C127" s="28" t="s">
        <v>2977</v>
      </c>
      <c r="D127" s="28" t="s">
        <v>2576</v>
      </c>
      <c r="E127" s="23" t="s">
        <v>15</v>
      </c>
      <c r="F127" s="62" t="s">
        <v>2578</v>
      </c>
      <c r="G127" s="28" t="s">
        <v>2978</v>
      </c>
      <c r="H127" s="62" t="s">
        <v>2583</v>
      </c>
      <c r="I127" s="41" t="s">
        <v>2584</v>
      </c>
      <c r="J127" s="63" t="s">
        <v>41</v>
      </c>
      <c r="K127" s="28"/>
      <c r="L127" s="66" t="s">
        <v>2979</v>
      </c>
    </row>
    <row r="128" ht="85.5" customHeight="1">
      <c r="A128" s="18" t="s">
        <v>2980</v>
      </c>
      <c r="B128" s="19" t="s">
        <v>2574</v>
      </c>
      <c r="C128" s="21" t="s">
        <v>2981</v>
      </c>
      <c r="D128" s="21" t="s">
        <v>2576</v>
      </c>
      <c r="E128" s="23" t="s">
        <v>15</v>
      </c>
      <c r="F128" s="64" t="s">
        <v>2578</v>
      </c>
      <c r="G128" s="21" t="s">
        <v>2982</v>
      </c>
      <c r="H128" s="64" t="s">
        <v>2583</v>
      </c>
      <c r="I128" s="25" t="s">
        <v>2584</v>
      </c>
      <c r="J128" s="63" t="s">
        <v>41</v>
      </c>
      <c r="K128" s="21"/>
      <c r="L128" s="65" t="s">
        <v>2979</v>
      </c>
    </row>
    <row r="129" ht="97.5" customHeight="1">
      <c r="A129" s="27" t="s">
        <v>2983</v>
      </c>
      <c r="B129" s="19" t="s">
        <v>2574</v>
      </c>
      <c r="C129" s="28" t="s">
        <v>2984</v>
      </c>
      <c r="D129" s="28" t="s">
        <v>2576</v>
      </c>
      <c r="E129" s="23" t="s">
        <v>15</v>
      </c>
      <c r="F129" s="62" t="s">
        <v>2578</v>
      </c>
      <c r="G129" s="28" t="s">
        <v>2985</v>
      </c>
      <c r="H129" s="62" t="s">
        <v>2583</v>
      </c>
      <c r="I129" s="41" t="s">
        <v>2584</v>
      </c>
      <c r="J129" s="63" t="s">
        <v>41</v>
      </c>
      <c r="K129" s="28"/>
      <c r="L129" s="66" t="s">
        <v>2979</v>
      </c>
    </row>
    <row r="130" ht="97.5" customHeight="1">
      <c r="A130" s="18" t="s">
        <v>2986</v>
      </c>
      <c r="B130" s="19" t="s">
        <v>2574</v>
      </c>
      <c r="C130" s="21" t="s">
        <v>2987</v>
      </c>
      <c r="D130" s="21" t="s">
        <v>2576</v>
      </c>
      <c r="E130" s="23" t="s">
        <v>15</v>
      </c>
      <c r="F130" s="64" t="s">
        <v>2578</v>
      </c>
      <c r="G130" s="21" t="s">
        <v>2988</v>
      </c>
      <c r="H130" s="64" t="s">
        <v>2583</v>
      </c>
      <c r="I130" s="25" t="s">
        <v>2584</v>
      </c>
      <c r="J130" s="63" t="s">
        <v>41</v>
      </c>
      <c r="K130" s="21"/>
      <c r="L130" s="65" t="s">
        <v>2979</v>
      </c>
    </row>
    <row r="131" ht="18.0" customHeight="1">
      <c r="A131" s="16" t="s">
        <v>2814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5"/>
    </row>
    <row r="132" ht="49.5" customHeight="1">
      <c r="A132" s="27" t="s">
        <v>2989</v>
      </c>
      <c r="B132" s="19" t="s">
        <v>2574</v>
      </c>
      <c r="C132" s="28" t="s">
        <v>2990</v>
      </c>
      <c r="D132" s="28" t="s">
        <v>2576</v>
      </c>
      <c r="E132" s="30" t="s">
        <v>25</v>
      </c>
      <c r="F132" s="62" t="s">
        <v>2578</v>
      </c>
      <c r="G132" s="28" t="s">
        <v>2991</v>
      </c>
      <c r="H132" s="62" t="s">
        <v>2583</v>
      </c>
      <c r="I132" s="41" t="s">
        <v>2584</v>
      </c>
      <c r="J132" s="63" t="s">
        <v>41</v>
      </c>
      <c r="K132" s="28"/>
      <c r="L132" s="62" t="s">
        <v>2818</v>
      </c>
    </row>
    <row r="133" ht="49.5" customHeight="1">
      <c r="A133" s="18" t="s">
        <v>2992</v>
      </c>
      <c r="B133" s="19" t="s">
        <v>2574</v>
      </c>
      <c r="C133" s="21" t="s">
        <v>2993</v>
      </c>
      <c r="D133" s="21" t="s">
        <v>2576</v>
      </c>
      <c r="E133" s="32" t="s">
        <v>25</v>
      </c>
      <c r="F133" s="64" t="s">
        <v>2578</v>
      </c>
      <c r="G133" s="21" t="s">
        <v>2994</v>
      </c>
      <c r="H133" s="64" t="s">
        <v>2583</v>
      </c>
      <c r="I133" s="25" t="s">
        <v>2584</v>
      </c>
      <c r="J133" s="63" t="s">
        <v>41</v>
      </c>
      <c r="K133" s="21"/>
      <c r="L133" s="64" t="s">
        <v>2818</v>
      </c>
    </row>
    <row r="134" ht="61.5" customHeight="1">
      <c r="A134" s="27" t="s">
        <v>2995</v>
      </c>
      <c r="B134" s="19" t="s">
        <v>2574</v>
      </c>
      <c r="C134" s="28" t="s">
        <v>2996</v>
      </c>
      <c r="D134" s="28" t="s">
        <v>2576</v>
      </c>
      <c r="E134" s="23" t="s">
        <v>15</v>
      </c>
      <c r="F134" s="62" t="s">
        <v>2578</v>
      </c>
      <c r="G134" s="28" t="s">
        <v>2997</v>
      </c>
      <c r="H134" s="62" t="s">
        <v>2583</v>
      </c>
      <c r="I134" s="41" t="s">
        <v>2584</v>
      </c>
      <c r="J134" s="63" t="s">
        <v>41</v>
      </c>
      <c r="K134" s="28"/>
      <c r="L134" s="62" t="s">
        <v>2818</v>
      </c>
    </row>
    <row r="135" ht="61.5" customHeight="1">
      <c r="A135" s="18" t="s">
        <v>2998</v>
      </c>
      <c r="B135" s="19" t="s">
        <v>2574</v>
      </c>
      <c r="C135" s="21" t="s">
        <v>2999</v>
      </c>
      <c r="D135" s="21" t="s">
        <v>2576</v>
      </c>
      <c r="E135" s="23" t="s">
        <v>15</v>
      </c>
      <c r="F135" s="64" t="s">
        <v>2578</v>
      </c>
      <c r="G135" s="21" t="s">
        <v>3000</v>
      </c>
      <c r="H135" s="64" t="s">
        <v>2583</v>
      </c>
      <c r="I135" s="25" t="s">
        <v>2584</v>
      </c>
      <c r="J135" s="63" t="s">
        <v>41</v>
      </c>
      <c r="K135" s="21"/>
      <c r="L135" s="64" t="s">
        <v>2818</v>
      </c>
    </row>
    <row r="136" ht="49.5" customHeight="1">
      <c r="A136" s="27" t="s">
        <v>3001</v>
      </c>
      <c r="B136" s="19" t="s">
        <v>2574</v>
      </c>
      <c r="C136" s="28" t="s">
        <v>3002</v>
      </c>
      <c r="D136" s="28" t="s">
        <v>2576</v>
      </c>
      <c r="E136" s="23" t="s">
        <v>15</v>
      </c>
      <c r="F136" s="62" t="s">
        <v>2578</v>
      </c>
      <c r="G136" s="28" t="s">
        <v>3003</v>
      </c>
      <c r="H136" s="62" t="s">
        <v>2583</v>
      </c>
      <c r="I136" s="41" t="s">
        <v>2584</v>
      </c>
      <c r="J136" s="63" t="s">
        <v>41</v>
      </c>
      <c r="K136" s="28"/>
      <c r="L136" s="62" t="s">
        <v>2818</v>
      </c>
    </row>
    <row r="137" ht="37.5" customHeight="1">
      <c r="A137" s="18" t="s">
        <v>3004</v>
      </c>
      <c r="B137" s="19" t="s">
        <v>2574</v>
      </c>
      <c r="C137" s="21" t="s">
        <v>3005</v>
      </c>
      <c r="D137" s="21" t="s">
        <v>2576</v>
      </c>
      <c r="E137" s="32" t="s">
        <v>25</v>
      </c>
      <c r="F137" s="64" t="s">
        <v>2578</v>
      </c>
      <c r="G137" s="21" t="s">
        <v>3006</v>
      </c>
      <c r="H137" s="64" t="s">
        <v>2583</v>
      </c>
      <c r="I137" s="21" t="s">
        <v>55</v>
      </c>
      <c r="J137" s="63" t="s">
        <v>41</v>
      </c>
      <c r="K137" s="21"/>
      <c r="L137" s="64" t="s">
        <v>2818</v>
      </c>
    </row>
    <row r="138" ht="73.5" customHeight="1">
      <c r="A138" s="27" t="s">
        <v>3007</v>
      </c>
      <c r="B138" s="19" t="s">
        <v>2574</v>
      </c>
      <c r="C138" s="28" t="s">
        <v>3008</v>
      </c>
      <c r="D138" s="28" t="s">
        <v>2576</v>
      </c>
      <c r="E138" s="23" t="s">
        <v>15</v>
      </c>
      <c r="F138" s="62" t="s">
        <v>2578</v>
      </c>
      <c r="G138" s="28" t="s">
        <v>3009</v>
      </c>
      <c r="H138" s="62" t="s">
        <v>2583</v>
      </c>
      <c r="I138" s="41" t="s">
        <v>2584</v>
      </c>
      <c r="J138" s="63" t="s">
        <v>41</v>
      </c>
      <c r="K138" s="28"/>
      <c r="L138" s="62" t="s">
        <v>2818</v>
      </c>
    </row>
    <row r="139" ht="109.5" customHeight="1">
      <c r="A139" s="18" t="s">
        <v>3010</v>
      </c>
      <c r="B139" s="19" t="s">
        <v>2574</v>
      </c>
      <c r="C139" s="21" t="s">
        <v>3011</v>
      </c>
      <c r="D139" s="21" t="s">
        <v>2576</v>
      </c>
      <c r="E139" s="23" t="s">
        <v>15</v>
      </c>
      <c r="F139" s="64" t="s">
        <v>2578</v>
      </c>
      <c r="G139" s="21" t="s">
        <v>3012</v>
      </c>
      <c r="H139" s="64" t="s">
        <v>2583</v>
      </c>
      <c r="I139" s="25" t="s">
        <v>2584</v>
      </c>
      <c r="J139" s="63" t="s">
        <v>41</v>
      </c>
      <c r="K139" s="21"/>
      <c r="L139" s="64" t="s">
        <v>2818</v>
      </c>
    </row>
    <row r="140" ht="37.5" customHeight="1">
      <c r="A140" s="27" t="s">
        <v>3013</v>
      </c>
      <c r="B140" s="19" t="s">
        <v>2574</v>
      </c>
      <c r="C140" s="28" t="s">
        <v>3014</v>
      </c>
      <c r="D140" s="28" t="s">
        <v>2576</v>
      </c>
      <c r="E140" s="23" t="s">
        <v>15</v>
      </c>
      <c r="F140" s="62" t="s">
        <v>2578</v>
      </c>
      <c r="G140" s="28" t="s">
        <v>3015</v>
      </c>
      <c r="H140" s="62" t="s">
        <v>2583</v>
      </c>
      <c r="I140" s="28" t="s">
        <v>55</v>
      </c>
      <c r="J140" s="63" t="s">
        <v>41</v>
      </c>
      <c r="K140" s="28"/>
      <c r="L140" s="66" t="s">
        <v>3016</v>
      </c>
    </row>
    <row r="141" ht="18.0" customHeight="1">
      <c r="A141" s="16" t="s">
        <v>2726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5"/>
    </row>
    <row r="142" ht="73.5" customHeight="1">
      <c r="A142" s="18" t="s">
        <v>3017</v>
      </c>
      <c r="B142" s="19" t="s">
        <v>2574</v>
      </c>
      <c r="C142" s="21" t="s">
        <v>3018</v>
      </c>
      <c r="D142" s="21" t="s">
        <v>2576</v>
      </c>
      <c r="E142" s="23" t="s">
        <v>15</v>
      </c>
      <c r="F142" s="64" t="s">
        <v>2578</v>
      </c>
      <c r="G142" s="21" t="s">
        <v>3019</v>
      </c>
      <c r="H142" s="64" t="s">
        <v>2583</v>
      </c>
      <c r="I142" s="25" t="s">
        <v>2584</v>
      </c>
      <c r="J142" s="63" t="s">
        <v>41</v>
      </c>
      <c r="K142" s="21"/>
      <c r="L142" s="64" t="s">
        <v>2730</v>
      </c>
    </row>
    <row r="143" ht="49.5" customHeight="1">
      <c r="A143" s="27" t="s">
        <v>3020</v>
      </c>
      <c r="B143" s="19" t="s">
        <v>2574</v>
      </c>
      <c r="C143" s="28" t="s">
        <v>3021</v>
      </c>
      <c r="D143" s="28" t="s">
        <v>2576</v>
      </c>
      <c r="E143" s="30" t="s">
        <v>25</v>
      </c>
      <c r="F143" s="62" t="s">
        <v>2578</v>
      </c>
      <c r="G143" s="28" t="s">
        <v>3022</v>
      </c>
      <c r="H143" s="62" t="s">
        <v>2583</v>
      </c>
      <c r="I143" s="41" t="s">
        <v>2584</v>
      </c>
      <c r="J143" s="63" t="s">
        <v>41</v>
      </c>
      <c r="K143" s="28"/>
      <c r="L143" s="62" t="s">
        <v>2730</v>
      </c>
    </row>
    <row r="144" ht="73.5" customHeight="1">
      <c r="A144" s="18" t="s">
        <v>3023</v>
      </c>
      <c r="B144" s="19" t="s">
        <v>2574</v>
      </c>
      <c r="C144" s="21" t="s">
        <v>3024</v>
      </c>
      <c r="D144" s="21" t="s">
        <v>2576</v>
      </c>
      <c r="E144" s="23" t="s">
        <v>15</v>
      </c>
      <c r="F144" s="64" t="s">
        <v>2578</v>
      </c>
      <c r="G144" s="21" t="s">
        <v>3025</v>
      </c>
      <c r="H144" s="64" t="s">
        <v>2583</v>
      </c>
      <c r="I144" s="25" t="s">
        <v>2584</v>
      </c>
      <c r="J144" s="63" t="s">
        <v>41</v>
      </c>
      <c r="K144" s="21"/>
      <c r="L144" s="64" t="s">
        <v>2730</v>
      </c>
    </row>
    <row r="145" ht="73.5" customHeight="1">
      <c r="A145" s="27" t="s">
        <v>3026</v>
      </c>
      <c r="B145" s="19" t="s">
        <v>2574</v>
      </c>
      <c r="C145" s="28" t="s">
        <v>3027</v>
      </c>
      <c r="D145" s="28" t="s">
        <v>2576</v>
      </c>
      <c r="E145" s="23" t="s">
        <v>15</v>
      </c>
      <c r="F145" s="62" t="s">
        <v>2578</v>
      </c>
      <c r="G145" s="28" t="s">
        <v>3028</v>
      </c>
      <c r="H145" s="62" t="s">
        <v>2583</v>
      </c>
      <c r="I145" s="41" t="s">
        <v>2584</v>
      </c>
      <c r="J145" s="63" t="s">
        <v>41</v>
      </c>
      <c r="K145" s="28"/>
      <c r="L145" s="62" t="s">
        <v>2730</v>
      </c>
    </row>
    <row r="146" ht="73.5" customHeight="1">
      <c r="A146" s="18" t="s">
        <v>3029</v>
      </c>
      <c r="B146" s="19" t="s">
        <v>2574</v>
      </c>
      <c r="C146" s="21" t="s">
        <v>3030</v>
      </c>
      <c r="D146" s="21" t="s">
        <v>2576</v>
      </c>
      <c r="E146" s="23" t="s">
        <v>15</v>
      </c>
      <c r="F146" s="64" t="s">
        <v>2578</v>
      </c>
      <c r="G146" s="21" t="s">
        <v>3031</v>
      </c>
      <c r="H146" s="64" t="s">
        <v>2583</v>
      </c>
      <c r="I146" s="25" t="s">
        <v>2584</v>
      </c>
      <c r="J146" s="63" t="s">
        <v>41</v>
      </c>
      <c r="K146" s="21"/>
      <c r="L146" s="64" t="s">
        <v>2730</v>
      </c>
    </row>
    <row r="147" ht="73.5" customHeight="1">
      <c r="A147" s="27" t="s">
        <v>3032</v>
      </c>
      <c r="B147" s="19" t="s">
        <v>2574</v>
      </c>
      <c r="C147" s="28" t="s">
        <v>3033</v>
      </c>
      <c r="D147" s="28" t="s">
        <v>2576</v>
      </c>
      <c r="E147" s="23" t="s">
        <v>15</v>
      </c>
      <c r="F147" s="62" t="s">
        <v>2578</v>
      </c>
      <c r="G147" s="28" t="s">
        <v>3034</v>
      </c>
      <c r="H147" s="62" t="s">
        <v>2583</v>
      </c>
      <c r="I147" s="41" t="s">
        <v>2584</v>
      </c>
      <c r="J147" s="63" t="s">
        <v>41</v>
      </c>
      <c r="K147" s="28"/>
      <c r="L147" s="62" t="s">
        <v>2730</v>
      </c>
    </row>
    <row r="148" ht="49.5" customHeight="1">
      <c r="A148" s="18" t="s">
        <v>3035</v>
      </c>
      <c r="B148" s="19" t="s">
        <v>2574</v>
      </c>
      <c r="C148" s="21" t="s">
        <v>3036</v>
      </c>
      <c r="D148" s="21" t="s">
        <v>2576</v>
      </c>
      <c r="E148" s="32" t="s">
        <v>25</v>
      </c>
      <c r="F148" s="64" t="s">
        <v>2578</v>
      </c>
      <c r="G148" s="21" t="s">
        <v>3037</v>
      </c>
      <c r="H148" s="64" t="s">
        <v>2583</v>
      </c>
      <c r="I148" s="25" t="s">
        <v>2584</v>
      </c>
      <c r="J148" s="63" t="s">
        <v>41</v>
      </c>
      <c r="K148" s="21"/>
      <c r="L148" s="64" t="s">
        <v>2730</v>
      </c>
    </row>
    <row r="149" ht="73.5" customHeight="1">
      <c r="A149" s="27" t="s">
        <v>3038</v>
      </c>
      <c r="B149" s="19" t="s">
        <v>2574</v>
      </c>
      <c r="C149" s="28" t="s">
        <v>3039</v>
      </c>
      <c r="D149" s="28" t="s">
        <v>2576</v>
      </c>
      <c r="E149" s="30" t="s">
        <v>25</v>
      </c>
      <c r="F149" s="62" t="s">
        <v>2578</v>
      </c>
      <c r="G149" s="28" t="s">
        <v>3040</v>
      </c>
      <c r="H149" s="62" t="s">
        <v>2583</v>
      </c>
      <c r="I149" s="41" t="s">
        <v>2584</v>
      </c>
      <c r="J149" s="63" t="s">
        <v>41</v>
      </c>
      <c r="K149" s="28"/>
      <c r="L149" s="62" t="s">
        <v>2730</v>
      </c>
    </row>
    <row r="150" ht="73.5" customHeight="1">
      <c r="A150" s="18" t="s">
        <v>3041</v>
      </c>
      <c r="B150" s="19" t="s">
        <v>2574</v>
      </c>
      <c r="C150" s="21" t="s">
        <v>3042</v>
      </c>
      <c r="D150" s="21" t="s">
        <v>2576</v>
      </c>
      <c r="E150" s="23" t="s">
        <v>15</v>
      </c>
      <c r="F150" s="64" t="s">
        <v>2578</v>
      </c>
      <c r="G150" s="21" t="s">
        <v>3043</v>
      </c>
      <c r="H150" s="64" t="s">
        <v>2583</v>
      </c>
      <c r="I150" s="25" t="s">
        <v>2584</v>
      </c>
      <c r="J150" s="63" t="s">
        <v>41</v>
      </c>
      <c r="K150" s="21"/>
      <c r="L150" s="64" t="s">
        <v>2730</v>
      </c>
    </row>
    <row r="151" ht="18.0" customHeight="1">
      <c r="A151" s="16" t="s">
        <v>3044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5"/>
    </row>
    <row r="152" ht="49.5" customHeight="1">
      <c r="A152" s="27" t="s">
        <v>3045</v>
      </c>
      <c r="B152" s="19" t="s">
        <v>2574</v>
      </c>
      <c r="C152" s="28" t="s">
        <v>3046</v>
      </c>
      <c r="D152" s="28" t="s">
        <v>2576</v>
      </c>
      <c r="E152" s="30" t="s">
        <v>25</v>
      </c>
      <c r="F152" s="62" t="s">
        <v>2578</v>
      </c>
      <c r="G152" s="28" t="s">
        <v>3047</v>
      </c>
      <c r="H152" s="62" t="s">
        <v>2583</v>
      </c>
      <c r="I152" s="41" t="s">
        <v>2584</v>
      </c>
      <c r="J152" s="63" t="s">
        <v>41</v>
      </c>
      <c r="K152" s="28"/>
      <c r="L152" s="62" t="s">
        <v>3048</v>
      </c>
    </row>
    <row r="153" ht="49.5" customHeight="1">
      <c r="A153" s="18" t="s">
        <v>3049</v>
      </c>
      <c r="B153" s="19" t="s">
        <v>2574</v>
      </c>
      <c r="C153" s="21" t="s">
        <v>3050</v>
      </c>
      <c r="D153" s="21" t="s">
        <v>2576</v>
      </c>
      <c r="E153" s="32" t="s">
        <v>25</v>
      </c>
      <c r="F153" s="64" t="s">
        <v>2578</v>
      </c>
      <c r="G153" s="21" t="s">
        <v>3051</v>
      </c>
      <c r="H153" s="64" t="s">
        <v>2583</v>
      </c>
      <c r="I153" s="25" t="s">
        <v>2584</v>
      </c>
      <c r="J153" s="63" t="s">
        <v>41</v>
      </c>
      <c r="K153" s="21"/>
      <c r="L153" s="64" t="s">
        <v>3048</v>
      </c>
    </row>
    <row r="154" ht="109.5" customHeight="1">
      <c r="A154" s="27" t="s">
        <v>3052</v>
      </c>
      <c r="B154" s="19" t="s">
        <v>2574</v>
      </c>
      <c r="C154" s="28" t="s">
        <v>3053</v>
      </c>
      <c r="D154" s="28" t="s">
        <v>2576</v>
      </c>
      <c r="E154" s="23" t="s">
        <v>15</v>
      </c>
      <c r="F154" s="62" t="s">
        <v>2578</v>
      </c>
      <c r="G154" s="28" t="s">
        <v>3054</v>
      </c>
      <c r="H154" s="62" t="s">
        <v>2583</v>
      </c>
      <c r="I154" s="41" t="s">
        <v>2584</v>
      </c>
      <c r="J154" s="63" t="s">
        <v>41</v>
      </c>
      <c r="K154" s="28"/>
      <c r="L154" s="66" t="s">
        <v>3055</v>
      </c>
    </row>
    <row r="155" ht="61.5" customHeight="1">
      <c r="A155" s="18" t="s">
        <v>3056</v>
      </c>
      <c r="B155" s="19" t="s">
        <v>2574</v>
      </c>
      <c r="C155" s="21" t="s">
        <v>3057</v>
      </c>
      <c r="D155" s="21" t="s">
        <v>2576</v>
      </c>
      <c r="E155" s="32" t="s">
        <v>25</v>
      </c>
      <c r="F155" s="64" t="s">
        <v>2578</v>
      </c>
      <c r="G155" s="21" t="s">
        <v>3058</v>
      </c>
      <c r="H155" s="64" t="s">
        <v>2583</v>
      </c>
      <c r="I155" s="25" t="s">
        <v>2584</v>
      </c>
      <c r="J155" s="63" t="s">
        <v>41</v>
      </c>
      <c r="K155" s="21"/>
      <c r="L155" s="64" t="s">
        <v>3048</v>
      </c>
    </row>
    <row r="156" ht="85.5" customHeight="1">
      <c r="A156" s="27" t="s">
        <v>3059</v>
      </c>
      <c r="B156" s="19" t="s">
        <v>2574</v>
      </c>
      <c r="C156" s="28" t="s">
        <v>3060</v>
      </c>
      <c r="D156" s="28" t="s">
        <v>2576</v>
      </c>
      <c r="E156" s="23" t="s">
        <v>15</v>
      </c>
      <c r="F156" s="62" t="s">
        <v>2578</v>
      </c>
      <c r="G156" s="28" t="s">
        <v>3061</v>
      </c>
      <c r="H156" s="62" t="s">
        <v>2583</v>
      </c>
      <c r="I156" s="41" t="s">
        <v>2584</v>
      </c>
      <c r="J156" s="63" t="s">
        <v>41</v>
      </c>
      <c r="K156" s="28"/>
      <c r="L156" s="66" t="s">
        <v>3055</v>
      </c>
    </row>
    <row r="157" ht="73.5" customHeight="1">
      <c r="A157" s="18" t="s">
        <v>3062</v>
      </c>
      <c r="B157" s="19" t="s">
        <v>2574</v>
      </c>
      <c r="C157" s="21" t="s">
        <v>3063</v>
      </c>
      <c r="D157" s="21" t="s">
        <v>2576</v>
      </c>
      <c r="E157" s="23" t="s">
        <v>15</v>
      </c>
      <c r="F157" s="64" t="s">
        <v>2578</v>
      </c>
      <c r="G157" s="21" t="s">
        <v>3064</v>
      </c>
      <c r="H157" s="64" t="s">
        <v>2583</v>
      </c>
      <c r="I157" s="25" t="s">
        <v>2584</v>
      </c>
      <c r="J157" s="63" t="s">
        <v>41</v>
      </c>
      <c r="K157" s="21"/>
      <c r="L157" s="64" t="s">
        <v>3048</v>
      </c>
    </row>
    <row r="158" ht="18.0" customHeight="1">
      <c r="A158" s="16" t="s">
        <v>3065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5"/>
    </row>
    <row r="159" ht="49.5" customHeight="1">
      <c r="A159" s="27" t="s">
        <v>3066</v>
      </c>
      <c r="B159" s="19" t="s">
        <v>2574</v>
      </c>
      <c r="C159" s="28" t="s">
        <v>3067</v>
      </c>
      <c r="D159" s="28" t="s">
        <v>2576</v>
      </c>
      <c r="E159" s="30" t="s">
        <v>25</v>
      </c>
      <c r="F159" s="62" t="s">
        <v>2578</v>
      </c>
      <c r="G159" s="28" t="s">
        <v>3068</v>
      </c>
      <c r="H159" s="62" t="s">
        <v>2583</v>
      </c>
      <c r="I159" s="41" t="s">
        <v>2584</v>
      </c>
      <c r="J159" s="63" t="s">
        <v>41</v>
      </c>
      <c r="K159" s="28"/>
      <c r="L159" s="62" t="s">
        <v>3069</v>
      </c>
    </row>
    <row r="160" ht="61.5" customHeight="1">
      <c r="A160" s="18" t="s">
        <v>3070</v>
      </c>
      <c r="B160" s="19" t="s">
        <v>2574</v>
      </c>
      <c r="C160" s="21" t="s">
        <v>3071</v>
      </c>
      <c r="D160" s="21" t="s">
        <v>2576</v>
      </c>
      <c r="E160" s="32" t="s">
        <v>25</v>
      </c>
      <c r="F160" s="64" t="s">
        <v>2578</v>
      </c>
      <c r="G160" s="21" t="s">
        <v>3072</v>
      </c>
      <c r="H160" s="64" t="s">
        <v>2583</v>
      </c>
      <c r="I160" s="25" t="s">
        <v>2584</v>
      </c>
      <c r="J160" s="63" t="s">
        <v>41</v>
      </c>
      <c r="K160" s="21"/>
      <c r="L160" s="64" t="s">
        <v>3069</v>
      </c>
    </row>
    <row r="161" ht="61.5" customHeight="1">
      <c r="A161" s="27" t="s">
        <v>3073</v>
      </c>
      <c r="B161" s="19" t="s">
        <v>2574</v>
      </c>
      <c r="C161" s="28" t="s">
        <v>3074</v>
      </c>
      <c r="D161" s="28" t="s">
        <v>2576</v>
      </c>
      <c r="E161" s="23" t="s">
        <v>15</v>
      </c>
      <c r="F161" s="62" t="s">
        <v>2578</v>
      </c>
      <c r="G161" s="28" t="s">
        <v>3075</v>
      </c>
      <c r="H161" s="62" t="s">
        <v>2583</v>
      </c>
      <c r="I161" s="41" t="s">
        <v>2584</v>
      </c>
      <c r="J161" s="63" t="s">
        <v>41</v>
      </c>
      <c r="K161" s="28"/>
      <c r="L161" s="62" t="s">
        <v>3069</v>
      </c>
    </row>
    <row r="162" ht="73.5" customHeight="1">
      <c r="A162" s="18" t="s">
        <v>3076</v>
      </c>
      <c r="B162" s="19" t="s">
        <v>2574</v>
      </c>
      <c r="C162" s="21" t="s">
        <v>3077</v>
      </c>
      <c r="D162" s="21" t="s">
        <v>2576</v>
      </c>
      <c r="E162" s="23" t="s">
        <v>15</v>
      </c>
      <c r="F162" s="64" t="s">
        <v>2578</v>
      </c>
      <c r="G162" s="21" t="s">
        <v>3078</v>
      </c>
      <c r="H162" s="64" t="s">
        <v>2583</v>
      </c>
      <c r="I162" s="25" t="s">
        <v>2584</v>
      </c>
      <c r="J162" s="63" t="s">
        <v>41</v>
      </c>
      <c r="K162" s="21"/>
      <c r="L162" s="64" t="s">
        <v>3069</v>
      </c>
    </row>
    <row r="163" ht="73.5" customHeight="1">
      <c r="A163" s="27" t="s">
        <v>3079</v>
      </c>
      <c r="B163" s="19" t="s">
        <v>2574</v>
      </c>
      <c r="C163" s="28" t="s">
        <v>3080</v>
      </c>
      <c r="D163" s="28" t="s">
        <v>2576</v>
      </c>
      <c r="E163" s="23" t="s">
        <v>15</v>
      </c>
      <c r="F163" s="62" t="s">
        <v>2578</v>
      </c>
      <c r="G163" s="28" t="s">
        <v>3081</v>
      </c>
      <c r="H163" s="62" t="s">
        <v>2583</v>
      </c>
      <c r="I163" s="41" t="s">
        <v>2584</v>
      </c>
      <c r="J163" s="63" t="s">
        <v>41</v>
      </c>
      <c r="K163" s="28"/>
      <c r="L163" s="62" t="s">
        <v>3069</v>
      </c>
    </row>
    <row r="164" ht="18.0" customHeight="1">
      <c r="A164" s="16" t="s">
        <v>3082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5"/>
    </row>
    <row r="165" ht="49.5" customHeight="1">
      <c r="A165" s="18" t="s">
        <v>3083</v>
      </c>
      <c r="B165" s="19" t="s">
        <v>2574</v>
      </c>
      <c r="C165" s="21" t="s">
        <v>3084</v>
      </c>
      <c r="D165" s="21" t="s">
        <v>2576</v>
      </c>
      <c r="E165" s="32" t="s">
        <v>25</v>
      </c>
      <c r="F165" s="64" t="s">
        <v>2578</v>
      </c>
      <c r="G165" s="21" t="s">
        <v>3085</v>
      </c>
      <c r="H165" s="64" t="s">
        <v>2583</v>
      </c>
      <c r="I165" s="25" t="s">
        <v>2584</v>
      </c>
      <c r="J165" s="63" t="s">
        <v>41</v>
      </c>
      <c r="K165" s="21"/>
      <c r="L165" s="64" t="s">
        <v>3048</v>
      </c>
    </row>
    <row r="166" ht="61.5" customHeight="1">
      <c r="A166" s="27" t="s">
        <v>3086</v>
      </c>
      <c r="B166" s="19" t="s">
        <v>2574</v>
      </c>
      <c r="C166" s="28" t="s">
        <v>3087</v>
      </c>
      <c r="D166" s="28" t="s">
        <v>2576</v>
      </c>
      <c r="E166" s="23" t="s">
        <v>15</v>
      </c>
      <c r="F166" s="62" t="s">
        <v>2578</v>
      </c>
      <c r="G166" s="28" t="s">
        <v>3088</v>
      </c>
      <c r="H166" s="62" t="s">
        <v>2583</v>
      </c>
      <c r="I166" s="41" t="s">
        <v>2584</v>
      </c>
      <c r="J166" s="63" t="s">
        <v>41</v>
      </c>
      <c r="K166" s="28"/>
      <c r="L166" s="62" t="s">
        <v>3048</v>
      </c>
    </row>
    <row r="167" ht="49.5" customHeight="1">
      <c r="A167" s="18" t="s">
        <v>3089</v>
      </c>
      <c r="B167" s="19" t="s">
        <v>2574</v>
      </c>
      <c r="C167" s="21" t="s">
        <v>3090</v>
      </c>
      <c r="D167" s="21" t="s">
        <v>2576</v>
      </c>
      <c r="E167" s="23" t="s">
        <v>15</v>
      </c>
      <c r="F167" s="64" t="s">
        <v>2578</v>
      </c>
      <c r="G167" s="21" t="s">
        <v>3091</v>
      </c>
      <c r="H167" s="64" t="s">
        <v>2583</v>
      </c>
      <c r="I167" s="25" t="s">
        <v>2584</v>
      </c>
      <c r="J167" s="63" t="s">
        <v>41</v>
      </c>
      <c r="K167" s="21"/>
      <c r="L167" s="64" t="s">
        <v>3048</v>
      </c>
    </row>
    <row r="168" ht="61.5" customHeight="1">
      <c r="A168" s="27" t="s">
        <v>3092</v>
      </c>
      <c r="B168" s="19" t="s">
        <v>2574</v>
      </c>
      <c r="C168" s="28" t="s">
        <v>3093</v>
      </c>
      <c r="D168" s="28" t="s">
        <v>2576</v>
      </c>
      <c r="E168" s="23" t="s">
        <v>15</v>
      </c>
      <c r="F168" s="62" t="s">
        <v>2578</v>
      </c>
      <c r="G168" s="28" t="s">
        <v>3094</v>
      </c>
      <c r="H168" s="62" t="s">
        <v>2583</v>
      </c>
      <c r="I168" s="41" t="s">
        <v>2584</v>
      </c>
      <c r="J168" s="63" t="s">
        <v>41</v>
      </c>
      <c r="K168" s="28"/>
      <c r="L168" s="62" t="s">
        <v>3048</v>
      </c>
    </row>
    <row r="169" ht="73.5" customHeight="1">
      <c r="A169" s="18" t="s">
        <v>3095</v>
      </c>
      <c r="B169" s="19" t="s">
        <v>2574</v>
      </c>
      <c r="C169" s="21" t="s">
        <v>3096</v>
      </c>
      <c r="D169" s="21" t="s">
        <v>2576</v>
      </c>
      <c r="E169" s="23" t="s">
        <v>15</v>
      </c>
      <c r="F169" s="64" t="s">
        <v>2578</v>
      </c>
      <c r="G169" s="21" t="s">
        <v>3097</v>
      </c>
      <c r="H169" s="64" t="s">
        <v>2583</v>
      </c>
      <c r="I169" s="25" t="s">
        <v>2584</v>
      </c>
      <c r="J169" s="63" t="s">
        <v>41</v>
      </c>
      <c r="K169" s="21"/>
      <c r="L169" s="64" t="s">
        <v>3048</v>
      </c>
    </row>
    <row r="170" ht="73.5" customHeight="1">
      <c r="A170" s="27" t="s">
        <v>3098</v>
      </c>
      <c r="B170" s="19" t="s">
        <v>2574</v>
      </c>
      <c r="C170" s="28" t="s">
        <v>3099</v>
      </c>
      <c r="D170" s="28" t="s">
        <v>2576</v>
      </c>
      <c r="E170" s="23" t="s">
        <v>15</v>
      </c>
      <c r="F170" s="62" t="s">
        <v>2578</v>
      </c>
      <c r="G170" s="28" t="s">
        <v>3100</v>
      </c>
      <c r="H170" s="62" t="s">
        <v>2583</v>
      </c>
      <c r="I170" s="41" t="s">
        <v>2584</v>
      </c>
      <c r="J170" s="63" t="s">
        <v>41</v>
      </c>
      <c r="K170" s="28"/>
      <c r="L170" s="62" t="s">
        <v>3048</v>
      </c>
    </row>
    <row r="171" ht="61.5" customHeight="1">
      <c r="A171" s="18" t="s">
        <v>3101</v>
      </c>
      <c r="B171" s="19" t="s">
        <v>2574</v>
      </c>
      <c r="C171" s="21" t="s">
        <v>3102</v>
      </c>
      <c r="D171" s="21" t="s">
        <v>2576</v>
      </c>
      <c r="E171" s="23" t="s">
        <v>15</v>
      </c>
      <c r="F171" s="64" t="s">
        <v>2578</v>
      </c>
      <c r="G171" s="21" t="s">
        <v>3103</v>
      </c>
      <c r="H171" s="64" t="s">
        <v>2583</v>
      </c>
      <c r="I171" s="25" t="s">
        <v>2584</v>
      </c>
      <c r="J171" s="63" t="s">
        <v>41</v>
      </c>
      <c r="K171" s="21"/>
      <c r="L171" s="64" t="s">
        <v>3048</v>
      </c>
    </row>
    <row r="172" ht="61.5" customHeight="1">
      <c r="A172" s="27" t="s">
        <v>3104</v>
      </c>
      <c r="B172" s="19" t="s">
        <v>2574</v>
      </c>
      <c r="C172" s="28" t="s">
        <v>3105</v>
      </c>
      <c r="D172" s="28" t="s">
        <v>2576</v>
      </c>
      <c r="E172" s="23" t="s">
        <v>15</v>
      </c>
      <c r="F172" s="62" t="s">
        <v>2578</v>
      </c>
      <c r="G172" s="28" t="s">
        <v>3106</v>
      </c>
      <c r="H172" s="62" t="s">
        <v>2583</v>
      </c>
      <c r="I172" s="41" t="s">
        <v>2584</v>
      </c>
      <c r="J172" s="63" t="s">
        <v>41</v>
      </c>
      <c r="K172" s="28"/>
      <c r="L172" s="62" t="s">
        <v>3048</v>
      </c>
    </row>
    <row r="173" ht="73.5" customHeight="1">
      <c r="A173" s="18" t="s">
        <v>3107</v>
      </c>
      <c r="B173" s="19" t="s">
        <v>2574</v>
      </c>
      <c r="C173" s="21" t="s">
        <v>3108</v>
      </c>
      <c r="D173" s="21" t="s">
        <v>2576</v>
      </c>
      <c r="E173" s="23" t="s">
        <v>15</v>
      </c>
      <c r="F173" s="64" t="s">
        <v>2578</v>
      </c>
      <c r="G173" s="21" t="s">
        <v>3109</v>
      </c>
      <c r="H173" s="64" t="s">
        <v>2583</v>
      </c>
      <c r="I173" s="25" t="s">
        <v>2584</v>
      </c>
      <c r="J173" s="63" t="s">
        <v>41</v>
      </c>
      <c r="K173" s="21"/>
      <c r="L173" s="65" t="s">
        <v>3110</v>
      </c>
    </row>
    <row r="174" ht="18.0" customHeight="1">
      <c r="A174" s="16" t="s">
        <v>3111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5"/>
    </row>
    <row r="175" ht="61.5" customHeight="1">
      <c r="A175" s="27" t="s">
        <v>3112</v>
      </c>
      <c r="B175" s="19" t="s">
        <v>2574</v>
      </c>
      <c r="C175" s="28" t="s">
        <v>3113</v>
      </c>
      <c r="D175" s="28" t="s">
        <v>2576</v>
      </c>
      <c r="E175" s="23" t="s">
        <v>15</v>
      </c>
      <c r="F175" s="62" t="s">
        <v>2578</v>
      </c>
      <c r="G175" s="28" t="s">
        <v>3114</v>
      </c>
      <c r="H175" s="62" t="s">
        <v>2583</v>
      </c>
      <c r="I175" s="41" t="s">
        <v>2584</v>
      </c>
      <c r="J175" s="63" t="s">
        <v>41</v>
      </c>
      <c r="K175" s="28"/>
      <c r="L175" s="62" t="s">
        <v>3115</v>
      </c>
    </row>
    <row r="176" ht="61.5" customHeight="1">
      <c r="A176" s="18" t="s">
        <v>3116</v>
      </c>
      <c r="B176" s="19" t="s">
        <v>2574</v>
      </c>
      <c r="C176" s="21" t="s">
        <v>3117</v>
      </c>
      <c r="D176" s="21" t="s">
        <v>2576</v>
      </c>
      <c r="E176" s="23" t="s">
        <v>15</v>
      </c>
      <c r="F176" s="64" t="s">
        <v>2578</v>
      </c>
      <c r="G176" s="21" t="s">
        <v>3118</v>
      </c>
      <c r="H176" s="64" t="s">
        <v>2583</v>
      </c>
      <c r="I176" s="25" t="s">
        <v>2584</v>
      </c>
      <c r="J176" s="63" t="s">
        <v>41</v>
      </c>
      <c r="K176" s="21"/>
      <c r="L176" s="64" t="s">
        <v>3115</v>
      </c>
    </row>
    <row r="177" ht="61.5" customHeight="1">
      <c r="A177" s="27" t="s">
        <v>3119</v>
      </c>
      <c r="B177" s="19" t="s">
        <v>2574</v>
      </c>
      <c r="C177" s="28" t="s">
        <v>3120</v>
      </c>
      <c r="D177" s="28" t="s">
        <v>2576</v>
      </c>
      <c r="E177" s="23" t="s">
        <v>15</v>
      </c>
      <c r="F177" s="62" t="s">
        <v>2578</v>
      </c>
      <c r="G177" s="28" t="s">
        <v>3121</v>
      </c>
      <c r="H177" s="62" t="s">
        <v>2583</v>
      </c>
      <c r="I177" s="41" t="s">
        <v>2584</v>
      </c>
      <c r="J177" s="63" t="s">
        <v>41</v>
      </c>
      <c r="K177" s="28"/>
      <c r="L177" s="62" t="s">
        <v>3115</v>
      </c>
    </row>
    <row r="178" ht="61.5" customHeight="1">
      <c r="A178" s="18" t="s">
        <v>3122</v>
      </c>
      <c r="B178" s="19" t="s">
        <v>2574</v>
      </c>
      <c r="C178" s="21" t="s">
        <v>3123</v>
      </c>
      <c r="D178" s="21" t="s">
        <v>2576</v>
      </c>
      <c r="E178" s="23" t="s">
        <v>15</v>
      </c>
      <c r="F178" s="64" t="s">
        <v>2578</v>
      </c>
      <c r="G178" s="21" t="s">
        <v>3124</v>
      </c>
      <c r="H178" s="64" t="s">
        <v>2583</v>
      </c>
      <c r="I178" s="25" t="s">
        <v>2584</v>
      </c>
      <c r="J178" s="63" t="s">
        <v>41</v>
      </c>
      <c r="K178" s="21"/>
      <c r="L178" s="64" t="s">
        <v>3115</v>
      </c>
    </row>
    <row r="179" ht="61.5" customHeight="1">
      <c r="A179" s="27" t="s">
        <v>3125</v>
      </c>
      <c r="B179" s="19" t="s">
        <v>2574</v>
      </c>
      <c r="C179" s="28" t="s">
        <v>3126</v>
      </c>
      <c r="D179" s="28" t="s">
        <v>2576</v>
      </c>
      <c r="E179" s="23" t="s">
        <v>15</v>
      </c>
      <c r="F179" s="62" t="s">
        <v>2578</v>
      </c>
      <c r="G179" s="28" t="s">
        <v>3127</v>
      </c>
      <c r="H179" s="62" t="s">
        <v>2583</v>
      </c>
      <c r="I179" s="41" t="s">
        <v>2584</v>
      </c>
      <c r="J179" s="63" t="s">
        <v>41</v>
      </c>
      <c r="K179" s="28"/>
      <c r="L179" s="62" t="s">
        <v>3115</v>
      </c>
    </row>
    <row r="180" ht="61.5" customHeight="1">
      <c r="A180" s="18" t="s">
        <v>3128</v>
      </c>
      <c r="B180" s="19" t="s">
        <v>2574</v>
      </c>
      <c r="C180" s="21" t="s">
        <v>3129</v>
      </c>
      <c r="D180" s="21" t="s">
        <v>2576</v>
      </c>
      <c r="E180" s="23" t="s">
        <v>15</v>
      </c>
      <c r="F180" s="64" t="s">
        <v>2578</v>
      </c>
      <c r="G180" s="21" t="s">
        <v>3130</v>
      </c>
      <c r="H180" s="64" t="s">
        <v>2583</v>
      </c>
      <c r="I180" s="25" t="s">
        <v>2584</v>
      </c>
      <c r="J180" s="63" t="s">
        <v>41</v>
      </c>
      <c r="K180" s="21"/>
      <c r="L180" s="64" t="s">
        <v>3115</v>
      </c>
    </row>
    <row r="181" ht="61.5" customHeight="1">
      <c r="A181" s="27" t="s">
        <v>3131</v>
      </c>
      <c r="B181" s="19" t="s">
        <v>2574</v>
      </c>
      <c r="C181" s="28" t="s">
        <v>3132</v>
      </c>
      <c r="D181" s="28" t="s">
        <v>2576</v>
      </c>
      <c r="E181" s="23" t="s">
        <v>15</v>
      </c>
      <c r="F181" s="62" t="s">
        <v>2578</v>
      </c>
      <c r="G181" s="28" t="s">
        <v>3133</v>
      </c>
      <c r="H181" s="62" t="s">
        <v>2583</v>
      </c>
      <c r="I181" s="41" t="s">
        <v>2584</v>
      </c>
      <c r="J181" s="63" t="s">
        <v>41</v>
      </c>
      <c r="K181" s="28"/>
      <c r="L181" s="62" t="s">
        <v>3115</v>
      </c>
    </row>
    <row r="182" ht="61.5" customHeight="1">
      <c r="A182" s="18" t="s">
        <v>3134</v>
      </c>
      <c r="B182" s="19" t="s">
        <v>2574</v>
      </c>
      <c r="C182" s="21" t="s">
        <v>3135</v>
      </c>
      <c r="D182" s="21" t="s">
        <v>2576</v>
      </c>
      <c r="E182" s="23" t="s">
        <v>15</v>
      </c>
      <c r="F182" s="64" t="s">
        <v>2578</v>
      </c>
      <c r="G182" s="21" t="s">
        <v>3136</v>
      </c>
      <c r="H182" s="64" t="s">
        <v>2583</v>
      </c>
      <c r="I182" s="25" t="s">
        <v>2584</v>
      </c>
      <c r="J182" s="63" t="s">
        <v>41</v>
      </c>
      <c r="K182" s="21"/>
      <c r="L182" s="64" t="s">
        <v>3115</v>
      </c>
    </row>
    <row r="183" ht="61.5" customHeight="1">
      <c r="A183" s="27" t="s">
        <v>3137</v>
      </c>
      <c r="B183" s="19" t="s">
        <v>2574</v>
      </c>
      <c r="C183" s="28" t="s">
        <v>3138</v>
      </c>
      <c r="D183" s="28" t="s">
        <v>2576</v>
      </c>
      <c r="E183" s="23" t="s">
        <v>15</v>
      </c>
      <c r="F183" s="62" t="s">
        <v>2578</v>
      </c>
      <c r="G183" s="28" t="s">
        <v>3139</v>
      </c>
      <c r="H183" s="62" t="s">
        <v>2583</v>
      </c>
      <c r="I183" s="41" t="s">
        <v>2584</v>
      </c>
      <c r="J183" s="63" t="s">
        <v>41</v>
      </c>
      <c r="K183" s="28"/>
      <c r="L183" s="62" t="s">
        <v>3115</v>
      </c>
    </row>
    <row r="184" ht="73.5" customHeight="1">
      <c r="A184" s="18" t="s">
        <v>3140</v>
      </c>
      <c r="B184" s="19" t="s">
        <v>2574</v>
      </c>
      <c r="C184" s="21" t="s">
        <v>3141</v>
      </c>
      <c r="D184" s="21" t="s">
        <v>2576</v>
      </c>
      <c r="E184" s="23" t="s">
        <v>15</v>
      </c>
      <c r="F184" s="64" t="s">
        <v>2578</v>
      </c>
      <c r="G184" s="21" t="s">
        <v>3142</v>
      </c>
      <c r="H184" s="64" t="s">
        <v>2583</v>
      </c>
      <c r="I184" s="25" t="s">
        <v>2584</v>
      </c>
      <c r="J184" s="63" t="s">
        <v>41</v>
      </c>
      <c r="K184" s="21"/>
      <c r="L184" s="64" t="s">
        <v>3115</v>
      </c>
    </row>
    <row r="185" ht="73.5" customHeight="1">
      <c r="A185" s="27" t="s">
        <v>3143</v>
      </c>
      <c r="B185" s="19" t="s">
        <v>2574</v>
      </c>
      <c r="C185" s="28" t="s">
        <v>3144</v>
      </c>
      <c r="D185" s="28" t="s">
        <v>2576</v>
      </c>
      <c r="E185" s="23" t="s">
        <v>15</v>
      </c>
      <c r="F185" s="62" t="s">
        <v>2578</v>
      </c>
      <c r="G185" s="28" t="s">
        <v>3145</v>
      </c>
      <c r="H185" s="62" t="s">
        <v>2583</v>
      </c>
      <c r="I185" s="41" t="s">
        <v>2584</v>
      </c>
      <c r="J185" s="63" t="s">
        <v>41</v>
      </c>
      <c r="K185" s="28"/>
      <c r="L185" s="62" t="s">
        <v>3115</v>
      </c>
    </row>
    <row r="186" ht="73.5" customHeight="1">
      <c r="A186" s="18" t="s">
        <v>3146</v>
      </c>
      <c r="B186" s="19" t="s">
        <v>2574</v>
      </c>
      <c r="C186" s="21" t="s">
        <v>3147</v>
      </c>
      <c r="D186" s="21" t="s">
        <v>2576</v>
      </c>
      <c r="E186" s="23" t="s">
        <v>15</v>
      </c>
      <c r="F186" s="64" t="s">
        <v>2578</v>
      </c>
      <c r="G186" s="21" t="s">
        <v>3148</v>
      </c>
      <c r="H186" s="64" t="s">
        <v>2583</v>
      </c>
      <c r="I186" s="25" t="s">
        <v>2584</v>
      </c>
      <c r="J186" s="63" t="s">
        <v>41</v>
      </c>
      <c r="K186" s="21"/>
      <c r="L186" s="64" t="s">
        <v>3115</v>
      </c>
    </row>
    <row r="187" ht="18.0" customHeight="1">
      <c r="A187" s="16" t="s">
        <v>3149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5"/>
    </row>
    <row r="188" ht="61.5" customHeight="1">
      <c r="A188" s="27" t="s">
        <v>3150</v>
      </c>
      <c r="B188" s="19" t="s">
        <v>2574</v>
      </c>
      <c r="C188" s="28" t="s">
        <v>3151</v>
      </c>
      <c r="D188" s="28" t="s">
        <v>2576</v>
      </c>
      <c r="E188" s="23" t="s">
        <v>15</v>
      </c>
      <c r="F188" s="62" t="s">
        <v>2578</v>
      </c>
      <c r="G188" s="28" t="s">
        <v>3152</v>
      </c>
      <c r="H188" s="62" t="s">
        <v>2583</v>
      </c>
      <c r="I188" s="41" t="s">
        <v>2584</v>
      </c>
      <c r="J188" s="63" t="s">
        <v>41</v>
      </c>
      <c r="K188" s="28"/>
      <c r="L188" s="62" t="s">
        <v>3115</v>
      </c>
    </row>
    <row r="189" ht="97.5" customHeight="1">
      <c r="A189" s="18" t="s">
        <v>3153</v>
      </c>
      <c r="B189" s="19" t="s">
        <v>2574</v>
      </c>
      <c r="C189" s="21" t="s">
        <v>3154</v>
      </c>
      <c r="D189" s="21" t="s">
        <v>2576</v>
      </c>
      <c r="E189" s="23" t="s">
        <v>15</v>
      </c>
      <c r="F189" s="64" t="s">
        <v>2578</v>
      </c>
      <c r="G189" s="21" t="s">
        <v>3155</v>
      </c>
      <c r="H189" s="64" t="s">
        <v>2583</v>
      </c>
      <c r="I189" s="25" t="s">
        <v>2584</v>
      </c>
      <c r="J189" s="63" t="s">
        <v>41</v>
      </c>
      <c r="K189" s="21"/>
      <c r="L189" s="64" t="s">
        <v>3115</v>
      </c>
    </row>
    <row r="190" ht="73.5" customHeight="1">
      <c r="A190" s="27" t="s">
        <v>3156</v>
      </c>
      <c r="B190" s="19" t="s">
        <v>2574</v>
      </c>
      <c r="C190" s="28" t="s">
        <v>3157</v>
      </c>
      <c r="D190" s="28" t="s">
        <v>2576</v>
      </c>
      <c r="E190" s="23" t="s">
        <v>15</v>
      </c>
      <c r="F190" s="62" t="s">
        <v>2578</v>
      </c>
      <c r="G190" s="28" t="s">
        <v>3158</v>
      </c>
      <c r="H190" s="62" t="s">
        <v>2583</v>
      </c>
      <c r="I190" s="41" t="s">
        <v>2584</v>
      </c>
      <c r="J190" s="63" t="s">
        <v>41</v>
      </c>
      <c r="K190" s="28"/>
      <c r="L190" s="62" t="s">
        <v>3115</v>
      </c>
    </row>
    <row r="191" ht="85.5" customHeight="1">
      <c r="A191" s="18" t="s">
        <v>3159</v>
      </c>
      <c r="B191" s="19" t="s">
        <v>2574</v>
      </c>
      <c r="C191" s="21" t="s">
        <v>3160</v>
      </c>
      <c r="D191" s="21" t="s">
        <v>2576</v>
      </c>
      <c r="E191" s="23" t="s">
        <v>15</v>
      </c>
      <c r="F191" s="64" t="s">
        <v>2578</v>
      </c>
      <c r="G191" s="21" t="s">
        <v>3161</v>
      </c>
      <c r="H191" s="64" t="s">
        <v>2583</v>
      </c>
      <c r="I191" s="25" t="s">
        <v>2584</v>
      </c>
      <c r="J191" s="63" t="s">
        <v>41</v>
      </c>
      <c r="K191" s="21"/>
      <c r="L191" s="65" t="s">
        <v>3162</v>
      </c>
    </row>
    <row r="192" ht="97.5" customHeight="1">
      <c r="A192" s="27" t="s">
        <v>3163</v>
      </c>
      <c r="B192" s="19" t="s">
        <v>2574</v>
      </c>
      <c r="C192" s="28" t="s">
        <v>3164</v>
      </c>
      <c r="D192" s="28" t="s">
        <v>2576</v>
      </c>
      <c r="E192" s="23" t="s">
        <v>15</v>
      </c>
      <c r="F192" s="62" t="s">
        <v>2578</v>
      </c>
      <c r="G192" s="28" t="s">
        <v>3165</v>
      </c>
      <c r="H192" s="62" t="s">
        <v>2583</v>
      </c>
      <c r="I192" s="41" t="s">
        <v>2584</v>
      </c>
      <c r="J192" s="63" t="s">
        <v>41</v>
      </c>
      <c r="K192" s="28"/>
      <c r="L192" s="66" t="s">
        <v>3162</v>
      </c>
    </row>
    <row r="193" ht="85.5" customHeight="1">
      <c r="A193" s="18" t="s">
        <v>3166</v>
      </c>
      <c r="B193" s="19" t="s">
        <v>2574</v>
      </c>
      <c r="C193" s="21" t="s">
        <v>3167</v>
      </c>
      <c r="D193" s="21" t="s">
        <v>2576</v>
      </c>
      <c r="E193" s="23" t="s">
        <v>15</v>
      </c>
      <c r="F193" s="64" t="s">
        <v>2578</v>
      </c>
      <c r="G193" s="21" t="s">
        <v>3168</v>
      </c>
      <c r="H193" s="64" t="s">
        <v>2583</v>
      </c>
      <c r="I193" s="25" t="s">
        <v>2584</v>
      </c>
      <c r="J193" s="63" t="s">
        <v>41</v>
      </c>
      <c r="K193" s="21"/>
      <c r="L193" s="65" t="s">
        <v>3162</v>
      </c>
    </row>
    <row r="194" ht="85.5" customHeight="1">
      <c r="A194" s="27" t="s">
        <v>3169</v>
      </c>
      <c r="B194" s="19" t="s">
        <v>2574</v>
      </c>
      <c r="C194" s="28" t="s">
        <v>3170</v>
      </c>
      <c r="D194" s="28" t="s">
        <v>2576</v>
      </c>
      <c r="E194" s="23" t="s">
        <v>15</v>
      </c>
      <c r="F194" s="62" t="s">
        <v>2578</v>
      </c>
      <c r="G194" s="28" t="s">
        <v>3171</v>
      </c>
      <c r="H194" s="62" t="s">
        <v>2583</v>
      </c>
      <c r="I194" s="41" t="s">
        <v>2584</v>
      </c>
      <c r="J194" s="63" t="s">
        <v>41</v>
      </c>
      <c r="K194" s="28"/>
      <c r="L194" s="66" t="s">
        <v>3162</v>
      </c>
    </row>
    <row r="195" ht="85.5" customHeight="1">
      <c r="A195" s="18" t="s">
        <v>3172</v>
      </c>
      <c r="B195" s="19" t="s">
        <v>2574</v>
      </c>
      <c r="C195" s="21" t="s">
        <v>3173</v>
      </c>
      <c r="D195" s="21" t="s">
        <v>2576</v>
      </c>
      <c r="E195" s="23" t="s">
        <v>15</v>
      </c>
      <c r="F195" s="64" t="s">
        <v>2578</v>
      </c>
      <c r="G195" s="21" t="s">
        <v>3174</v>
      </c>
      <c r="H195" s="64" t="s">
        <v>2583</v>
      </c>
      <c r="I195" s="25" t="s">
        <v>2584</v>
      </c>
      <c r="J195" s="63" t="s">
        <v>41</v>
      </c>
      <c r="K195" s="21"/>
      <c r="L195" s="65" t="s">
        <v>3162</v>
      </c>
    </row>
    <row r="196" ht="85.5" customHeight="1">
      <c r="A196" s="27" t="s">
        <v>3175</v>
      </c>
      <c r="B196" s="19" t="s">
        <v>2574</v>
      </c>
      <c r="C196" s="28" t="s">
        <v>3176</v>
      </c>
      <c r="D196" s="28" t="s">
        <v>2576</v>
      </c>
      <c r="E196" s="23" t="s">
        <v>15</v>
      </c>
      <c r="F196" s="62" t="s">
        <v>2578</v>
      </c>
      <c r="G196" s="28" t="s">
        <v>3177</v>
      </c>
      <c r="H196" s="62" t="s">
        <v>2583</v>
      </c>
      <c r="I196" s="41" t="s">
        <v>2584</v>
      </c>
      <c r="J196" s="63" t="s">
        <v>41</v>
      </c>
      <c r="K196" s="28"/>
      <c r="L196" s="66" t="s">
        <v>3162</v>
      </c>
    </row>
    <row r="197" ht="61.5" customHeight="1">
      <c r="A197" s="18" t="s">
        <v>3178</v>
      </c>
      <c r="B197" s="19" t="s">
        <v>2574</v>
      </c>
      <c r="C197" s="21" t="s">
        <v>3179</v>
      </c>
      <c r="D197" s="21" t="s">
        <v>2576</v>
      </c>
      <c r="E197" s="23" t="s">
        <v>15</v>
      </c>
      <c r="F197" s="64" t="s">
        <v>2578</v>
      </c>
      <c r="G197" s="21" t="s">
        <v>3180</v>
      </c>
      <c r="H197" s="64" t="s">
        <v>2583</v>
      </c>
      <c r="I197" s="25" t="s">
        <v>2584</v>
      </c>
      <c r="J197" s="63" t="s">
        <v>41</v>
      </c>
      <c r="K197" s="21"/>
      <c r="L197" s="65" t="s">
        <v>3181</v>
      </c>
    </row>
    <row r="198" ht="61.5" customHeight="1">
      <c r="A198" s="27" t="s">
        <v>3182</v>
      </c>
      <c r="B198" s="19" t="s">
        <v>2574</v>
      </c>
      <c r="C198" s="28" t="s">
        <v>3183</v>
      </c>
      <c r="D198" s="28" t="s">
        <v>2576</v>
      </c>
      <c r="E198" s="23" t="s">
        <v>15</v>
      </c>
      <c r="F198" s="62" t="s">
        <v>2578</v>
      </c>
      <c r="G198" s="28" t="s">
        <v>3184</v>
      </c>
      <c r="H198" s="62" t="s">
        <v>2583</v>
      </c>
      <c r="I198" s="41" t="s">
        <v>2584</v>
      </c>
      <c r="J198" s="63" t="s">
        <v>41</v>
      </c>
      <c r="K198" s="28"/>
      <c r="L198" s="66" t="s">
        <v>3181</v>
      </c>
    </row>
    <row r="199" ht="18.0" customHeight="1">
      <c r="A199" s="16" t="s">
        <v>2726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5"/>
    </row>
    <row r="200" ht="61.5" customHeight="1">
      <c r="A200" s="18" t="s">
        <v>3185</v>
      </c>
      <c r="B200" s="19" t="s">
        <v>2574</v>
      </c>
      <c r="C200" s="21" t="s">
        <v>3186</v>
      </c>
      <c r="D200" s="21" t="s">
        <v>2576</v>
      </c>
      <c r="E200" s="23" t="s">
        <v>15</v>
      </c>
      <c r="F200" s="64" t="s">
        <v>2578</v>
      </c>
      <c r="G200" s="21" t="s">
        <v>3187</v>
      </c>
      <c r="H200" s="64" t="s">
        <v>2583</v>
      </c>
      <c r="I200" s="25" t="s">
        <v>2584</v>
      </c>
      <c r="J200" s="63" t="s">
        <v>41</v>
      </c>
      <c r="K200" s="21"/>
      <c r="L200" s="64" t="s">
        <v>2730</v>
      </c>
    </row>
    <row r="201" ht="73.5" customHeight="1">
      <c r="A201" s="27" t="s">
        <v>3188</v>
      </c>
      <c r="B201" s="19" t="s">
        <v>2574</v>
      </c>
      <c r="C201" s="28" t="s">
        <v>3189</v>
      </c>
      <c r="D201" s="28" t="s">
        <v>2576</v>
      </c>
      <c r="E201" s="23" t="s">
        <v>15</v>
      </c>
      <c r="F201" s="62" t="s">
        <v>2578</v>
      </c>
      <c r="G201" s="28" t="s">
        <v>3190</v>
      </c>
      <c r="H201" s="62" t="s">
        <v>2583</v>
      </c>
      <c r="I201" s="41" t="s">
        <v>2584</v>
      </c>
      <c r="J201" s="63" t="s">
        <v>41</v>
      </c>
      <c r="K201" s="28"/>
      <c r="L201" s="62" t="s">
        <v>2730</v>
      </c>
    </row>
    <row r="202" ht="61.5" customHeight="1">
      <c r="A202" s="18" t="s">
        <v>3191</v>
      </c>
      <c r="B202" s="19" t="s">
        <v>2574</v>
      </c>
      <c r="C202" s="21" t="s">
        <v>3192</v>
      </c>
      <c r="D202" s="21" t="s">
        <v>2576</v>
      </c>
      <c r="E202" s="23" t="s">
        <v>15</v>
      </c>
      <c r="F202" s="64" t="s">
        <v>2578</v>
      </c>
      <c r="G202" s="21" t="s">
        <v>3193</v>
      </c>
      <c r="H202" s="64" t="s">
        <v>2583</v>
      </c>
      <c r="I202" s="25" t="s">
        <v>2584</v>
      </c>
      <c r="J202" s="63" t="s">
        <v>41</v>
      </c>
      <c r="K202" s="21"/>
      <c r="L202" s="64" t="s">
        <v>2730</v>
      </c>
    </row>
    <row r="203" ht="61.5" customHeight="1">
      <c r="A203" s="27" t="s">
        <v>3194</v>
      </c>
      <c r="B203" s="19" t="s">
        <v>2574</v>
      </c>
      <c r="C203" s="28" t="s">
        <v>3195</v>
      </c>
      <c r="D203" s="28" t="s">
        <v>2576</v>
      </c>
      <c r="E203" s="23" t="s">
        <v>15</v>
      </c>
      <c r="F203" s="62" t="s">
        <v>2578</v>
      </c>
      <c r="G203" s="28" t="s">
        <v>3196</v>
      </c>
      <c r="H203" s="62" t="s">
        <v>2583</v>
      </c>
      <c r="I203" s="41" t="s">
        <v>2584</v>
      </c>
      <c r="J203" s="63" t="s">
        <v>41</v>
      </c>
      <c r="K203" s="28"/>
      <c r="L203" s="62" t="s">
        <v>2730</v>
      </c>
    </row>
    <row r="204" ht="73.5" customHeight="1">
      <c r="A204" s="18" t="s">
        <v>3197</v>
      </c>
      <c r="B204" s="19" t="s">
        <v>2574</v>
      </c>
      <c r="C204" s="21" t="s">
        <v>3198</v>
      </c>
      <c r="D204" s="21" t="s">
        <v>2576</v>
      </c>
      <c r="E204" s="23" t="s">
        <v>15</v>
      </c>
      <c r="F204" s="64" t="s">
        <v>2578</v>
      </c>
      <c r="G204" s="21" t="s">
        <v>3199</v>
      </c>
      <c r="H204" s="64" t="s">
        <v>2583</v>
      </c>
      <c r="I204" s="25" t="s">
        <v>2584</v>
      </c>
      <c r="J204" s="63" t="s">
        <v>41</v>
      </c>
      <c r="K204" s="21"/>
      <c r="L204" s="64" t="s">
        <v>2730</v>
      </c>
    </row>
    <row r="205" ht="73.5" customHeight="1">
      <c r="A205" s="27" t="s">
        <v>3200</v>
      </c>
      <c r="B205" s="19" t="s">
        <v>2574</v>
      </c>
      <c r="C205" s="28" t="s">
        <v>3201</v>
      </c>
      <c r="D205" s="28" t="s">
        <v>2576</v>
      </c>
      <c r="E205" s="23" t="s">
        <v>15</v>
      </c>
      <c r="F205" s="62" t="s">
        <v>2578</v>
      </c>
      <c r="G205" s="28" t="s">
        <v>3202</v>
      </c>
      <c r="H205" s="62" t="s">
        <v>2583</v>
      </c>
      <c r="I205" s="41" t="s">
        <v>2584</v>
      </c>
      <c r="J205" s="63" t="s">
        <v>41</v>
      </c>
      <c r="K205" s="28"/>
      <c r="L205" s="62" t="s">
        <v>2730</v>
      </c>
    </row>
    <row r="206" ht="73.5" customHeight="1">
      <c r="A206" s="18" t="s">
        <v>3203</v>
      </c>
      <c r="B206" s="19" t="s">
        <v>2574</v>
      </c>
      <c r="C206" s="21" t="s">
        <v>3204</v>
      </c>
      <c r="D206" s="21" t="s">
        <v>2576</v>
      </c>
      <c r="E206" s="23" t="s">
        <v>15</v>
      </c>
      <c r="F206" s="64" t="s">
        <v>2578</v>
      </c>
      <c r="G206" s="21" t="s">
        <v>3205</v>
      </c>
      <c r="H206" s="64" t="s">
        <v>2583</v>
      </c>
      <c r="I206" s="25" t="s">
        <v>2584</v>
      </c>
      <c r="J206" s="63" t="s">
        <v>41</v>
      </c>
      <c r="K206" s="21"/>
      <c r="L206" s="65" t="s">
        <v>3206</v>
      </c>
    </row>
    <row r="207" ht="73.5" customHeight="1">
      <c r="A207" s="27" t="s">
        <v>3207</v>
      </c>
      <c r="B207" s="19" t="s">
        <v>2574</v>
      </c>
      <c r="C207" s="28" t="s">
        <v>3208</v>
      </c>
      <c r="D207" s="28" t="s">
        <v>2576</v>
      </c>
      <c r="E207" s="23" t="s">
        <v>15</v>
      </c>
      <c r="F207" s="62" t="s">
        <v>2578</v>
      </c>
      <c r="G207" s="28" t="s">
        <v>3209</v>
      </c>
      <c r="H207" s="62" t="s">
        <v>2583</v>
      </c>
      <c r="I207" s="41" t="s">
        <v>2584</v>
      </c>
      <c r="J207" s="63" t="s">
        <v>41</v>
      </c>
      <c r="K207" s="28"/>
      <c r="L207" s="62" t="s">
        <v>2730</v>
      </c>
    </row>
    <row r="208" ht="61.5" customHeight="1">
      <c r="A208" s="18" t="s">
        <v>3210</v>
      </c>
      <c r="B208" s="19" t="s">
        <v>2574</v>
      </c>
      <c r="C208" s="21" t="s">
        <v>3211</v>
      </c>
      <c r="D208" s="21" t="s">
        <v>2576</v>
      </c>
      <c r="E208" s="23" t="s">
        <v>15</v>
      </c>
      <c r="F208" s="64" t="s">
        <v>2578</v>
      </c>
      <c r="G208" s="21" t="s">
        <v>3212</v>
      </c>
      <c r="H208" s="64" t="s">
        <v>2583</v>
      </c>
      <c r="I208" s="25" t="s">
        <v>2584</v>
      </c>
      <c r="J208" s="63" t="s">
        <v>41</v>
      </c>
      <c r="K208" s="21"/>
      <c r="L208" s="64" t="s">
        <v>2730</v>
      </c>
    </row>
    <row r="209" ht="73.5" customHeight="1">
      <c r="A209" s="27" t="s">
        <v>3213</v>
      </c>
      <c r="B209" s="19" t="s">
        <v>2574</v>
      </c>
      <c r="C209" s="28" t="s">
        <v>3214</v>
      </c>
      <c r="D209" s="28" t="s">
        <v>2576</v>
      </c>
      <c r="E209" s="23" t="s">
        <v>15</v>
      </c>
      <c r="F209" s="62" t="s">
        <v>2578</v>
      </c>
      <c r="G209" s="28" t="s">
        <v>3215</v>
      </c>
      <c r="H209" s="62" t="s">
        <v>2583</v>
      </c>
      <c r="I209" s="41" t="s">
        <v>2584</v>
      </c>
      <c r="J209" s="63" t="s">
        <v>41</v>
      </c>
      <c r="K209" s="28"/>
      <c r="L209" s="62" t="s">
        <v>2730</v>
      </c>
    </row>
    <row r="210" ht="73.5" customHeight="1">
      <c r="A210" s="18" t="s">
        <v>3216</v>
      </c>
      <c r="B210" s="19" t="s">
        <v>2574</v>
      </c>
      <c r="C210" s="21" t="s">
        <v>3217</v>
      </c>
      <c r="D210" s="21" t="s">
        <v>2576</v>
      </c>
      <c r="E210" s="32" t="s">
        <v>25</v>
      </c>
      <c r="F210" s="64" t="s">
        <v>2578</v>
      </c>
      <c r="G210" s="21" t="s">
        <v>3218</v>
      </c>
      <c r="H210" s="64" t="s">
        <v>2583</v>
      </c>
      <c r="I210" s="25" t="s">
        <v>2584</v>
      </c>
      <c r="J210" s="63" t="s">
        <v>41</v>
      </c>
      <c r="K210" s="21"/>
      <c r="L210" s="64" t="s">
        <v>2730</v>
      </c>
    </row>
    <row r="211" ht="61.5" customHeight="1">
      <c r="A211" s="27" t="s">
        <v>3219</v>
      </c>
      <c r="B211" s="19" t="s">
        <v>2574</v>
      </c>
      <c r="C211" s="28" t="s">
        <v>3220</v>
      </c>
      <c r="D211" s="28" t="s">
        <v>2576</v>
      </c>
      <c r="E211" s="23" t="s">
        <v>15</v>
      </c>
      <c r="F211" s="62" t="s">
        <v>2578</v>
      </c>
      <c r="G211" s="28" t="s">
        <v>3221</v>
      </c>
      <c r="H211" s="62" t="s">
        <v>2583</v>
      </c>
      <c r="I211" s="41" t="s">
        <v>2584</v>
      </c>
      <c r="J211" s="63" t="s">
        <v>41</v>
      </c>
      <c r="K211" s="28"/>
      <c r="L211" s="62" t="s">
        <v>2730</v>
      </c>
    </row>
    <row r="212" ht="85.5" customHeight="1">
      <c r="A212" s="18" t="s">
        <v>3222</v>
      </c>
      <c r="B212" s="19" t="s">
        <v>2574</v>
      </c>
      <c r="C212" s="21" t="s">
        <v>3223</v>
      </c>
      <c r="D212" s="21" t="s">
        <v>2576</v>
      </c>
      <c r="E212" s="23" t="s">
        <v>15</v>
      </c>
      <c r="F212" s="64" t="s">
        <v>2578</v>
      </c>
      <c r="G212" s="21" t="s">
        <v>3224</v>
      </c>
      <c r="H212" s="64" t="s">
        <v>2583</v>
      </c>
      <c r="I212" s="25" t="s">
        <v>2584</v>
      </c>
      <c r="J212" s="63" t="s">
        <v>41</v>
      </c>
      <c r="K212" s="21"/>
      <c r="L212" s="64" t="s">
        <v>2730</v>
      </c>
    </row>
    <row r="213" ht="61.5" customHeight="1">
      <c r="A213" s="27" t="s">
        <v>3225</v>
      </c>
      <c r="B213" s="19" t="s">
        <v>2574</v>
      </c>
      <c r="C213" s="28" t="s">
        <v>3226</v>
      </c>
      <c r="D213" s="28" t="s">
        <v>2576</v>
      </c>
      <c r="E213" s="23" t="s">
        <v>15</v>
      </c>
      <c r="F213" s="62" t="s">
        <v>2578</v>
      </c>
      <c r="G213" s="28" t="s">
        <v>3227</v>
      </c>
      <c r="H213" s="62" t="s">
        <v>2583</v>
      </c>
      <c r="I213" s="41" t="s">
        <v>2584</v>
      </c>
      <c r="J213" s="63" t="s">
        <v>41</v>
      </c>
      <c r="K213" s="28"/>
      <c r="L213" s="66" t="s">
        <v>3206</v>
      </c>
    </row>
    <row r="214" ht="85.5" customHeight="1">
      <c r="A214" s="18" t="s">
        <v>3228</v>
      </c>
      <c r="B214" s="19" t="s">
        <v>2574</v>
      </c>
      <c r="C214" s="21" t="s">
        <v>3229</v>
      </c>
      <c r="D214" s="21" t="s">
        <v>2576</v>
      </c>
      <c r="E214" s="23" t="s">
        <v>15</v>
      </c>
      <c r="F214" s="64" t="s">
        <v>2578</v>
      </c>
      <c r="G214" s="21" t="s">
        <v>3230</v>
      </c>
      <c r="H214" s="64" t="s">
        <v>2583</v>
      </c>
      <c r="I214" s="25" t="s">
        <v>2584</v>
      </c>
      <c r="J214" s="63" t="s">
        <v>41</v>
      </c>
      <c r="K214" s="21"/>
      <c r="L214" s="65" t="s">
        <v>3206</v>
      </c>
    </row>
    <row r="215" ht="73.5" customHeight="1">
      <c r="A215" s="27" t="s">
        <v>3231</v>
      </c>
      <c r="B215" s="19" t="s">
        <v>2574</v>
      </c>
      <c r="C215" s="28" t="s">
        <v>3232</v>
      </c>
      <c r="D215" s="28" t="s">
        <v>2576</v>
      </c>
      <c r="E215" s="23" t="s">
        <v>15</v>
      </c>
      <c r="F215" s="62" t="s">
        <v>2578</v>
      </c>
      <c r="G215" s="28" t="s">
        <v>3233</v>
      </c>
      <c r="H215" s="62" t="s">
        <v>2583</v>
      </c>
      <c r="I215" s="41" t="s">
        <v>2584</v>
      </c>
      <c r="J215" s="63" t="s">
        <v>41</v>
      </c>
      <c r="K215" s="28"/>
      <c r="L215" s="62" t="s">
        <v>2730</v>
      </c>
    </row>
    <row r="216" ht="73.5" customHeight="1">
      <c r="A216" s="18" t="s">
        <v>3234</v>
      </c>
      <c r="B216" s="19" t="s">
        <v>2574</v>
      </c>
      <c r="C216" s="21" t="s">
        <v>3235</v>
      </c>
      <c r="D216" s="21" t="s">
        <v>2576</v>
      </c>
      <c r="E216" s="23" t="s">
        <v>15</v>
      </c>
      <c r="F216" s="64" t="s">
        <v>2578</v>
      </c>
      <c r="G216" s="21" t="s">
        <v>3236</v>
      </c>
      <c r="H216" s="64" t="s">
        <v>2583</v>
      </c>
      <c r="I216" s="25" t="s">
        <v>2584</v>
      </c>
      <c r="J216" s="63" t="s">
        <v>41</v>
      </c>
      <c r="K216" s="21"/>
      <c r="L216" s="64" t="s">
        <v>2730</v>
      </c>
    </row>
    <row r="217" ht="85.5" customHeight="1">
      <c r="A217" s="27" t="s">
        <v>3237</v>
      </c>
      <c r="B217" s="19" t="s">
        <v>2574</v>
      </c>
      <c r="C217" s="28" t="s">
        <v>3238</v>
      </c>
      <c r="D217" s="28" t="s">
        <v>2576</v>
      </c>
      <c r="E217" s="23" t="s">
        <v>15</v>
      </c>
      <c r="F217" s="62" t="s">
        <v>2578</v>
      </c>
      <c r="G217" s="28" t="s">
        <v>3239</v>
      </c>
      <c r="H217" s="62" t="s">
        <v>2583</v>
      </c>
      <c r="I217" s="41" t="s">
        <v>2584</v>
      </c>
      <c r="J217" s="63" t="s">
        <v>41</v>
      </c>
      <c r="K217" s="28"/>
      <c r="L217" s="62" t="s">
        <v>2730</v>
      </c>
    </row>
    <row r="218" ht="85.5" customHeight="1">
      <c r="A218" s="18" t="s">
        <v>3240</v>
      </c>
      <c r="B218" s="19" t="s">
        <v>2574</v>
      </c>
      <c r="C218" s="21" t="s">
        <v>3241</v>
      </c>
      <c r="D218" s="21" t="s">
        <v>2576</v>
      </c>
      <c r="E218" s="23" t="s">
        <v>15</v>
      </c>
      <c r="F218" s="64" t="s">
        <v>2578</v>
      </c>
      <c r="G218" s="21" t="s">
        <v>3242</v>
      </c>
      <c r="H218" s="64" t="s">
        <v>2583</v>
      </c>
      <c r="I218" s="25" t="s">
        <v>2584</v>
      </c>
      <c r="J218" s="63" t="s">
        <v>41</v>
      </c>
      <c r="K218" s="21"/>
      <c r="L218" s="64" t="s">
        <v>2730</v>
      </c>
    </row>
    <row r="219" ht="85.5" customHeight="1">
      <c r="A219" s="27" t="s">
        <v>3243</v>
      </c>
      <c r="B219" s="19" t="s">
        <v>2574</v>
      </c>
      <c r="C219" s="28" t="s">
        <v>3244</v>
      </c>
      <c r="D219" s="28" t="s">
        <v>2576</v>
      </c>
      <c r="E219" s="23" t="s">
        <v>15</v>
      </c>
      <c r="F219" s="62" t="s">
        <v>2578</v>
      </c>
      <c r="G219" s="28" t="s">
        <v>3245</v>
      </c>
      <c r="H219" s="62" t="s">
        <v>2583</v>
      </c>
      <c r="I219" s="41" t="s">
        <v>2584</v>
      </c>
      <c r="J219" s="63" t="s">
        <v>41</v>
      </c>
      <c r="K219" s="28"/>
      <c r="L219" s="62" t="s">
        <v>2730</v>
      </c>
    </row>
    <row r="220" ht="85.5" customHeight="1">
      <c r="A220" s="18" t="s">
        <v>3246</v>
      </c>
      <c r="B220" s="19" t="s">
        <v>2574</v>
      </c>
      <c r="C220" s="21" t="s">
        <v>3247</v>
      </c>
      <c r="D220" s="21" t="s">
        <v>2576</v>
      </c>
      <c r="E220" s="23" t="s">
        <v>15</v>
      </c>
      <c r="F220" s="64" t="s">
        <v>2578</v>
      </c>
      <c r="G220" s="21" t="s">
        <v>3248</v>
      </c>
      <c r="H220" s="64" t="s">
        <v>2583</v>
      </c>
      <c r="I220" s="25" t="s">
        <v>2584</v>
      </c>
      <c r="J220" s="63" t="s">
        <v>41</v>
      </c>
      <c r="K220" s="21"/>
      <c r="L220" s="64" t="s">
        <v>2730</v>
      </c>
    </row>
    <row r="221" ht="73.5" customHeight="1">
      <c r="A221" s="27" t="s">
        <v>3249</v>
      </c>
      <c r="B221" s="19" t="s">
        <v>2574</v>
      </c>
      <c r="C221" s="28" t="s">
        <v>3250</v>
      </c>
      <c r="D221" s="28" t="s">
        <v>2576</v>
      </c>
      <c r="E221" s="30" t="s">
        <v>25</v>
      </c>
      <c r="F221" s="62" t="s">
        <v>2578</v>
      </c>
      <c r="G221" s="28" t="s">
        <v>3251</v>
      </c>
      <c r="H221" s="62" t="s">
        <v>2583</v>
      </c>
      <c r="I221" s="41" t="s">
        <v>2584</v>
      </c>
      <c r="J221" s="63" t="s">
        <v>41</v>
      </c>
      <c r="K221" s="28"/>
      <c r="L221" s="62" t="s">
        <v>2730</v>
      </c>
    </row>
    <row r="222" ht="18.0" customHeight="1">
      <c r="A222" s="16" t="s">
        <v>3252</v>
      </c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5"/>
    </row>
    <row r="223" ht="49.5" customHeight="1">
      <c r="A223" s="18" t="s">
        <v>3253</v>
      </c>
      <c r="B223" s="19" t="s">
        <v>2574</v>
      </c>
      <c r="C223" s="21" t="s">
        <v>3254</v>
      </c>
      <c r="D223" s="21" t="s">
        <v>2576</v>
      </c>
      <c r="E223" s="23" t="s">
        <v>15</v>
      </c>
      <c r="F223" s="64" t="s">
        <v>2578</v>
      </c>
      <c r="G223" s="21" t="s">
        <v>3255</v>
      </c>
      <c r="H223" s="64" t="s">
        <v>2583</v>
      </c>
      <c r="I223" s="25" t="s">
        <v>2584</v>
      </c>
      <c r="J223" s="63" t="s">
        <v>41</v>
      </c>
      <c r="K223" s="21"/>
      <c r="L223" s="64" t="s">
        <v>3256</v>
      </c>
    </row>
    <row r="224" ht="49.5" customHeight="1">
      <c r="A224" s="27" t="s">
        <v>3257</v>
      </c>
      <c r="B224" s="19" t="s">
        <v>2574</v>
      </c>
      <c r="C224" s="28" t="s">
        <v>3258</v>
      </c>
      <c r="D224" s="28" t="s">
        <v>2576</v>
      </c>
      <c r="E224" s="30" t="s">
        <v>25</v>
      </c>
      <c r="F224" s="62" t="s">
        <v>2578</v>
      </c>
      <c r="G224" s="28" t="s">
        <v>3259</v>
      </c>
      <c r="H224" s="62" t="s">
        <v>2583</v>
      </c>
      <c r="I224" s="41" t="s">
        <v>2584</v>
      </c>
      <c r="J224" s="63" t="s">
        <v>41</v>
      </c>
      <c r="K224" s="28"/>
      <c r="L224" s="62" t="s">
        <v>3256</v>
      </c>
    </row>
    <row r="225" ht="61.5" customHeight="1">
      <c r="A225" s="18" t="s">
        <v>3260</v>
      </c>
      <c r="B225" s="19" t="s">
        <v>2574</v>
      </c>
      <c r="C225" s="21" t="s">
        <v>3261</v>
      </c>
      <c r="D225" s="21" t="s">
        <v>2576</v>
      </c>
      <c r="E225" s="32" t="s">
        <v>25</v>
      </c>
      <c r="F225" s="64" t="s">
        <v>2578</v>
      </c>
      <c r="G225" s="21" t="s">
        <v>3262</v>
      </c>
      <c r="H225" s="64" t="s">
        <v>2583</v>
      </c>
      <c r="I225" s="25" t="s">
        <v>2584</v>
      </c>
      <c r="J225" s="63" t="s">
        <v>41</v>
      </c>
      <c r="K225" s="21"/>
      <c r="L225" s="64" t="s">
        <v>3256</v>
      </c>
    </row>
    <row r="226" ht="49.5" customHeight="1">
      <c r="A226" s="27" t="s">
        <v>3263</v>
      </c>
      <c r="B226" s="19" t="s">
        <v>2574</v>
      </c>
      <c r="C226" s="28" t="s">
        <v>3264</v>
      </c>
      <c r="D226" s="28" t="s">
        <v>2576</v>
      </c>
      <c r="E226" s="23" t="s">
        <v>15</v>
      </c>
      <c r="F226" s="62" t="s">
        <v>2578</v>
      </c>
      <c r="G226" s="28" t="s">
        <v>3265</v>
      </c>
      <c r="H226" s="62" t="s">
        <v>2583</v>
      </c>
      <c r="I226" s="41" t="s">
        <v>2584</v>
      </c>
      <c r="J226" s="63" t="s">
        <v>41</v>
      </c>
      <c r="K226" s="28"/>
      <c r="L226" s="62" t="s">
        <v>3256</v>
      </c>
    </row>
    <row r="227" ht="49.5" customHeight="1">
      <c r="A227" s="18" t="s">
        <v>3266</v>
      </c>
      <c r="B227" s="19" t="s">
        <v>2574</v>
      </c>
      <c r="C227" s="21" t="s">
        <v>3267</v>
      </c>
      <c r="D227" s="21" t="s">
        <v>2576</v>
      </c>
      <c r="E227" s="32" t="s">
        <v>25</v>
      </c>
      <c r="F227" s="64" t="s">
        <v>2578</v>
      </c>
      <c r="G227" s="21" t="s">
        <v>3268</v>
      </c>
      <c r="H227" s="64" t="s">
        <v>2583</v>
      </c>
      <c r="I227" s="25" t="s">
        <v>2584</v>
      </c>
      <c r="J227" s="63" t="s">
        <v>41</v>
      </c>
      <c r="K227" s="21"/>
      <c r="L227" s="64" t="s">
        <v>3256</v>
      </c>
    </row>
    <row r="228" ht="49.5" customHeight="1">
      <c r="A228" s="27" t="s">
        <v>3269</v>
      </c>
      <c r="B228" s="19" t="s">
        <v>2574</v>
      </c>
      <c r="C228" s="28" t="s">
        <v>3270</v>
      </c>
      <c r="D228" s="28" t="s">
        <v>2576</v>
      </c>
      <c r="E228" s="30" t="s">
        <v>25</v>
      </c>
      <c r="F228" s="62" t="s">
        <v>2578</v>
      </c>
      <c r="G228" s="28" t="s">
        <v>3271</v>
      </c>
      <c r="H228" s="62" t="s">
        <v>2583</v>
      </c>
      <c r="I228" s="41" t="s">
        <v>2584</v>
      </c>
      <c r="J228" s="63" t="s">
        <v>41</v>
      </c>
      <c r="K228" s="28"/>
      <c r="L228" s="62" t="s">
        <v>3256</v>
      </c>
    </row>
    <row r="229" ht="85.5" customHeight="1">
      <c r="A229" s="18" t="s">
        <v>3272</v>
      </c>
      <c r="B229" s="19" t="s">
        <v>2574</v>
      </c>
      <c r="C229" s="21" t="s">
        <v>3273</v>
      </c>
      <c r="D229" s="21" t="s">
        <v>2576</v>
      </c>
      <c r="E229" s="23" t="s">
        <v>15</v>
      </c>
      <c r="F229" s="64" t="s">
        <v>2578</v>
      </c>
      <c r="G229" s="21" t="s">
        <v>3274</v>
      </c>
      <c r="H229" s="64" t="s">
        <v>2583</v>
      </c>
      <c r="I229" s="25" t="s">
        <v>2584</v>
      </c>
      <c r="J229" s="63" t="s">
        <v>41</v>
      </c>
      <c r="K229" s="21"/>
      <c r="L229" s="65" t="s">
        <v>3275</v>
      </c>
    </row>
    <row r="230" ht="85.5" customHeight="1">
      <c r="A230" s="27" t="s">
        <v>3276</v>
      </c>
      <c r="B230" s="19" t="s">
        <v>2574</v>
      </c>
      <c r="C230" s="28" t="s">
        <v>3277</v>
      </c>
      <c r="D230" s="28" t="s">
        <v>2576</v>
      </c>
      <c r="E230" s="23" t="s">
        <v>15</v>
      </c>
      <c r="F230" s="62" t="s">
        <v>2578</v>
      </c>
      <c r="G230" s="28" t="s">
        <v>3278</v>
      </c>
      <c r="H230" s="62" t="s">
        <v>2583</v>
      </c>
      <c r="I230" s="41" t="s">
        <v>2584</v>
      </c>
      <c r="J230" s="63" t="s">
        <v>41</v>
      </c>
      <c r="K230" s="28"/>
      <c r="L230" s="66" t="s">
        <v>3275</v>
      </c>
    </row>
    <row r="231" ht="85.5" customHeight="1">
      <c r="A231" s="18" t="s">
        <v>3279</v>
      </c>
      <c r="B231" s="19" t="s">
        <v>2574</v>
      </c>
      <c r="C231" s="21" t="s">
        <v>3280</v>
      </c>
      <c r="D231" s="21" t="s">
        <v>2576</v>
      </c>
      <c r="E231" s="23" t="s">
        <v>15</v>
      </c>
      <c r="F231" s="64" t="s">
        <v>2578</v>
      </c>
      <c r="G231" s="21" t="s">
        <v>3281</v>
      </c>
      <c r="H231" s="64" t="s">
        <v>2583</v>
      </c>
      <c r="I231" s="25" t="s">
        <v>2584</v>
      </c>
      <c r="J231" s="63" t="s">
        <v>41</v>
      </c>
      <c r="K231" s="21"/>
      <c r="L231" s="65" t="s">
        <v>3275</v>
      </c>
    </row>
    <row r="232" ht="85.5" customHeight="1">
      <c r="A232" s="27" t="s">
        <v>3282</v>
      </c>
      <c r="B232" s="19" t="s">
        <v>2574</v>
      </c>
      <c r="C232" s="28" t="s">
        <v>3283</v>
      </c>
      <c r="D232" s="28" t="s">
        <v>2576</v>
      </c>
      <c r="E232" s="23" t="s">
        <v>15</v>
      </c>
      <c r="F232" s="62" t="s">
        <v>2578</v>
      </c>
      <c r="G232" s="28" t="s">
        <v>3284</v>
      </c>
      <c r="H232" s="62" t="s">
        <v>2583</v>
      </c>
      <c r="I232" s="41" t="s">
        <v>2584</v>
      </c>
      <c r="J232" s="63" t="s">
        <v>41</v>
      </c>
      <c r="K232" s="28"/>
      <c r="L232" s="66" t="s">
        <v>3275</v>
      </c>
    </row>
    <row r="233" ht="85.5" customHeight="1">
      <c r="A233" s="18" t="s">
        <v>3285</v>
      </c>
      <c r="B233" s="19" t="s">
        <v>2574</v>
      </c>
      <c r="C233" s="21" t="s">
        <v>3286</v>
      </c>
      <c r="D233" s="21" t="s">
        <v>2576</v>
      </c>
      <c r="E233" s="23" t="s">
        <v>15</v>
      </c>
      <c r="F233" s="64" t="s">
        <v>2578</v>
      </c>
      <c r="G233" s="21" t="s">
        <v>3287</v>
      </c>
      <c r="H233" s="64" t="s">
        <v>2583</v>
      </c>
      <c r="I233" s="25" t="s">
        <v>2584</v>
      </c>
      <c r="J233" s="63" t="s">
        <v>41</v>
      </c>
      <c r="K233" s="21"/>
      <c r="L233" s="65" t="s">
        <v>3275</v>
      </c>
    </row>
    <row r="234" ht="85.5" customHeight="1">
      <c r="A234" s="27" t="s">
        <v>3288</v>
      </c>
      <c r="B234" s="19" t="s">
        <v>2574</v>
      </c>
      <c r="C234" s="28" t="s">
        <v>3289</v>
      </c>
      <c r="D234" s="28" t="s">
        <v>2576</v>
      </c>
      <c r="E234" s="23" t="s">
        <v>15</v>
      </c>
      <c r="F234" s="62" t="s">
        <v>2578</v>
      </c>
      <c r="G234" s="28" t="s">
        <v>3290</v>
      </c>
      <c r="H234" s="62" t="s">
        <v>2583</v>
      </c>
      <c r="I234" s="41" t="s">
        <v>2584</v>
      </c>
      <c r="J234" s="63" t="s">
        <v>41</v>
      </c>
      <c r="K234" s="28"/>
      <c r="L234" s="66" t="s">
        <v>3275</v>
      </c>
    </row>
    <row r="235" ht="18.0" customHeight="1">
      <c r="A235" s="16" t="s">
        <v>3291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5"/>
    </row>
    <row r="236" ht="49.5" customHeight="1">
      <c r="A236" s="18" t="s">
        <v>3292</v>
      </c>
      <c r="B236" s="19" t="s">
        <v>2574</v>
      </c>
      <c r="C236" s="21" t="s">
        <v>3293</v>
      </c>
      <c r="D236" s="21" t="s">
        <v>2576</v>
      </c>
      <c r="E236" s="32" t="s">
        <v>25</v>
      </c>
      <c r="F236" s="64" t="s">
        <v>2578</v>
      </c>
      <c r="G236" s="21" t="s">
        <v>3294</v>
      </c>
      <c r="H236" s="64" t="s">
        <v>2583</v>
      </c>
      <c r="I236" s="25" t="s">
        <v>2584</v>
      </c>
      <c r="J236" s="63" t="s">
        <v>41</v>
      </c>
      <c r="K236" s="21"/>
      <c r="L236" s="64" t="s">
        <v>3256</v>
      </c>
    </row>
    <row r="237" ht="61.5" customHeight="1">
      <c r="A237" s="27" t="s">
        <v>3295</v>
      </c>
      <c r="B237" s="19" t="s">
        <v>2574</v>
      </c>
      <c r="C237" s="28" t="s">
        <v>3296</v>
      </c>
      <c r="D237" s="28" t="s">
        <v>2576</v>
      </c>
      <c r="E237" s="30" t="s">
        <v>25</v>
      </c>
      <c r="F237" s="62" t="s">
        <v>2578</v>
      </c>
      <c r="G237" s="28" t="s">
        <v>3297</v>
      </c>
      <c r="H237" s="62" t="s">
        <v>2583</v>
      </c>
      <c r="I237" s="41" t="s">
        <v>2584</v>
      </c>
      <c r="J237" s="63" t="s">
        <v>41</v>
      </c>
      <c r="K237" s="28"/>
      <c r="L237" s="62" t="s">
        <v>3256</v>
      </c>
    </row>
    <row r="238" ht="85.5" customHeight="1">
      <c r="A238" s="18" t="s">
        <v>3298</v>
      </c>
      <c r="B238" s="19" t="s">
        <v>2574</v>
      </c>
      <c r="C238" s="21" t="s">
        <v>3299</v>
      </c>
      <c r="D238" s="21" t="s">
        <v>2576</v>
      </c>
      <c r="E238" s="23" t="s">
        <v>15</v>
      </c>
      <c r="F238" s="64" t="s">
        <v>2578</v>
      </c>
      <c r="G238" s="21" t="s">
        <v>3300</v>
      </c>
      <c r="H238" s="64" t="s">
        <v>2583</v>
      </c>
      <c r="I238" s="25" t="s">
        <v>2584</v>
      </c>
      <c r="J238" s="63" t="s">
        <v>41</v>
      </c>
      <c r="K238" s="21"/>
      <c r="L238" s="65" t="s">
        <v>3275</v>
      </c>
    </row>
    <row r="239" ht="85.5" customHeight="1">
      <c r="A239" s="27" t="s">
        <v>3301</v>
      </c>
      <c r="B239" s="19" t="s">
        <v>2574</v>
      </c>
      <c r="C239" s="28" t="s">
        <v>3302</v>
      </c>
      <c r="D239" s="28" t="s">
        <v>2576</v>
      </c>
      <c r="E239" s="23" t="s">
        <v>15</v>
      </c>
      <c r="F239" s="62" t="s">
        <v>2578</v>
      </c>
      <c r="G239" s="28" t="s">
        <v>3303</v>
      </c>
      <c r="H239" s="62" t="s">
        <v>2583</v>
      </c>
      <c r="I239" s="41" t="s">
        <v>2584</v>
      </c>
      <c r="J239" s="63" t="s">
        <v>41</v>
      </c>
      <c r="K239" s="28"/>
      <c r="L239" s="66" t="s">
        <v>3275</v>
      </c>
    </row>
    <row r="240" ht="85.5" customHeight="1">
      <c r="A240" s="18" t="s">
        <v>3304</v>
      </c>
      <c r="B240" s="19" t="s">
        <v>2574</v>
      </c>
      <c r="C240" s="21" t="s">
        <v>3305</v>
      </c>
      <c r="D240" s="21" t="s">
        <v>2576</v>
      </c>
      <c r="E240" s="23" t="s">
        <v>15</v>
      </c>
      <c r="F240" s="64" t="s">
        <v>2578</v>
      </c>
      <c r="G240" s="21" t="s">
        <v>3306</v>
      </c>
      <c r="H240" s="64" t="s">
        <v>2583</v>
      </c>
      <c r="I240" s="25" t="s">
        <v>2584</v>
      </c>
      <c r="J240" s="63" t="s">
        <v>41</v>
      </c>
      <c r="K240" s="21"/>
      <c r="L240" s="65" t="s">
        <v>3275</v>
      </c>
    </row>
    <row r="241" ht="18.0" customHeight="1">
      <c r="A241" s="16" t="s">
        <v>3307</v>
      </c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5"/>
    </row>
    <row r="242" ht="37.5" customHeight="1">
      <c r="A242" s="27" t="s">
        <v>3308</v>
      </c>
      <c r="B242" s="19" t="s">
        <v>2574</v>
      </c>
      <c r="C242" s="28" t="s">
        <v>3309</v>
      </c>
      <c r="D242" s="28" t="s">
        <v>2576</v>
      </c>
      <c r="E242" s="30" t="s">
        <v>25</v>
      </c>
      <c r="F242" s="62" t="s">
        <v>2578</v>
      </c>
      <c r="G242" s="28" t="s">
        <v>3310</v>
      </c>
      <c r="H242" s="62" t="s">
        <v>2583</v>
      </c>
      <c r="I242" s="28" t="s">
        <v>55</v>
      </c>
      <c r="J242" s="63" t="s">
        <v>41</v>
      </c>
      <c r="K242" s="28"/>
      <c r="L242" s="66" t="s">
        <v>3311</v>
      </c>
    </row>
    <row r="243" ht="37.5" customHeight="1">
      <c r="A243" s="18" t="s">
        <v>3312</v>
      </c>
      <c r="B243" s="19" t="s">
        <v>2574</v>
      </c>
      <c r="C243" s="21" t="s">
        <v>3313</v>
      </c>
      <c r="D243" s="21" t="s">
        <v>2576</v>
      </c>
      <c r="E243" s="23" t="s">
        <v>15</v>
      </c>
      <c r="F243" s="64" t="s">
        <v>2578</v>
      </c>
      <c r="G243" s="21" t="s">
        <v>3314</v>
      </c>
      <c r="H243" s="64" t="s">
        <v>2583</v>
      </c>
      <c r="I243" s="25" t="s">
        <v>56</v>
      </c>
      <c r="J243" s="63" t="s">
        <v>41</v>
      </c>
      <c r="K243" s="21"/>
      <c r="L243" s="65" t="s">
        <v>3311</v>
      </c>
    </row>
    <row r="244" ht="37.5" customHeight="1">
      <c r="A244" s="27" t="s">
        <v>3315</v>
      </c>
      <c r="B244" s="19" t="s">
        <v>2574</v>
      </c>
      <c r="C244" s="28" t="s">
        <v>3316</v>
      </c>
      <c r="D244" s="28" t="s">
        <v>2576</v>
      </c>
      <c r="E244" s="30" t="s">
        <v>25</v>
      </c>
      <c r="F244" s="62" t="s">
        <v>2578</v>
      </c>
      <c r="G244" s="28" t="s">
        <v>3317</v>
      </c>
      <c r="H244" s="62" t="s">
        <v>2583</v>
      </c>
      <c r="I244" s="41" t="s">
        <v>56</v>
      </c>
      <c r="J244" s="63" t="s">
        <v>41</v>
      </c>
      <c r="K244" s="28"/>
      <c r="L244" s="66" t="s">
        <v>3311</v>
      </c>
    </row>
    <row r="245" ht="37.5" customHeight="1">
      <c r="A245" s="18" t="s">
        <v>3318</v>
      </c>
      <c r="B245" s="19" t="s">
        <v>2574</v>
      </c>
      <c r="C245" s="21" t="s">
        <v>3319</v>
      </c>
      <c r="D245" s="21" t="s">
        <v>2576</v>
      </c>
      <c r="E245" s="23" t="s">
        <v>15</v>
      </c>
      <c r="F245" s="64" t="s">
        <v>2578</v>
      </c>
      <c r="G245" s="21" t="s">
        <v>3320</v>
      </c>
      <c r="H245" s="64" t="s">
        <v>2583</v>
      </c>
      <c r="I245" s="25" t="s">
        <v>56</v>
      </c>
      <c r="J245" s="63" t="s">
        <v>41</v>
      </c>
      <c r="K245" s="21"/>
      <c r="L245" s="65" t="s">
        <v>3311</v>
      </c>
    </row>
    <row r="246" ht="37.5" customHeight="1">
      <c r="A246" s="27" t="s">
        <v>3321</v>
      </c>
      <c r="B246" s="19" t="s">
        <v>2574</v>
      </c>
      <c r="C246" s="28" t="s">
        <v>3322</v>
      </c>
      <c r="D246" s="28" t="s">
        <v>2576</v>
      </c>
      <c r="E246" s="23" t="s">
        <v>15</v>
      </c>
      <c r="F246" s="62" t="s">
        <v>2578</v>
      </c>
      <c r="G246" s="28" t="s">
        <v>3323</v>
      </c>
      <c r="H246" s="62" t="s">
        <v>2583</v>
      </c>
      <c r="I246" s="41" t="s">
        <v>56</v>
      </c>
      <c r="J246" s="63" t="s">
        <v>41</v>
      </c>
      <c r="K246" s="28"/>
      <c r="L246" s="66" t="s">
        <v>3311</v>
      </c>
    </row>
    <row r="247" ht="37.5" customHeight="1">
      <c r="A247" s="18" t="s">
        <v>3324</v>
      </c>
      <c r="B247" s="19" t="s">
        <v>2574</v>
      </c>
      <c r="C247" s="21" t="s">
        <v>3325</v>
      </c>
      <c r="D247" s="21" t="s">
        <v>2576</v>
      </c>
      <c r="E247" s="23" t="s">
        <v>15</v>
      </c>
      <c r="F247" s="64" t="s">
        <v>2578</v>
      </c>
      <c r="G247" s="21" t="s">
        <v>3326</v>
      </c>
      <c r="H247" s="64" t="s">
        <v>2583</v>
      </c>
      <c r="I247" s="25" t="s">
        <v>56</v>
      </c>
      <c r="J247" s="63" t="s">
        <v>41</v>
      </c>
      <c r="K247" s="21"/>
      <c r="L247" s="65" t="s">
        <v>3311</v>
      </c>
    </row>
    <row r="248" ht="37.5" customHeight="1">
      <c r="A248" s="27" t="s">
        <v>3327</v>
      </c>
      <c r="B248" s="19" t="s">
        <v>2574</v>
      </c>
      <c r="C248" s="28" t="s">
        <v>3328</v>
      </c>
      <c r="D248" s="28" t="s">
        <v>2576</v>
      </c>
      <c r="E248" s="30" t="s">
        <v>25</v>
      </c>
      <c r="F248" s="62" t="s">
        <v>2578</v>
      </c>
      <c r="G248" s="28" t="s">
        <v>3329</v>
      </c>
      <c r="H248" s="62" t="s">
        <v>2583</v>
      </c>
      <c r="I248" s="41" t="s">
        <v>56</v>
      </c>
      <c r="J248" s="63" t="s">
        <v>41</v>
      </c>
      <c r="K248" s="28"/>
      <c r="L248" s="66" t="s">
        <v>3311</v>
      </c>
    </row>
    <row r="249" ht="37.5" customHeight="1">
      <c r="A249" s="18" t="s">
        <v>3330</v>
      </c>
      <c r="B249" s="19" t="s">
        <v>2574</v>
      </c>
      <c r="C249" s="21" t="s">
        <v>3331</v>
      </c>
      <c r="D249" s="21" t="s">
        <v>2576</v>
      </c>
      <c r="E249" s="32" t="s">
        <v>25</v>
      </c>
      <c r="F249" s="64" t="s">
        <v>2578</v>
      </c>
      <c r="G249" s="21" t="s">
        <v>3332</v>
      </c>
      <c r="H249" s="64" t="s">
        <v>2583</v>
      </c>
      <c r="I249" s="25" t="s">
        <v>56</v>
      </c>
      <c r="J249" s="63" t="s">
        <v>41</v>
      </c>
      <c r="K249" s="21"/>
      <c r="L249" s="65" t="s">
        <v>3311</v>
      </c>
    </row>
    <row r="250" ht="37.5" customHeight="1">
      <c r="A250" s="27" t="s">
        <v>3333</v>
      </c>
      <c r="B250" s="19" t="s">
        <v>2574</v>
      </c>
      <c r="C250" s="28" t="s">
        <v>3334</v>
      </c>
      <c r="D250" s="28" t="s">
        <v>2576</v>
      </c>
      <c r="E250" s="30" t="s">
        <v>25</v>
      </c>
      <c r="F250" s="62" t="s">
        <v>2578</v>
      </c>
      <c r="G250" s="28" t="s">
        <v>3335</v>
      </c>
      <c r="H250" s="62" t="s">
        <v>2583</v>
      </c>
      <c r="I250" s="41" t="s">
        <v>56</v>
      </c>
      <c r="J250" s="63" t="s">
        <v>41</v>
      </c>
      <c r="K250" s="28"/>
      <c r="L250" s="66" t="s">
        <v>3311</v>
      </c>
    </row>
    <row r="251" ht="37.5" customHeight="1">
      <c r="A251" s="18" t="s">
        <v>3336</v>
      </c>
      <c r="B251" s="19" t="s">
        <v>2574</v>
      </c>
      <c r="C251" s="21" t="s">
        <v>3337</v>
      </c>
      <c r="D251" s="21" t="s">
        <v>2576</v>
      </c>
      <c r="E251" s="32" t="s">
        <v>25</v>
      </c>
      <c r="F251" s="64" t="s">
        <v>2578</v>
      </c>
      <c r="G251" s="21" t="s">
        <v>3338</v>
      </c>
      <c r="H251" s="64" t="s">
        <v>2583</v>
      </c>
      <c r="I251" s="25" t="s">
        <v>56</v>
      </c>
      <c r="J251" s="63" t="s">
        <v>41</v>
      </c>
      <c r="K251" s="21"/>
      <c r="L251" s="65" t="s">
        <v>3311</v>
      </c>
    </row>
    <row r="252" ht="37.5" customHeight="1">
      <c r="A252" s="27" t="s">
        <v>3339</v>
      </c>
      <c r="B252" s="19" t="s">
        <v>2574</v>
      </c>
      <c r="C252" s="28" t="s">
        <v>3340</v>
      </c>
      <c r="D252" s="28" t="s">
        <v>2576</v>
      </c>
      <c r="E252" s="30" t="s">
        <v>25</v>
      </c>
      <c r="F252" s="62" t="s">
        <v>2578</v>
      </c>
      <c r="G252" s="28" t="s">
        <v>3341</v>
      </c>
      <c r="H252" s="62" t="s">
        <v>2583</v>
      </c>
      <c r="I252" s="28" t="s">
        <v>55</v>
      </c>
      <c r="J252" s="63" t="s">
        <v>41</v>
      </c>
      <c r="K252" s="28"/>
      <c r="L252" s="66" t="s">
        <v>3311</v>
      </c>
    </row>
    <row r="253" ht="37.5" customHeight="1">
      <c r="A253" s="18" t="s">
        <v>3342</v>
      </c>
      <c r="B253" s="19" t="s">
        <v>2574</v>
      </c>
      <c r="C253" s="21" t="s">
        <v>3343</v>
      </c>
      <c r="D253" s="21" t="s">
        <v>2576</v>
      </c>
      <c r="E253" s="32" t="s">
        <v>25</v>
      </c>
      <c r="F253" s="64" t="s">
        <v>2578</v>
      </c>
      <c r="G253" s="21" t="s">
        <v>3344</v>
      </c>
      <c r="H253" s="64" t="s">
        <v>2583</v>
      </c>
      <c r="I253" s="21" t="s">
        <v>55</v>
      </c>
      <c r="J253" s="63" t="s">
        <v>41</v>
      </c>
      <c r="K253" s="21"/>
      <c r="L253" s="65" t="s">
        <v>3311</v>
      </c>
    </row>
    <row r="254" ht="18.0" customHeight="1">
      <c r="A254" s="16" t="s">
        <v>3345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5"/>
    </row>
    <row r="255" ht="37.5" customHeight="1">
      <c r="A255" s="27" t="s">
        <v>3346</v>
      </c>
      <c r="B255" s="19" t="s">
        <v>2574</v>
      </c>
      <c r="C255" s="28" t="s">
        <v>3347</v>
      </c>
      <c r="D255" s="28" t="s">
        <v>2576</v>
      </c>
      <c r="E255" s="30" t="s">
        <v>25</v>
      </c>
      <c r="F255" s="62" t="s">
        <v>2578</v>
      </c>
      <c r="G255" s="28" t="s">
        <v>3348</v>
      </c>
      <c r="H255" s="62" t="s">
        <v>2583</v>
      </c>
      <c r="I255" s="41" t="s">
        <v>56</v>
      </c>
      <c r="J255" s="63" t="s">
        <v>41</v>
      </c>
      <c r="K255" s="28"/>
      <c r="L255" s="66" t="s">
        <v>3349</v>
      </c>
    </row>
    <row r="256" ht="37.5" customHeight="1">
      <c r="A256" s="18" t="s">
        <v>3350</v>
      </c>
      <c r="B256" s="19" t="s">
        <v>2574</v>
      </c>
      <c r="C256" s="21" t="s">
        <v>3351</v>
      </c>
      <c r="D256" s="21" t="s">
        <v>2576</v>
      </c>
      <c r="E256" s="32" t="s">
        <v>25</v>
      </c>
      <c r="F256" s="64" t="s">
        <v>2578</v>
      </c>
      <c r="G256" s="21" t="s">
        <v>3352</v>
      </c>
      <c r="H256" s="64" t="s">
        <v>2583</v>
      </c>
      <c r="I256" s="25" t="s">
        <v>56</v>
      </c>
      <c r="J256" s="63" t="s">
        <v>41</v>
      </c>
      <c r="K256" s="21"/>
      <c r="L256" s="65" t="s">
        <v>3349</v>
      </c>
    </row>
    <row r="257" ht="37.5" customHeight="1">
      <c r="A257" s="27" t="s">
        <v>3353</v>
      </c>
      <c r="B257" s="19" t="s">
        <v>2574</v>
      </c>
      <c r="C257" s="28" t="s">
        <v>3354</v>
      </c>
      <c r="D257" s="28" t="s">
        <v>2576</v>
      </c>
      <c r="E257" s="30" t="s">
        <v>25</v>
      </c>
      <c r="F257" s="62" t="s">
        <v>2578</v>
      </c>
      <c r="G257" s="28" t="s">
        <v>3355</v>
      </c>
      <c r="H257" s="62" t="s">
        <v>2583</v>
      </c>
      <c r="I257" s="28" t="s">
        <v>55</v>
      </c>
      <c r="J257" s="63" t="s">
        <v>41</v>
      </c>
      <c r="K257" s="28"/>
      <c r="L257" s="66" t="s">
        <v>3349</v>
      </c>
    </row>
    <row r="258" ht="37.5" customHeight="1">
      <c r="A258" s="18" t="s">
        <v>3356</v>
      </c>
      <c r="B258" s="19" t="s">
        <v>2574</v>
      </c>
      <c r="C258" s="21" t="s">
        <v>3357</v>
      </c>
      <c r="D258" s="21" t="s">
        <v>2576</v>
      </c>
      <c r="E258" s="32" t="s">
        <v>25</v>
      </c>
      <c r="F258" s="64" t="s">
        <v>2578</v>
      </c>
      <c r="G258" s="21" t="s">
        <v>3358</v>
      </c>
      <c r="H258" s="64" t="s">
        <v>2583</v>
      </c>
      <c r="I258" s="25" t="s">
        <v>56</v>
      </c>
      <c r="J258" s="63" t="s">
        <v>41</v>
      </c>
      <c r="K258" s="21"/>
      <c r="L258" s="65" t="s">
        <v>3349</v>
      </c>
    </row>
    <row r="259" ht="37.5" customHeight="1">
      <c r="A259" s="27" t="s">
        <v>3359</v>
      </c>
      <c r="B259" s="19" t="s">
        <v>2574</v>
      </c>
      <c r="C259" s="28" t="s">
        <v>3360</v>
      </c>
      <c r="D259" s="28" t="s">
        <v>2576</v>
      </c>
      <c r="E259" s="30" t="s">
        <v>25</v>
      </c>
      <c r="F259" s="62" t="s">
        <v>2578</v>
      </c>
      <c r="G259" s="28" t="s">
        <v>3361</v>
      </c>
      <c r="H259" s="62" t="s">
        <v>2583</v>
      </c>
      <c r="I259" s="41" t="s">
        <v>56</v>
      </c>
      <c r="J259" s="63" t="s">
        <v>41</v>
      </c>
      <c r="K259" s="28"/>
      <c r="L259" s="66" t="s">
        <v>3349</v>
      </c>
    </row>
    <row r="260" ht="37.5" customHeight="1">
      <c r="A260" s="18" t="s">
        <v>3362</v>
      </c>
      <c r="B260" s="19" t="s">
        <v>2574</v>
      </c>
      <c r="C260" s="21" t="s">
        <v>3363</v>
      </c>
      <c r="D260" s="21" t="s">
        <v>2576</v>
      </c>
      <c r="E260" s="32" t="s">
        <v>25</v>
      </c>
      <c r="F260" s="64" t="s">
        <v>2578</v>
      </c>
      <c r="G260" s="21" t="s">
        <v>3364</v>
      </c>
      <c r="H260" s="64" t="s">
        <v>2583</v>
      </c>
      <c r="I260" s="25" t="s">
        <v>56</v>
      </c>
      <c r="J260" s="63" t="s">
        <v>41</v>
      </c>
      <c r="K260" s="21"/>
      <c r="L260" s="65" t="s">
        <v>3349</v>
      </c>
    </row>
    <row r="261" ht="18.0" customHeight="1">
      <c r="A261" s="16" t="s">
        <v>3307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5"/>
    </row>
    <row r="262" ht="73.5" customHeight="1">
      <c r="A262" s="27" t="s">
        <v>3365</v>
      </c>
      <c r="B262" s="19" t="s">
        <v>2574</v>
      </c>
      <c r="C262" s="28" t="s">
        <v>3366</v>
      </c>
      <c r="D262" s="28" t="s">
        <v>2576</v>
      </c>
      <c r="E262" s="30" t="s">
        <v>25</v>
      </c>
      <c r="F262" s="62" t="s">
        <v>2578</v>
      </c>
      <c r="G262" s="28" t="s">
        <v>3367</v>
      </c>
      <c r="H262" s="62" t="s">
        <v>2583</v>
      </c>
      <c r="I262" s="28" t="s">
        <v>55</v>
      </c>
      <c r="J262" s="63" t="s">
        <v>41</v>
      </c>
      <c r="K262" s="28"/>
      <c r="L262" s="62" t="s">
        <v>3368</v>
      </c>
    </row>
    <row r="263" ht="37.5" customHeight="1">
      <c r="A263" s="18" t="s">
        <v>3369</v>
      </c>
      <c r="B263" s="19" t="s">
        <v>2574</v>
      </c>
      <c r="C263" s="21" t="s">
        <v>3370</v>
      </c>
      <c r="D263" s="21" t="s">
        <v>2576</v>
      </c>
      <c r="E263" s="32" t="s">
        <v>25</v>
      </c>
      <c r="F263" s="64" t="s">
        <v>2578</v>
      </c>
      <c r="G263" s="21" t="s">
        <v>3371</v>
      </c>
      <c r="H263" s="64" t="s">
        <v>2583</v>
      </c>
      <c r="I263" s="21" t="s">
        <v>55</v>
      </c>
      <c r="J263" s="63" t="s">
        <v>41</v>
      </c>
      <c r="K263" s="21"/>
      <c r="L263" s="64" t="s">
        <v>3368</v>
      </c>
    </row>
    <row r="264" ht="37.5" customHeight="1">
      <c r="A264" s="27" t="s">
        <v>3372</v>
      </c>
      <c r="B264" s="19" t="s">
        <v>2574</v>
      </c>
      <c r="C264" s="28" t="s">
        <v>3373</v>
      </c>
      <c r="D264" s="28" t="s">
        <v>2576</v>
      </c>
      <c r="E264" s="30" t="s">
        <v>25</v>
      </c>
      <c r="F264" s="62" t="s">
        <v>2578</v>
      </c>
      <c r="G264" s="28" t="s">
        <v>3374</v>
      </c>
      <c r="H264" s="62" t="s">
        <v>2583</v>
      </c>
      <c r="I264" s="28" t="s">
        <v>55</v>
      </c>
      <c r="J264" s="63" t="s">
        <v>41</v>
      </c>
      <c r="K264" s="28"/>
      <c r="L264" s="62" t="s">
        <v>3368</v>
      </c>
    </row>
    <row r="265" ht="73.5" customHeight="1">
      <c r="A265" s="18" t="s">
        <v>3375</v>
      </c>
      <c r="B265" s="19" t="s">
        <v>2574</v>
      </c>
      <c r="C265" s="21" t="s">
        <v>3376</v>
      </c>
      <c r="D265" s="21" t="s">
        <v>2576</v>
      </c>
      <c r="E265" s="32" t="s">
        <v>25</v>
      </c>
      <c r="F265" s="64" t="s">
        <v>2578</v>
      </c>
      <c r="G265" s="21" t="s">
        <v>3377</v>
      </c>
      <c r="H265" s="64" t="s">
        <v>2583</v>
      </c>
      <c r="I265" s="25" t="s">
        <v>2584</v>
      </c>
      <c r="J265" s="63" t="s">
        <v>41</v>
      </c>
      <c r="K265" s="21"/>
      <c r="L265" s="65" t="s">
        <v>3378</v>
      </c>
    </row>
    <row r="266" ht="18.0" customHeight="1">
      <c r="A266" s="16" t="s">
        <v>3379</v>
      </c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5"/>
    </row>
    <row r="267" ht="37.5" customHeight="1">
      <c r="A267" s="27" t="s">
        <v>3380</v>
      </c>
      <c r="B267" s="19" t="s">
        <v>2574</v>
      </c>
      <c r="C267" s="28" t="s">
        <v>3381</v>
      </c>
      <c r="D267" s="28" t="s">
        <v>2576</v>
      </c>
      <c r="E267" s="30" t="s">
        <v>25</v>
      </c>
      <c r="F267" s="62" t="s">
        <v>2578</v>
      </c>
      <c r="G267" s="28" t="s">
        <v>3382</v>
      </c>
      <c r="H267" s="62" t="s">
        <v>2583</v>
      </c>
      <c r="I267" s="28" t="s">
        <v>55</v>
      </c>
      <c r="J267" s="63" t="s">
        <v>41</v>
      </c>
      <c r="K267" s="28"/>
      <c r="L267" s="62" t="s">
        <v>3383</v>
      </c>
    </row>
    <row r="268" ht="61.5" customHeight="1">
      <c r="A268" s="18" t="s">
        <v>3384</v>
      </c>
      <c r="B268" s="19" t="s">
        <v>2574</v>
      </c>
      <c r="C268" s="21" t="s">
        <v>3385</v>
      </c>
      <c r="D268" s="21" t="s">
        <v>2576</v>
      </c>
      <c r="E268" s="32" t="s">
        <v>25</v>
      </c>
      <c r="F268" s="64" t="s">
        <v>2578</v>
      </c>
      <c r="G268" s="21" t="s">
        <v>3386</v>
      </c>
      <c r="H268" s="64" t="s">
        <v>2583</v>
      </c>
      <c r="I268" s="25" t="s">
        <v>2584</v>
      </c>
      <c r="J268" s="63" t="s">
        <v>41</v>
      </c>
      <c r="K268" s="21"/>
      <c r="L268" s="64" t="s">
        <v>3383</v>
      </c>
    </row>
    <row r="269" ht="73.5" customHeight="1">
      <c r="A269" s="27" t="s">
        <v>3387</v>
      </c>
      <c r="B269" s="19" t="s">
        <v>2574</v>
      </c>
      <c r="C269" s="28" t="s">
        <v>3388</v>
      </c>
      <c r="D269" s="28" t="s">
        <v>2576</v>
      </c>
      <c r="E269" s="23" t="s">
        <v>15</v>
      </c>
      <c r="F269" s="62" t="s">
        <v>2578</v>
      </c>
      <c r="G269" s="28" t="s">
        <v>3389</v>
      </c>
      <c r="H269" s="62" t="s">
        <v>2583</v>
      </c>
      <c r="I269" s="41" t="s">
        <v>2584</v>
      </c>
      <c r="J269" s="63" t="s">
        <v>41</v>
      </c>
      <c r="K269" s="28"/>
      <c r="L269" s="62" t="s">
        <v>3383</v>
      </c>
    </row>
    <row r="270" ht="18.0" customHeight="1">
      <c r="A270" s="16" t="s">
        <v>3390</v>
      </c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5"/>
    </row>
    <row r="271" ht="37.5" customHeight="1">
      <c r="A271" s="18" t="s">
        <v>3391</v>
      </c>
      <c r="B271" s="19" t="s">
        <v>2574</v>
      </c>
      <c r="C271" s="21" t="s">
        <v>3392</v>
      </c>
      <c r="D271" s="21" t="s">
        <v>2576</v>
      </c>
      <c r="E271" s="32" t="s">
        <v>25</v>
      </c>
      <c r="F271" s="64" t="s">
        <v>2578</v>
      </c>
      <c r="G271" s="21" t="s">
        <v>3393</v>
      </c>
      <c r="H271" s="64" t="s">
        <v>2583</v>
      </c>
      <c r="I271" s="21" t="s">
        <v>55</v>
      </c>
      <c r="J271" s="63" t="s">
        <v>41</v>
      </c>
      <c r="K271" s="21"/>
      <c r="L271" s="64" t="s">
        <v>3383</v>
      </c>
    </row>
    <row r="272" ht="37.5" customHeight="1">
      <c r="A272" s="27" t="s">
        <v>3394</v>
      </c>
      <c r="B272" s="19" t="s">
        <v>2574</v>
      </c>
      <c r="C272" s="28" t="s">
        <v>3395</v>
      </c>
      <c r="D272" s="28" t="s">
        <v>2576</v>
      </c>
      <c r="E272" s="30" t="s">
        <v>25</v>
      </c>
      <c r="F272" s="62" t="s">
        <v>2578</v>
      </c>
      <c r="G272" s="28" t="s">
        <v>3396</v>
      </c>
      <c r="H272" s="62" t="s">
        <v>2583</v>
      </c>
      <c r="I272" s="28" t="s">
        <v>55</v>
      </c>
      <c r="J272" s="63" t="s">
        <v>41</v>
      </c>
      <c r="K272" s="28"/>
      <c r="L272" s="62" t="s">
        <v>3383</v>
      </c>
    </row>
    <row r="273" ht="18.0" customHeight="1">
      <c r="A273" s="16" t="s">
        <v>3397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5"/>
    </row>
    <row r="274" ht="61.5" customHeight="1">
      <c r="A274" s="18" t="s">
        <v>3398</v>
      </c>
      <c r="B274" s="19" t="s">
        <v>2574</v>
      </c>
      <c r="C274" s="21" t="s">
        <v>3399</v>
      </c>
      <c r="D274" s="21" t="s">
        <v>2576</v>
      </c>
      <c r="E274" s="23" t="s">
        <v>15</v>
      </c>
      <c r="F274" s="64" t="s">
        <v>2578</v>
      </c>
      <c r="G274" s="21" t="s">
        <v>3400</v>
      </c>
      <c r="H274" s="64" t="s">
        <v>2583</v>
      </c>
      <c r="I274" s="25" t="s">
        <v>2584</v>
      </c>
      <c r="J274" s="63" t="s">
        <v>41</v>
      </c>
      <c r="K274" s="21"/>
      <c r="L274" s="64" t="s">
        <v>3401</v>
      </c>
    </row>
    <row r="275" ht="49.5" customHeight="1">
      <c r="A275" s="27" t="s">
        <v>3402</v>
      </c>
      <c r="B275" s="19" t="s">
        <v>2574</v>
      </c>
      <c r="C275" s="28" t="s">
        <v>3403</v>
      </c>
      <c r="D275" s="28" t="s">
        <v>2576</v>
      </c>
      <c r="E275" s="30" t="s">
        <v>25</v>
      </c>
      <c r="F275" s="62" t="s">
        <v>2578</v>
      </c>
      <c r="G275" s="28" t="s">
        <v>3404</v>
      </c>
      <c r="H275" s="62" t="s">
        <v>2583</v>
      </c>
      <c r="I275" s="41" t="s">
        <v>2584</v>
      </c>
      <c r="J275" s="63" t="s">
        <v>41</v>
      </c>
      <c r="K275" s="28"/>
      <c r="L275" s="62" t="s">
        <v>3401</v>
      </c>
    </row>
    <row r="276" ht="49.5" customHeight="1">
      <c r="A276" s="18" t="s">
        <v>3405</v>
      </c>
      <c r="B276" s="19" t="s">
        <v>2574</v>
      </c>
      <c r="C276" s="21" t="s">
        <v>3406</v>
      </c>
      <c r="D276" s="21" t="s">
        <v>2576</v>
      </c>
      <c r="E276" s="32" t="s">
        <v>25</v>
      </c>
      <c r="F276" s="64" t="s">
        <v>2578</v>
      </c>
      <c r="G276" s="21" t="s">
        <v>3407</v>
      </c>
      <c r="H276" s="64" t="s">
        <v>2583</v>
      </c>
      <c r="I276" s="25" t="s">
        <v>2584</v>
      </c>
      <c r="J276" s="63" t="s">
        <v>41</v>
      </c>
      <c r="K276" s="21"/>
      <c r="L276" s="64" t="s">
        <v>3401</v>
      </c>
    </row>
    <row r="277" ht="18.0" customHeight="1">
      <c r="A277" s="16" t="s">
        <v>2702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5"/>
    </row>
    <row r="278" ht="97.5" customHeight="1">
      <c r="A278" s="27" t="s">
        <v>3408</v>
      </c>
      <c r="B278" s="19" t="s">
        <v>2574</v>
      </c>
      <c r="C278" s="28" t="s">
        <v>3409</v>
      </c>
      <c r="D278" s="28" t="s">
        <v>2576</v>
      </c>
      <c r="E278" s="23" t="s">
        <v>15</v>
      </c>
      <c r="F278" s="62" t="s">
        <v>2578</v>
      </c>
      <c r="G278" s="28" t="s">
        <v>3410</v>
      </c>
      <c r="H278" s="62" t="s">
        <v>2583</v>
      </c>
      <c r="I278" s="41" t="s">
        <v>2584</v>
      </c>
      <c r="J278" s="63" t="s">
        <v>41</v>
      </c>
      <c r="K278" s="28"/>
      <c r="L278" s="66" t="s">
        <v>2716</v>
      </c>
    </row>
    <row r="279" ht="37.5" customHeight="1">
      <c r="A279" s="18" t="s">
        <v>3411</v>
      </c>
      <c r="B279" s="19" t="s">
        <v>2574</v>
      </c>
      <c r="C279" s="21" t="s">
        <v>3412</v>
      </c>
      <c r="D279" s="21" t="s">
        <v>2576</v>
      </c>
      <c r="E279" s="23" t="s">
        <v>15</v>
      </c>
      <c r="F279" s="64" t="s">
        <v>2578</v>
      </c>
      <c r="G279" s="21" t="s">
        <v>3413</v>
      </c>
      <c r="H279" s="64" t="s">
        <v>2583</v>
      </c>
      <c r="I279" s="25" t="s">
        <v>56</v>
      </c>
      <c r="J279" s="63" t="s">
        <v>41</v>
      </c>
      <c r="K279" s="21"/>
      <c r="L279" s="65" t="s">
        <v>2716</v>
      </c>
    </row>
    <row r="280" ht="37.5" customHeight="1">
      <c r="A280" s="27" t="s">
        <v>3414</v>
      </c>
      <c r="B280" s="19" t="s">
        <v>2574</v>
      </c>
      <c r="C280" s="28" t="s">
        <v>3415</v>
      </c>
      <c r="D280" s="28" t="s">
        <v>2576</v>
      </c>
      <c r="E280" s="23" t="s">
        <v>15</v>
      </c>
      <c r="F280" s="62" t="s">
        <v>2578</v>
      </c>
      <c r="G280" s="28" t="s">
        <v>3416</v>
      </c>
      <c r="H280" s="62" t="s">
        <v>2583</v>
      </c>
      <c r="I280" s="41" t="s">
        <v>56</v>
      </c>
      <c r="J280" s="63" t="s">
        <v>41</v>
      </c>
      <c r="K280" s="28"/>
      <c r="L280" s="66" t="s">
        <v>2716</v>
      </c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A1:L1"/>
    <mergeCell ref="A2:L2"/>
    <mergeCell ref="A5:L5"/>
    <mergeCell ref="A9:L9"/>
    <mergeCell ref="A14:L14"/>
    <mergeCell ref="A19:L19"/>
    <mergeCell ref="A24:L24"/>
    <mergeCell ref="A30:L30"/>
    <mergeCell ref="A38:L38"/>
    <mergeCell ref="A40:L40"/>
    <mergeCell ref="A46:L46"/>
    <mergeCell ref="A51:L51"/>
    <mergeCell ref="A58:L58"/>
    <mergeCell ref="A63:L63"/>
    <mergeCell ref="A69:L69"/>
    <mergeCell ref="A71:L71"/>
    <mergeCell ref="A77:L77"/>
    <mergeCell ref="A83:L83"/>
    <mergeCell ref="A87:L87"/>
    <mergeCell ref="A94:L94"/>
    <mergeCell ref="A110:L110"/>
    <mergeCell ref="A123:L123"/>
    <mergeCell ref="A131:L131"/>
    <mergeCell ref="A141:L141"/>
    <mergeCell ref="A151:L151"/>
    <mergeCell ref="A158:L158"/>
    <mergeCell ref="A164:L164"/>
    <mergeCell ref="A174:L174"/>
    <mergeCell ref="A266:L266"/>
    <mergeCell ref="A270:L270"/>
    <mergeCell ref="A273:L273"/>
    <mergeCell ref="A277:L277"/>
    <mergeCell ref="A187:L187"/>
    <mergeCell ref="A199:L199"/>
    <mergeCell ref="A222:L222"/>
    <mergeCell ref="A235:L235"/>
    <mergeCell ref="A241:L241"/>
    <mergeCell ref="A254:L254"/>
    <mergeCell ref="A261:L261"/>
  </mergeCells>
  <dataValidations>
    <dataValidation type="list" allowBlank="1" sqref="E6:E8 E10:E13 E15:E18 E20:E23 E25:E29 E31:E37 E39 E41:E45 E47:E50 E52:E57 E59:E62 E64:E68 E70 E72:E76 E78:E82 E84:E86 E88:E93 E95:E109 E111:E122 E124:E130 E132:E140 E142:E150 E152:E157 E159:E163 E165:E173 E175:E186 E188:E198 E200:E221 E223:E234 E236:E240 E242:E253 E255:E260 E262:E265 E267:E269 E271:E272 E274:E276 E278:E280">
      <formula1>"P1,P2,P3"</formula1>
    </dataValidation>
    <dataValidation type="list" allowBlank="1" sqref="J6:J8 J10:J13 J15:J18 J20:J23 J25:J29 J31:J37 J39 J41:J45 J47:J50 J52:J57 J59:J62 J64:J68 J70 J72:J76 J78:J82 J84:J86 J88:J93 J95:J109 J111:J122 J124:J130 J132:J140 J142:J150 J152:J157 J159:J163 J165:J173 J175:J186 J188:J198 J200:J221 J223:J234 J236:J240 J242:J253 J255:J260 J262:J265 J267:J269 J271:J272 J274:J276 J278:J280">
      <formula1>"Not Run,Pass,Fail,Blocked,Skip,N/A"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2026-05-24T04:21:42Z</dcterms:created>
  <dc:creator>openpyxl</dc:creator>
</cp:coreProperties>
</file>