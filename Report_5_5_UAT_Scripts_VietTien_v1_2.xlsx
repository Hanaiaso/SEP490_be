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LENOVO\Downloads\files2\"/>
    </mc:Choice>
  </mc:AlternateContent>
  <xr:revisionPtr revIDLastSave="0" documentId="13_ncr:1_{78405165-785D-4191-BD12-12189B3CEC9A}" xr6:coauthVersionLast="47" xr6:coauthVersionMax="47" xr10:uidLastSave="{00000000-0000-0000-0000-000000000000}"/>
  <bookViews>
    <workbookView xWindow="7890" yWindow="0" windowWidth="20970" windowHeight="15585" tabRatio="500" activeTab="1" xr2:uid="{00000000-000D-0000-FFFF-FFFF00000000}"/>
  </bookViews>
  <sheets>
    <sheet name="Introduction" sheetId="1" r:id="rId1"/>
    <sheet name="Overview" sheetId="2" r:id="rId2"/>
    <sheet name="SC-01" sheetId="3" r:id="rId3"/>
    <sheet name="SC-02" sheetId="4" r:id="rId4"/>
    <sheet name="SC-03" sheetId="5" r:id="rId5"/>
    <sheet name="SC-04" sheetId="6" r:id="rId6"/>
    <sheet name="SC-05" sheetId="7" r:id="rId7"/>
    <sheet name="SC-06"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2" i="2" l="1"/>
</calcChain>
</file>

<file path=xl/sharedStrings.xml><?xml version="1.0" encoding="utf-8"?>
<sst xmlns="http://schemas.openxmlformats.org/spreadsheetml/2006/main" count="724" uniqueCount="450">
  <si>
    <t>UAT / Acceptance Test Scripts — Template</t>
  </si>
  <si>
    <t>User Acceptance Testing  ·  Business-language scripts  ·  Signed off by Product Owner / Stakeholder</t>
  </si>
  <si>
    <t>1 ·  What is Acceptance Testing (UAT)?</t>
  </si>
  <si>
    <t>Acceptance Testing (AT) — còn gọi là User Acceptance Testing (UAT) — là mức test cuối cùng trước khi phần mềm được chấp nhận và đưa vào sử dụng thực tế.
Mục tiêu: Xác nhận rằng hệ thống đáp ứng đúng nhu cầu nghiệp vụ của người dùng cuối — không phải chỉ đúng về mặt kỹ thuật.
Ai thực hiện: Product Owner, business representative, end user — KHÔNG phải developer hay QA.
Khác biệt với L4 E2E Test:
  · L4 E2E: Developer/QA tự động hóa bằng Playwright — verify kỹ thuật (AC-xx đúng không?)
  · UAT: Stakeholder chạy tay — confirm nghiệp vụ (quy trình có phù hợp với thực tế không?)
Kết quả: Product Owner ký sign-off → phần mềm được chấp nhận → go-live.</t>
  </si>
  <si>
    <t>2 ·  When to Run UAT?</t>
  </si>
  <si>
    <t>UAT được thực hiện SAU khi các test levels kỹ thuật đã hoàn thành:
  ✓  L1 Unit Test — PASSED
  ✓  L2 Integration Test — PASSED
  ✓  L3 System/API Test — PASSED (bao gồm performance và security)
  ✓  L4 E2E Test — PASSED
Thời điểm thường gặp:
  · Cuối mỗi sprint — trước khi demo cho stakeholder
  · Trước khi go-live chính thức (final UAT)
Điều kiện KHÔNG nên chạy UAT:
  · Còn open P1/P2 defects từ L1-L4
  · Test environment chưa ổn định
  · Dữ liệu test chưa được chuẩn bị</t>
  </si>
  <si>
    <t>3 ·  UAT Techniques</t>
  </si>
  <si>
    <t>3.1  Script-based UAT (Scripted)
     Mô tả: Tester theo các bước đã soạn sẵn trong template này.
     Khi dùng: Cho các business flow quan trọng (SC-01..SC-06) — cần verify đầy đủ.
     Ưu điểm: Kết quả nhất quán, dễ so sánh giữa các lần chạy.
3.2  Exploratory UAT (Unscripted)
     Mô tả: Tester tự do khám phá hệ thống theo nghiệp vụ thực tế — không theo script cố định.
     Khi dùng: Sau khi scripted UAT pass — để phát hiện các edge cases không có trong script.
     Ưu điểm: Phát hiện lỗi mà developer/QA không nghĩ tới.
3.3  Business Scenario Walkthrough
     Mô tả: Chạy toàn bộ một business scenario end-to-end (ví dụ: từ lúc đặt hàng đến lúc giao hàng thành công).
     Khi dùng: Final UAT trước go-live.
     Ưu điểm: Xác nhận toàn bộ value stream từ góc nhìn người dùng cuối.</t>
  </si>
  <si>
    <t>4 ·  Column Definitions — How to Fill Each Column</t>
  </si>
  <si>
    <t>Script ID</t>
  </si>
  <si>
    <t>Format: [ProjectCode]-[ScenarioCode]-[NN]
Ví dụ: SE-SC01-01, SE-SC02-03
Đánh số lại từ 01 cho mỗi scenario sheet.</t>
  </si>
  <si>
    <t>Priority</t>
  </si>
  <si>
    <t>P1 — Critical: Nếu script này fail → không thể go-live.
P2 — High: Nên pass, ảnh hưởng nghiệp vụ quan trọng.
P3 — Medium: Tính năng phụ, không blocking.
Quy tắc: Mọi happy path của business flow chính = P1.</t>
  </si>
  <si>
    <t>Scenario Step</t>
  </si>
  <si>
    <t>Tên ngắn gọn mô tả bước/giai đoạn trong scenario.
Ví dụ: 'Browse &amp; Add to Cart', 'Complete Payment', 'Exception — Payment Fails'
Format: [Happy/Exception] — [Tên bước]</t>
  </si>
  <si>
    <t>Precondition / Setup</t>
  </si>
  <si>
    <t>Những gì phải đúng TRƯỚC KHI chạy script:
  · Tài khoản test (email / password / role)
  · Trạng thái dữ liệu (đơn hàng, tồn kho, v.v.)
  · Cấu hình môi trường (sandbox payment: SUCCEED/FAIL)
Lưu ý: Người chạy UAT phải setup đúng precondition trước khi bắt đầu.</t>
  </si>
  <si>
    <t>Test Steps (Business Language)</t>
  </si>
  <si>
    <t>Các bước hành động của người dùng thực tế — KHÔNG phải technical steps.
✓ ĐÚNG: '1. Đăng nhập → vào trang sản phẩm → thêm vào giỏ hàng'
✗ SAI:  '1. POST /api/v1/cart {skuId: SKU-001, qty: 1}'
Quy tắc viết:
  · Dùng ngôn ngữ tự nhiên (tiếng Việt hoặc tiếng Anh tùy dự án)
  · Đánh số từng bước
  · Mỗi bước = 1 hành động rõ ràng
  · Tránh dùng thuật ngữ kỹ thuật</t>
  </si>
  <si>
    <t>Expected Business Outcome</t>
  </si>
  <si>
    <t>Kết quả nghiệp vụ mà NGƯỜI DÙNG mong đợi thấy — KHÔNG phải technical assertion.
✓ ĐÚNG: 'Đơn hàng được tạo thành công, trạng thái hiển thị Đã xác nhận, khách nhận thông báo'
✗ SAI:  'HTTP 200, orders.status = Confirmed, notification.status = SENT'
Bao gồm:
  · Điều gì HIỂN THỊ trên màn hình
  · Thông báo / email / SMS nào được gửi
  · Trạng thái nào thay đổi
  · Thời gian xử lý (nếu có NFR liên quan)</t>
  </si>
  <si>
    <t>Actual Result</t>
  </si>
  <si>
    <t>Tester điền vào SAU KHI chạy script:
  · Nếu Pass: ghi ngắn 'Kết quả đúng như mong đợi'
  · Nếu Fail: mô tả chi tiết sai ở đâu, khác gì so với expected
  · Nếu Blocked: ghi lý do tại sao không thể chạy được
ĐỂ TRỐNG trong template — tester điền khi chạy.</t>
  </si>
  <si>
    <t>Result</t>
  </si>
  <si>
    <t>Dropdown — tester chọn sau khi chạy:
  Not Run   — chưa chạy (mặc định)
  Pass      — kết quả đúng như Expected
  Fail      — kết quả SAI, có defect
  Blocked   — không thể chạy (lý do môi trường/data/prerequisite)
  Skip      — bỏ qua có chủ đích (ghi rõ lý do trong Notes)</t>
  </si>
  <si>
    <t>Defect ID</t>
  </si>
  <si>
    <t>Điền khi Result = Fail.
Format: [Mã issue tracker]
Ví dụ: JIRA-142, GITHUB-87
ĐỂ TRỐNG trong template.</t>
  </si>
  <si>
    <t>Notes</t>
  </si>
  <si>
    <t>Thông tin bổ sung tùy chọn:
  · Giới hạn môi trường test (sandbox khác production)
  · Tham chiếu SRS: AC-xx, NAC-xx, BR-xx
  · Rủi ro đã biết
  · Lý do skip (nếu Result = Skip)</t>
  </si>
  <si>
    <t>5 ·  How to Use This Template — Step by Step</t>
  </si>
  <si>
    <t>Chuẩn bị (trước khi UAT session):
  1.  Copy file template này → đổi tên thành [ProjectName]_UAT_Scripts.xlsx
  2.  Cập nhật tên project, version, ngày trong sheet Overview
  3.  Copy sheet 'SC-XX Template' cho mỗi business scenario
  4.  Đổi tên sheet: SC-01, SC-02, ... theo từng scenario
  5.  Điền đầy đủ các cột: Script ID, Priority, Scenario Step, Precondition, Test Steps, Expected Outcome
  6.  Chuẩn bị test data và test accounts theo Precondition của từng script
Trong UAT session:
  7.  Người chạy UAT (PO / business rep) thực hiện từng bước trong cột Test Steps
  8.  Điền kết quả thực tế vào cột Actual Result
  9.  Chọn Result: Pass / Fail / Blocked / Skip
  10. Nếu Fail: log defect trong issue tracker → điền Defect ID
Sau UAT session:
  11. Cập nhật bảng tóm tắt trong sheet Overview
  12. Nếu tất cả P1 scripts Pass: PO ký sign-off trong ô Sign-off của từng sheet
  13. File hoàn chỉnh = tài liệu nghiệm thu chính thức</t>
  </si>
  <si>
    <t>6 ·  UAT Acceptance Criteria — When to Sign Off?</t>
  </si>
  <si>
    <t>PO / Stakeholder có thể ký sign-off khi:
  ✓  Tất cả script P1 → Result = Pass
  ✓  Script P2 pass hoặc có kế hoạch fix trước go-live
  ✓  Không còn open defect nào ở mức Critical hoặc High
  ✓  Các defect Medium/Low có kế hoạch fix trong sprint tiếp theo
  ✓  Exploratory testing không phát hiện thêm blocking issue
Kết quả sign-off có 3 mức:
  ☐ Pass          — Chấp nhận toàn bộ, sẵn sàng go-live
  ☐ Conditional  — Chấp nhận có điều kiện (phải fix X trước khi go-live)
  ☐ Fail         — Chưa chấp nhận, cần re-test sau khi fix</t>
  </si>
  <si>
    <t>7 ·  Priority Legend</t>
  </si>
  <si>
    <t>P1 — Critical</t>
  </si>
  <si>
    <t>Blocking — must pass before go-live</t>
  </si>
  <si>
    <t>P2 — High</t>
  </si>
  <si>
    <t>Should pass — important business feature</t>
  </si>
  <si>
    <t>P3 — Medium</t>
  </si>
  <si>
    <t>Nice to have — non-blocking</t>
  </si>
  <si>
    <t>8 ·  Result Status Legend</t>
  </si>
  <si>
    <t>Not Run</t>
  </si>
  <si>
    <t>Default — script has not been executed yet</t>
  </si>
  <si>
    <t>Pass</t>
  </si>
  <si>
    <t>Actual result matches Expected outcome</t>
  </si>
  <si>
    <t>Fail</t>
  </si>
  <si>
    <t>Actual result does NOT match — defect logged</t>
  </si>
  <si>
    <t>Blocked</t>
  </si>
  <si>
    <t>Cannot execute — environment/data issue</t>
  </si>
  <si>
    <t>Skip</t>
  </si>
  <si>
    <t>Intentionally skipped — reason in Notes</t>
  </si>
  <si>
    <t>Design and Development of a Warehouse and Sales Management System for Viet Tien Company (DDWSMSVTC) — UAT / Acceptance Test Scripts</t>
  </si>
  <si>
    <t>Business-language UAT scripts  ·  Signed off by Product Owner / Stakeholder</t>
  </si>
  <si>
    <t>Project Name</t>
  </si>
  <si>
    <t>Design and Development of a Warehouse and Sales Management System for Viet Tien Company (DDWSMSVTC)</t>
  </si>
  <si>
    <t>Document Version</t>
  </si>
  <si>
    <t>v1.2</t>
  </si>
  <si>
    <t>Date</t>
  </si>
  <si>
    <t>11/08/2026</t>
  </si>
  <si>
    <t>Prepared by</t>
  </si>
  <si>
    <t>Reviewed by</t>
  </si>
  <si>
    <t>Final Sign-off</t>
  </si>
  <si>
    <t>☐ Pending  —  Signed by: ______________________  Date: __________</t>
  </si>
  <si>
    <t>Đăng ký, mua hàng, định giá và yêu cầu báo giá</t>
  </si>
  <si>
    <t>P1</t>
  </si>
  <si>
    <t>Thanh toán, phân công Sales và thực hiện đơn tại kho</t>
  </si>
  <si>
    <t>Khách hàng, Sales, Trưởng phòng KD, Nhân viên Kho</t>
  </si>
  <si>
    <t>Giao hàng nội bộ, thu tiền COD và xử lý sau bán</t>
  </si>
  <si>
    <t>Sales, Trưởng phòng KD, Nhân viên Kho, Khách hàng</t>
  </si>
  <si>
    <t>Quản trị, bảng điều khiển, cảnh báo và nhật ký kiểm toán</t>
  </si>
  <si>
    <t>Admin, Giám đốc, Trưởng phòng KD, Nhân viên Kho</t>
  </si>
  <si>
    <t>Marketing hỗ trợ AI và đăng bài Facebook</t>
  </si>
  <si>
    <t>Sales, Trưởng phòng KD</t>
  </si>
  <si>
    <t>Mua hàng, chuyển kho và kiểm soát tồn kho</t>
  </si>
  <si>
    <t>Giám đốc, Nhân viên Kho</t>
  </si>
  <si>
    <t>Overall Metrics (fill after UAT session)</t>
  </si>
  <si>
    <t>Total Scripts</t>
  </si>
  <si>
    <t>Open Defects P1/P2</t>
  </si>
  <si>
    <t>UAT Decision</t>
  </si>
  <si>
    <t>☐ Pass   ☐ Conditional   ☐ Fail</t>
  </si>
  <si>
    <t>SC-01 — Đăng ký, mua hàng, định giá và yêu cầu báo giá</t>
  </si>
  <si>
    <t>Vai trò: Khách hàng (B2C/B2B), Nhân viên Sales, Trưởng phòng Kinh doanh, Giám đốc   |   SRS Reference: SC-01; FT-01 AC-01..AC-05, NAC-03..NAC-05, BV-01..BV-03; FT-02 AC-01..AC-05, NAC-02; BR-023, BR-025, BR-026, BR-027, BR-028, BR-047; NFR-U02, NFR-U03   |   9 scripts</t>
  </si>
  <si>
    <t>Mục tiêu: Xác nhận khách hàng tự đăng ký, mua hàng và nhận đúng chính sách giá theo giá trị đơn; đơn từ 100 triệu phải qua quy trình báo giá có phê duyệt.</t>
  </si>
  <si>
    <t>Sign-off:  ☐ Chờ ký   —   Product Owner: ____________________________   Ngày: ______________   Kết quả: ☐ Đạt   ☐ Đạt có điều kiện   ☐ Không đạt</t>
  </si>
  <si>
    <t xml:space="preserve">  ▶  Luồng chính — Khách mua hàng thông thường</t>
  </si>
  <si>
    <t>DDWSMSVTC-SC-01-01</t>
  </si>
  <si>
    <t>Đăng ký và kích hoạt tài khoản</t>
  </si>
  <si>
    <t>· Tài khoản test: khách mới, email chưa từng dùng
· Hộp thư điện tử test truy cập được
· Môi trường: staging, ngôn ngữ tiếng Việt</t>
  </si>
  <si>
    <t>1. Vào trang chủ, bấm Đăng ký
2. Nhập họ tên, email, số điện thoại, mật khẩu
3. Mở email, bấm liên kết xác thực
4. Đăng nhập bằng tài khoản vừa tạo</t>
  </si>
  <si>
    <t>· Nhận được email xác thực trong vòng 1 phút
· Trước khi xác thực: KHÔNG đặt hàng được
· Sau khi xác thực: đăng nhập thành công, hiển thị tên khách
· Mọi thông báo đều bằng tiếng Việt</t>
  </si>
  <si>
    <t>DDWSMSVTC-SC-01-02</t>
  </si>
  <si>
    <t>Tìm và chọn sản phẩm</t>
  </si>
  <si>
    <t>· Tiếp theo từ script trước
· Danh mục có ít nhất 10 sản phẩm đang kinh doanh</t>
  </si>
  <si>
    <t>1. Tìm sản phẩm theo tên
2. Lọc theo danh mục, chuyển sang trang 2
3. Mở chi tiết một sản phẩm
4. Thêm 1 sản phẩm vào giỏ</t>
  </si>
  <si>
    <t>· Kết quả tìm kiếm đúng từ khoá
· Sản phẩm đã ngừng kinh doanh KHÔNG hiển thị
· Giỏ hàng hiện đúng số lượng và đơn giá</t>
  </si>
  <si>
    <t>BR-047</t>
  </si>
  <si>
    <t>DDWSMSVTC-SC-01-03</t>
  </si>
  <si>
    <t>Giá tự động theo giá trị đơn</t>
  </si>
  <si>
    <t>· Giỏ hàng đang có hàng
· Bảng chiết khấu theo bậc đã cấu hình</t>
  </si>
  <si>
    <t>1. Tăng số lượng để tổng tiền dưới 10 triệu, ghi lại đơn giá
2. Tăng tiếp để tổng đạt 10 triệu
3. So sánh đơn giá trước và sau</t>
  </si>
  <si>
    <t>· Dưới 10 triệu: áp giá niêm yết
· Từ 10 triệu: tự động áp chiết khấu theo bậc, hiển thị rõ mức giảm
· Tổng tiền tính lại trong vòng 1 giây</t>
  </si>
  <si>
    <t>FT-02 AC-01; BV-01</t>
  </si>
  <si>
    <t>DDWSMSVTC-SC-01-04</t>
  </si>
  <si>
    <t>Giữ giá 24 giờ</t>
  </si>
  <si>
    <t>· Giỏ hàng đã có hàng, vừa được tính giá</t>
  </si>
  <si>
    <t>1. Đóng trình duyệt, đăng nhập lại sau ít phút
2. Mở lại giỏ hàng, đối chiếu đơn giá</t>
  </si>
  <si>
    <t>· Giỏ hàng và số lượng được giữ nguyên
· Đơn giá không đổi trong vòng 24 giờ kể cả khi bảng giá được cập nhật</t>
  </si>
  <si>
    <t>BR-025</t>
  </si>
  <si>
    <t>DDWSMSVTC-SC-01-05</t>
  </si>
  <si>
    <t>Yêu cầu báo giá cho đơn từ 100 triệu</t>
  </si>
  <si>
    <t>· Giỏ hàng đạt 120.000.000đ
· Có sẵn tài khoản Sales, Trưởng phòng, Giám đốc</t>
  </si>
  <si>
    <t>1. Khách xem giỏ hàng 120 triệu
2. Khách gửi yêu cầu báo giá kèm ghi chú
3. Sales tiếp nhận, trao đổi và gửi giá đề xuất
4. Trưởng phòng duyệt
5. Giám đốc duyệt lần cuối
6. Khách xem và chấp nhận giá
7. Khách đặt hàng</t>
  </si>
  <si>
    <t>· Ở bước 1 KHÔNG có nút thanh toán, chỉ có 'Yêu cầu báo giá'
· Khách theo dõi được tiến độ duyệt
· Khách chỉ chấp nhận được sau khi đủ 2 cấp duyệt
· Đơn hàng dùng đúng mức giá đã chốt</t>
  </si>
  <si>
    <t>FT-02 AC-03..AC-05; BR-026, BR-027</t>
  </si>
  <si>
    <t xml:space="preserve">  ▶  Luồng ngoại lệ</t>
  </si>
  <si>
    <t>DDWSMSVTC-SC-01-06</t>
  </si>
  <si>
    <t>Ngoại lệ — Giá trong giỏ đã hết hạn</t>
  </si>
  <si>
    <t>· Giỏ hàng có snapshot giá quá 24 giờ</t>
  </si>
  <si>
    <t>1. Mở lại giỏ hàng cũ
2. Bấm Thanh toán
3. Quan sát thông báo và làm theo hướng dẫn</t>
  </si>
  <si>
    <t>· Hiện cảnh báo tiếng Việt rõ ràng rằng giá cần được cập nhật
· Bị chặn thanh toán cho tới khi khách xem lại và xác nhận giá mới
· Không mất hàng trong giỏ</t>
  </si>
  <si>
    <t>FT-01 NAC-03</t>
  </si>
  <si>
    <t>DDWSMSVTC-SC-01-07</t>
  </si>
  <si>
    <t>P2</t>
  </si>
  <si>
    <t>Ngoại lệ — Đặt sản phẩm đã ngừng kinh doanh</t>
  </si>
  <si>
    <t>· Sản phẩm P-OLD đã được đánh dấu ngừng kinh doanh nhưng còn trong giỏ cũ</t>
  </si>
  <si>
    <t>1. Mở giỏ hàng chứa P-OLD
2. Bấm đặt hàng</t>
  </si>
  <si>
    <t>· Hệ thống báo sản phẩm không còn kinh doanh, chỉ rõ sản phẩm nào
· Đơn hàng không được tạo
· Đơn hàng cũ đã mua P-OLD vẫn tra cứu được bình thường</t>
  </si>
  <si>
    <t>FT-01 NAC-04; BR-047</t>
  </si>
  <si>
    <t>DDWSMSVTC-SC-01-08</t>
  </si>
  <si>
    <t>Ngoại lệ — Đơn dưới 100 triệu xin giá thoả thuận</t>
  </si>
  <si>
    <t>· Giỏ hàng 80.000.000đ</t>
  </si>
  <si>
    <t>1. Khách tìm chức năng yêu cầu báo giá</t>
  </si>
  <si>
    <t>· Không có chức năng yêu cầu báo giá cho đơn dưới ngưỡng
· Hệ thống giải thích rõ đơn được áp chiết khấu theo bậc</t>
  </si>
  <si>
    <t>FT-02 NAC-02</t>
  </si>
  <si>
    <t>DDWSMSVTC-SC-01-09</t>
  </si>
  <si>
    <t>Địa chỉ mặc định và thông tin trên đơn đã đặt</t>
  </si>
  <si>
    <t>· Khách đã có 1 địa chỉ mặc định
· Đã có 1 đơn cũ dùng địa chỉ đó</t>
  </si>
  <si>
    <t>1. Thêm địa chỉ mới và đặt làm mặc định
2. Thử xoá địa chỉ đã dùng cho đơn cũ
3. Đặt đơn mới, sau đó sửa lại địa chỉ và thông tin xuất VAT trong hồ sơ
4. Mở lại đơn vừa đặt</t>
  </si>
  <si>
    <t>· Luôn chỉ có đúng một địa chỉ mặc định
· Không xoá hẳn được địa chỉ đã dùng — hệ thống giải thích và chỉ cho ngừng sử dụng
· Địa chỉ giao và thông tin VAT trên đơn đã đặt giữ nguyên dù hồ sơ đã đổi</t>
  </si>
  <si>
    <t xml:space="preserve">  ▶  Template Row — copy khi thêm script mới</t>
  </si>
  <si>
    <t>DDWSMSVTC-SC-01-[NN]</t>
  </si>
  <si>
    <t>[Tên bước nghiệp vụ]</t>
  </si>
  <si>
    <t>· Tài khoản test:
· Trạng thái dữ liệu:
· Môi trường:</t>
  </si>
  <si>
    <t>1. [Hành động bằng ngôn ngữ người dùng]
2. ...
3. ...</t>
  </si>
  <si>
    <t>[Người dùng THẤY và NHẬN được gì — không dùng thuật ngữ kỹ thuật]</t>
  </si>
  <si>
    <t>[AC/NAC/BR tham chiếu]</t>
  </si>
  <si>
    <t>SC-02 — Thanh toán, phân công Sales và thực hiện đơn tại kho</t>
  </si>
  <si>
    <t>Vai trò: Khách hàng, Nhân viên Sales, Trưởng phòng Kinh doanh, Nhân viên Kho   |   SRS Reference: SC-02; FT-03 AC-01..AC-04, NAC-01, NAC-03..NAC-05, BV-01; FT-04 AC-01..AC-03; FT-05 AC-04, AC-05, NAC-04, BV-03; BR-004, BR-010, BR-026, BR-030, BR-034; NFR-P05, NFR-SEC05   |   9 scripts</t>
  </si>
  <si>
    <t>Mục tiêu: Xác nhận tiền vào đúng đơn, mỗi khách có đúng một Sales phụ trách, và hàng chỉ rời kho sau khi có đủ xác nhận hai bên.</t>
  </si>
  <si>
    <t xml:space="preserve">  ▶  Luồng chính — Thanh toán chuyển khoản và soạn hàng</t>
  </si>
  <si>
    <t>DDWSMSVTC-SC-02-01</t>
  </si>
  <si>
    <t>Thanh toán chuyển khoản qua SePay</t>
  </si>
  <si>
    <t>· Đơn hàng vừa tạo, chưa thanh toán
· Tài khoản SePay sandbox hoạt động</t>
  </si>
  <si>
    <t>1. Ở bước thanh toán chọn Chuyển khoản SePay
2. Quan sát mã QR, mã tham chiếu, số tiền và đồng hồ đếm ngược
3. Thực hiện chuyển khoản đúng số tiền
4. Quan sát màn hình</t>
  </si>
  <si>
    <t>· Mã QR và mã tham chiếu hiện trong vài giây
· Đồng hồ đếm ngược 15 phút
· Sau khi ngân hàng báo có: trạng thái tự đổi 'Đã thanh toán' mà không cần tải lại trang
· Sales được thông báo</t>
  </si>
  <si>
    <t>FT-03 AC-01, AC-02</t>
  </si>
  <si>
    <t>DDWSMSVTC-SC-02-02</t>
  </si>
  <si>
    <t>Khách mới được phân công Sales phụ trách</t>
  </si>
  <si>
    <t>· Có ít nhất 2 Sales đang hoạt động
· Đăng ký 3 khách mới liên tiếp</t>
  </si>
  <si>
    <t>1. Đăng ký lần lượt 3 khách mới
2. Trưởng phòng mở màn hình phân công xem kết quả</t>
  </si>
  <si>
    <t>· Mỗi khách có đúng 1 Sales phụ trách
· 3 khách được chia luân phiên, không ai bị bỏ sót hoặc trùng
· Khách quay lại lần sau vẫn thuộc Sales cũ</t>
  </si>
  <si>
    <t>FT-04 AC-01..03; BR-001, BR-002</t>
  </si>
  <si>
    <t>DDWSMSVTC-SC-02-03</t>
  </si>
  <si>
    <t>Xác nhận đơn COD trong thời hạn</t>
  </si>
  <si>
    <t>· Đơn COD vừa tạo
· Tài khoản Sales phụ trách khách đó</t>
  </si>
  <si>
    <t>1. Sales mở đơn COD được giao
2. Xác nhận đơn trước khi hết hạn giữ hàng
3. Kiểm tra đơn đã sang kho</t>
  </si>
  <si>
    <t>· Sales nhận cảnh báo khi gần hết hạn
· Sau khi xác nhận, đơn chuyển sang kho
· Hàng được giữ đúng cho đơn này</t>
  </si>
  <si>
    <t>DDWSMSVTC-SC-02-04</t>
  </si>
  <si>
    <t>Kho soạn hàng và bàn giao hai bên</t>
  </si>
  <si>
    <t>· Đơn đã xác nhận
· Tài khoản Kho và tài khoản Sales</t>
  </si>
  <si>
    <t>1. Kho nhận đơn và soạn hàng
2. Kho nhập số lượng thực soạn và số kiện, đính kèm ảnh
3. Kho xác nhận bàn giao N kiện
4. Sales xác nhận nhận đúng N kiện
5. Kho thực hiện xuất kho</t>
  </si>
  <si>
    <t>· Chỉ khi hai bên khai BẰNG NHAU thì mới cho xuất kho
· Tồn kho giảm đúng một lần
· Biên bản bàn giao lưu đủ hai người ký và thời điểm</t>
  </si>
  <si>
    <t>FT-05 AC-04, AC-05; BR-034</t>
  </si>
  <si>
    <t>DDWSMSVTC-SC-02-05</t>
  </si>
  <si>
    <t>Ngoại lệ — Chuyển khoản sai số tiền</t>
  </si>
  <si>
    <t>· Đơn 5.000.000đ đang chờ thanh toán</t>
  </si>
  <si>
    <t>1. Chuyển khoản 5.000.001đ (thừa 1 đồng)
2. Quan sát trạng thái đơn
3. Trưởng phòng mở danh sách giao dịch cần xử lý</t>
  </si>
  <si>
    <t>· Đơn KHÔNG tự động chuyển sang đã thanh toán
· Giao dịch vào danh sách cần đối soát thủ công
· Có đủ thông tin để Trưởng phòng xử lý</t>
  </si>
  <si>
    <t>FT-03 BV-01; NAC-01</t>
  </si>
  <si>
    <t>DDWSMSVTC-SC-02-06</t>
  </si>
  <si>
    <t>Ngoại lệ — Tiền về sau khi hết hạn giữ hàng</t>
  </si>
  <si>
    <t>· Đơn đã quá 15 phút chờ thanh toán</t>
  </si>
  <si>
    <t>1. Kích hoạt báo có sau khi hết hạn
2. Quan sát đơn và số dư kho
3. Trưởng phòng xử lý trường hợp này</t>
  </si>
  <si>
    <t>· Tiền của khách KHÔNG bị coi là chưa nhận
· Đơn chuyển sang trạng thái cần Trưởng phòng xem xét
· Hệ thống không tự tạo tồn kho ảo hoặc âm kho</t>
  </si>
  <si>
    <t>DDWSMSVTC-SC-02-07</t>
  </si>
  <si>
    <t>Ngoại lệ — Nhân viên không đủ thẩm quyền xác nhận tiền</t>
  </si>
  <si>
    <t>· Có giao dịch cần xác nhận thủ công</t>
  </si>
  <si>
    <t>1. Đăng nhập bằng tài khoản Sales thường
2. Thử xác nhận đã nhận tiền
3. Đăng nhập Trưởng phòng, xác nhận nhưng bỏ trống lý do và bằng chứng</t>
  </si>
  <si>
    <t>· Sales thường không thực hiện được
· Trưởng phòng bị chặn khi chưa có lý do và bằng chứng
· Trạng thái thanh toán giữ nguyên</t>
  </si>
  <si>
    <t>FT-03 NAC-04</t>
  </si>
  <si>
    <t>DDWSMSVTC-SC-02-08</t>
  </si>
  <si>
    <t>Ngoại lệ — Kho khai lệch số kiện với Sales</t>
  </si>
  <si>
    <t>· Đơn đã soạn xong</t>
  </si>
  <si>
    <t>1. Kho khai 5 kiện
2. Sales khai 4 kiện
3. Quan sát</t>
  </si>
  <si>
    <t>· Không cho phép xuất kho
· Hệ thống chỉ rõ số kiện hai bên đang lệch
· Ghi nhận trường hợp cần xử lý</t>
  </si>
  <si>
    <t>FT-05 NAC-04; BV-03</t>
  </si>
  <si>
    <t>DDWSMSVTC-SC-02-09</t>
  </si>
  <si>
    <t>Ngoại lệ — Đơn Sales tạo tay phải theo cùng luật</t>
  </si>
  <si>
    <t>· Tài khoản Sales
· Khách mới chưa xác thực số điện thoại
· Một giỏ hàng 120.000.000đ</t>
  </si>
  <si>
    <t>1. Sales tạo đơn tay cho khách chưa xác thực OTP
2. Sales tạo đơn tay 120 triệu mà không kèm báo giá đã duyệt
3. Sales tự nhập lại đơn giá thấp hơn bảng giá</t>
  </si>
  <si>
    <t>· Cả ba thao tác đều bị chặn kèm thông báo tiếng Việt rõ lý do
· Đơn tạo tay theo ĐÚNG luật như đơn online: vẫn phải OTP lần đầu, vẫn phải qua báo giá từ 100 triệu, giá vẫn do hệ thống tính
· Không đơn nào được tạo</t>
  </si>
  <si>
    <t>DDWSMSVTC-SC-02-[NN]</t>
  </si>
  <si>
    <t>SC-03 — Giao hàng nội bộ, thu tiền COD và xử lý sau bán</t>
  </si>
  <si>
    <t>Vai trò: Nhân viên Sales, Trưởng phòng Kinh doanh, Nhân viên Kho, Khách hàng   |   SRS Reference: SC-03; FT-07 AC-01, AC-03..AC-05, NAC-04, BV-01..BV-03; FT-08 AC-01..AC-05, NAC-04, BV-02, BV-03; BR-017, BR-018, BR-019, BR-037, BR-039..BR-043; NFR-U01, NFR-SEC03   |   11 scripts</t>
  </si>
  <si>
    <t>Mục tiêu: Xác nhận đội xe nội bộ giao được hàng có bằng chứng, thu đúng tiền, và mọi trường hợp huỷ/đổi đều bảo toàn giá trị đã thanh toán mà không hoàn tiền mặt.</t>
  </si>
  <si>
    <t xml:space="preserve">  ▶  Luồng chính — Giao hàng và thu tiền</t>
  </si>
  <si>
    <t>DDWSMSVTC-SC-03-01</t>
  </si>
  <si>
    <t>Sắp xếp chuyến giao bằng xe nội bộ</t>
  </si>
  <si>
    <t>· Đơn đã bàn giao xong
· 5 xe và 3 ca đã cấu hình</t>
  </si>
  <si>
    <t>1. Sales mở màn hình sắp xếp giao hàng
2. Chọn xe, ca và ngày giao
3. Lưu chuyến giao</t>
  </si>
  <si>
    <t>· Chỉ chọn được xe đang hoạt động
· Không xếp được hai chuyến cùng xe, cùng ngày, cùng ca
· Khách nhận thông báo lịch giao</t>
  </si>
  <si>
    <t>DDWSMSVTC-SC-03-02</t>
  </si>
  <si>
    <t>Giao hàng thành công và thu tiền COD</t>
  </si>
  <si>
    <t>· Đơn COD còn nợ 5.000.000đ
· Sales đi cùng xe, dùng điện thoại</t>
  </si>
  <si>
    <t>1. Sales mở đơn trên điện thoại
2. Chụp ảnh giao hàng, lấy chữ ký khách
3. Nhập số tiền thu = 5.000.000đ
4. Lưu kết quả giao</t>
  </si>
  <si>
    <t>· Không lưu được nếu thiếu ảnh hoặc chữ ký
· Sau khi đủ: đơn chuyển 'Đã giao', công nợ về 0
· Màn hình dùng được trên điện thoại, không phải cuộn ngang</t>
  </si>
  <si>
    <t>DDWSMSVTC-SC-03-03</t>
  </si>
  <si>
    <t>Thu thiếu tiền COD</t>
  </si>
  <si>
    <t>· Đơn COD còn nợ 5.000.000đ</t>
  </si>
  <si>
    <t>1. Nhập số tiền thu = 3.000.000đ
2. Lưu và xem lại đơn</t>
  </si>
  <si>
    <t>· Ghi đúng 3.000.000đ đã thu
· Phần 2.000.000đ còn lại được ghi nhận là công nợ để theo dõi
· Không được phép khai khống số tiền thu</t>
  </si>
  <si>
    <t>DDWSMSVTC-SC-03-04</t>
  </si>
  <si>
    <t>Ngoại lệ — Thu tiền trên đơn đã chuyển khoản</t>
  </si>
  <si>
    <t>· Đơn đã thanh toán qua SePay</t>
  </si>
  <si>
    <t>1. Sales mở đơn khi giao hàng
2. Tìm ô nhập tiền thu</t>
  </si>
  <si>
    <t>· Màn hình hiển thị cảnh báo rõ: đơn đã thanh toán, KHÔNG thu tiền
· Không nhập/lưu được khoản thu nào</t>
  </si>
  <si>
    <t>FT-07 NAC-04; BR-039</t>
  </si>
  <si>
    <t>DDWSMSVTC-SC-03-05</t>
  </si>
  <si>
    <t>Ngoại lệ — Giao hỏng 3 lần liên tiếp</t>
  </si>
  <si>
    <t>· Đơn đã giao hỏng 2 lần với lý do hợp lệ</t>
  </si>
  <si>
    <t>1. Ghi nhận lần giao hỏng thứ 3 kèm lý do
2. Thử đặt lịch giao lần 4</t>
  </si>
  <si>
    <t>· Lần 3 tạo cảnh báo chuyển Trưởng phòng xử lý
· Lần 4 bị chặn cho tới khi Trưởng phòng ra quyết định</t>
  </si>
  <si>
    <t>DDWSMSVTC-SC-03-06</t>
  </si>
  <si>
    <t>Ngoại lệ — Huỷ đơn đã thanh toán (không hoàn tiền)</t>
  </si>
  <si>
    <t>· Đơn đã thanh toán 20.000.000đ, chưa giao</t>
  </si>
  <si>
    <t>1. Khách yêu cầu huỷ và nêu lý do
2. Trưởng phòng duyệt
3. Sales tạo đơn thay thế trị giá 18.000.000đ
4. Xem số dư còn lại của khách</t>
  </si>
  <si>
    <t>· KHÔNG có bất kỳ tuỳ chọn hoàn tiền mặt hay chuyển khoản nào
· 18 triệu chuyển sang đơn mới
· 2 triệu còn lại thành số dư của chính khách đó, dùng cho đơn sau
· Tổng giá trị được bảo toàn tuyệt đối</t>
  </si>
  <si>
    <t>DDWSMSVTC-SC-03-07</t>
  </si>
  <si>
    <t>Ngoại lệ — Đổi hàng do lỗi chất lượng</t>
  </si>
  <si>
    <t>· Đơn đã giao, khách báo lỗi 2 sản phẩm</t>
  </si>
  <si>
    <t>1. Khách/Sales tạo yêu cầu đổi kèm ảnh
2. Trưởng phòng duyệt
3. Kho nhận hàng trả về
4. Kho kiểm định và phân loại
5. Kho giao hàng thay thế</t>
  </si>
  <si>
    <t>· Hàng trả về nằm ở khu cách ly, KHÔNG cộng vào hàng bán được
· Chỉ sau khi kiểm định mới quyết định nhập lại hay ghi hỏng
· Đổi cùng mã hàng thì giữ nguyên giá cũ</t>
  </si>
  <si>
    <t>DDWSMSVTC-SC-03-[NN]</t>
  </si>
  <si>
    <t xml:space="preserve">  ▶  Bổ sung v2.1 — Đổi/trả hàng đã có trong hệ thống</t>
  </si>
  <si>
    <t>DDWSMSVTC-SC-03-08</t>
  </si>
  <si>
    <t>Khách yêu cầu đổi hàng lỗi</t>
  </si>
  <si>
    <t>· Đơn đã giao, có 2 sản phẩm lỗi
· Tài khoản khách và Sales Manager</t>
  </si>
  <si>
    <t>1. Khách mở đơn đã giao, chọn sản phẩm lỗi
2. Nhập số lượng, lý do và tải ảnh minh chứng
3. Gửi yêu cầu
4. Theo dõi trạng thái xử lý</t>
  </si>
  <si>
    <t>· Không gửi được nếu thiếu ảnh hoặc lý do
· Không yêu cầu quá số lượng đã nhận
· Khách thấy rõ trạng thái: chờ duyệt / đã duyệt / đã thu hồi</t>
  </si>
  <si>
    <t>DDWSMSVTC-SC-03-09</t>
  </si>
  <si>
    <t>Duyệt và thu hồi hàng đổi/trả</t>
  </si>
  <si>
    <t>· Có yêu cầu đổi/trả đang chờ duyệt</t>
  </si>
  <si>
    <t>1. Sales Manager xem yêu cầu và duyệt
2. Sales lên lịch thu hồi
3. Sales xác nhận đã lấy hàng về
4. Kho kiểm tra tồn kho bán được</t>
  </si>
  <si>
    <t>· Nhân viên Sales thường KHÔNG duyệt được
· Sau khi thu hồi, hàng chưa được cộng vào tồn bán được
· Chỉ sau kiểm định mới quyết định nhập lại hay ghi hỏng</t>
  </si>
  <si>
    <t>DDWSMSVTC-SC-03-10</t>
  </si>
  <si>
    <t>Đổi sang mã hàng khác giá</t>
  </si>
  <si>
    <t>· Yêu cầu đổi đã duyệt
· Hàng cũ 50.000đ, hàng mới 70.000đ</t>
  </si>
  <si>
    <t>1. Sales tạo đơn thay thế đổi sang mã khác
2. Đối chiếu số tiền hiển thị cho khách</t>
  </si>
  <si>
    <t>· Đổi cùng mã: giữ nguyên giá cũ, khách không phải trả thêm
· Đổi khác mã: dùng giá hiện hành, chênh lệch hiển thị rõ ràng trước khi xác nhận</t>
  </si>
  <si>
    <t>DDWSMSVTC-SC-03-11</t>
  </si>
  <si>
    <t>Dùng số dư credit cho đơn mua tiếp theo</t>
  </si>
  <si>
    <t>· Khách A có số dư credit từ đơn đã huỷ
· Khách B không có credit</t>
  </si>
  <si>
    <t>1. Khách A đặt đơn mới và chọn dùng credit đúng bằng số dư
2. Khách A thử dùng nhiều hơn số dư đang có
3. Khách B thử dùng credit của khách A</t>
  </si>
  <si>
    <t>· Bước 1: trừ đúng số credit, đơn hiển thị rõ phần đã dùng và phần còn phải trả
· Bước 2 và 3 bị chặn, giải thích rõ lý do
· Credit không quy đổi thành tiền mặt và không chuyển cho khách khác</t>
  </si>
  <si>
    <t>SC-04 — Quản trị, bảng điều khiển, cảnh báo và nhật ký kiểm toán</t>
  </si>
  <si>
    <t>Vai trò: Quản trị viên (Admin), Giám đốc, Trưởng phòng Kinh doanh, Nhân viên Kho   |   SRS Reference: SC-04; FT-09 AC-01..AC-05, NAC-02..NAC-05, BV-02; FT-04 NAC-01, BV-01; BR-001, BR-022, BR-048, BR-049, BR-050; NFR-SEC02, NFR-SEC03, NFR-SEC08, NFR-P06   |   8 scripts</t>
  </si>
  <si>
    <t>Mục tiêu: Xác nhận mỗi vai trò chỉ thấy đúng phạm vi dữ liệu của mình, cảnh báo vận hành đến đúng người, và mọi thay đổi quan trọng đều để lại dấu vết không xoá được.</t>
  </si>
  <si>
    <t xml:space="preserve">  ▶  Luồng chính</t>
  </si>
  <si>
    <t>DDWSMSVTC-SC-04-01</t>
  </si>
  <si>
    <t>Bảng điều khiển theo vai trò</t>
  </si>
  <si>
    <t>· Có dữ liệu đơn hàng, tồn kho, giao hàng của ít nhất 1 tháng
· 4 tài khoản: Sales, Trưởng phòng, Kho, Giám đốc</t>
  </si>
  <si>
    <t>1. Lần lượt đăng nhập từng vai trò
2. Mở bảng điều khiển tương ứng
3. Đổi khoảng thời gian ngày/tuần/tháng</t>
  </si>
  <si>
    <t>· Sales chỉ thấy khách và đơn của mình
· Trưởng phòng thấy số liệu cả nhóm
· Kho thấy công việc kho
· Giám đốc thấy toàn công ty
· Bảng hiện trong thời gian chấp nhận được</t>
  </si>
  <si>
    <t>DDWSMSVTC-SC-04-02</t>
  </si>
  <si>
    <t>Cảnh báo vận hành đến đúng người</t>
  </si>
  <si>
    <t>· Tạo các tình huống: đơn COD sắp hết hạn, tồn kho thấp, giao dịch thanh toán bất thường</t>
  </si>
  <si>
    <t>1. Kích hoạt từng tình huống
2. Kiểm tra thông báo ở từng vai trò</t>
  </si>
  <si>
    <t>· Mỗi cảnh báo nêu rõ vấn đề, đối tượng liên quan và việc cần làm tiếp
· Đúng vai trò nhận được cảnh báo
· Không tạo cảnh báo trùng cho cùng một sự việc</t>
  </si>
  <si>
    <t>FT-09 AC-02</t>
  </si>
  <si>
    <t>DDWSMSVTC-SC-04-03</t>
  </si>
  <si>
    <t>Thay đổi cấu hình không ảnh hưởng dữ liệu cũ</t>
  </si>
  <si>
    <t>· Có giỏ hàng đang giữ giá và đơn đã hoàn tất</t>
  </si>
  <si>
    <t>1. Admin đổi bảng chiết khấu theo bậc
2. Mở lại giỏ hàng đang giữ giá
3. Mở lại đơn đã hoàn tất</t>
  </si>
  <si>
    <t>· Giỏ đang giữ giá GIỮ NGUYÊN giá cũ
· Đơn cũ không bị tính lại
· Cấu hình mới chỉ áp dụng cho giao dịch sau thời điểm hiệu lực</t>
  </si>
  <si>
    <t>DDWSMSVTC-SC-04-04</t>
  </si>
  <si>
    <t>Ngoại lệ — Admin can thiệp phê duyệt nghiệp vụ</t>
  </si>
  <si>
    <t>· Có báo giá đang chờ duyệt và đề nghị điều chỉnh tồn kho</t>
  </si>
  <si>
    <t>1. Đăng nhập Admin
2. Thử duyệt báo giá
3. Thử duyệt điều chỉnh tồn kho</t>
  </si>
  <si>
    <t>· Admin KHÔNG duyệt được nghiệp vụ (đây là việc của Trưởng phòng/Giám đốc)
· Việc quản trị người dùng, cấu hình vẫn làm bình thường</t>
  </si>
  <si>
    <t>FT-09 NAC-02</t>
  </si>
  <si>
    <t>DDWSMSVTC-SC-04-05</t>
  </si>
  <si>
    <t>Ngoại lệ — Sửa hoặc xoá nhật ký kiểm toán</t>
  </si>
  <si>
    <t>· Có bản ghi nhật ký về thay đổi giá và thanh toán</t>
  </si>
  <si>
    <t>1. Đăng nhập Admin
2. Tìm chức năng sửa/xoá bản ghi nhật ký</t>
  </si>
  <si>
    <t>· Không có chức năng sửa/xoá; mọi nỗ lực đều bị từ chối
· Bản ghi nhật ký giữ nguyên và tra cứu/xuất được</t>
  </si>
  <si>
    <t>DDWSMSVTC-SC-04-06</t>
  </si>
  <si>
    <t>Ngoại lệ — Tác vụ nền chạy lỗi</t>
  </si>
  <si>
    <t>· Gây lỗi có chủ đích cho một tác vụ nền</t>
  </si>
  <si>
    <t>1. Gây lỗi tác vụ nền
2. Kiểm tra màn hình theo dõi tác vụ</t>
  </si>
  <si>
    <t>· Tác vụ được đánh dấu thất bại, KHÔNG báo thành công
· Có ghi nhận số lần thử lại và cảnh báo cho người phụ trách</t>
  </si>
  <si>
    <t>DDWSMSVTC-SC-04-[NN]</t>
  </si>
  <si>
    <t xml:space="preserve">  ▶  Bổ sung v2.1 — Quản trị người dùng và vai trò</t>
  </si>
  <si>
    <t>DDWSMSVTC-SC-04-07</t>
  </si>
  <si>
    <t>Tạo và phân quyền tài khoản nhân viên</t>
  </si>
  <si>
    <t>· Tài khoản Admin
· Email nhân viên mới chưa tồn tại</t>
  </si>
  <si>
    <t>1. Admin mở quản lý người dùng, tạo tài khoản mới và chọn vai trò
2. Nhân viên mới đăng nhập, kiểm tra chỉ thấy đúng phần việc của vai trò
3. Admin đổi vai trò
4. Nhân viên đăng nhập lại</t>
  </si>
  <si>
    <t>· Tài khoản dùng được ngay với đúng phạm vi vai trò
· Sau khi đổi vai trò, phạm vi thay đổi tương ứng
· Mọi thay đổi đều có trong nhật ký kiểm toán</t>
  </si>
  <si>
    <t>DDWSMSVTC-SC-04-08</t>
  </si>
  <si>
    <t>Vô hiệu hoá tài khoản nghỉ việc</t>
  </si>
  <si>
    <t>· Nhân viên S1 đang phụ trách 5 khách</t>
  </si>
  <si>
    <t>1. Admin vô hiệu hoá tài khoản S1
2. Thử đăng nhập bằng S1
3. Kiểm tra 5 khách của S1</t>
  </si>
  <si>
    <t>· S1 không đăng nhập được nữa
· Hệ thống cảnh báo/không để 5 khách rơi vào trạng thái không có ai phụ trách</t>
  </si>
  <si>
    <t>SC-05 — Marketing hỗ trợ AI và đăng bài Facebook</t>
  </si>
  <si>
    <t>Vai trò: Nhân viên Sales, Trưởng phòng Kinh doanh   |   SRS Reference: SC-05; FT-10 AC-01..AC-05, NAC-01, NAC-03, NAC-04, BV-01..BV-03; FT-04 (quyền phụ trách); BR-003, BR-046, BR-049; NFR-P07, NFR-SEC07   |   7 scripts</t>
  </si>
  <si>
    <t>Mục tiêu: Xác nhận nội dung marketing do AI hỗ trợ luôn phải qua duyệt của Trưởng phòng trước khi đăng, và việc đăng bài không ảnh hưởng quyền phụ trách khách hàng.</t>
  </si>
  <si>
    <t>DDWSMSVTC-SC-05-01</t>
  </si>
  <si>
    <t>Tạo nội dung và gửi duyệt</t>
  </si>
  <si>
    <t>· Tài khoản Sales
· Dịch vụ AI sandbox hoạt động</t>
  </si>
  <si>
    <t>1. Sales chọn sản phẩm, yêu cầu tạo nội dung và hình ảnh
2. Xem nội dung được sinh ra, chỉnh sửa lại
3. Gửi Trưởng phòng duyệt</t>
  </si>
  <si>
    <t>· Trong lúc AI xử lý, màn hình báo đang xử lý và không bị treo
· Nội dung ở trạng thái nháp, chưa đăng được
· Trưởng phòng nhận được yêu cầu duyệt</t>
  </si>
  <si>
    <t>DDWSMSVTC-SC-05-02</t>
  </si>
  <si>
    <t>Duyệt và hẹn giờ đăng bài</t>
  </si>
  <si>
    <t>· Có bài nháp chờ duyệt</t>
  </si>
  <si>
    <t>1. Trưởng phòng xem nội dung và hình ảnh
2. Duyệt và chọn thời điểm đăng
3. Chờ tới giờ hẹn</t>
  </si>
  <si>
    <t>· Bài chỉ đăng khi đã được duyệt
· Đến giờ hệ thống tự đăng, lưu lại đường dẫn bài viết
· Có số liệu tương tác sau khi đăng</t>
  </si>
  <si>
    <t>DDWSMSVTC-SC-05-03</t>
  </si>
  <si>
    <t>Ngoại lệ — Đăng bài khi chưa được duyệt</t>
  </si>
  <si>
    <t>· Có bài nháp chưa duyệt</t>
  </si>
  <si>
    <t>1. Sales tìm cách đăng thẳng bài nháp</t>
  </si>
  <si>
    <t>· Không đăng được; hệ thống chỉ rõ cần Trưởng phòng duyệt</t>
  </si>
  <si>
    <t>DDWSMSVTC-SC-05-04</t>
  </si>
  <si>
    <t>Ngoại lệ — Facebook trả lỗi khi đăng</t>
  </si>
  <si>
    <t>· Cấu hình sandbox trả lỗi</t>
  </si>
  <si>
    <t>1. Đăng bài đã duyệt
2. Quan sát kết quả
3. Thử đăng lại</t>
  </si>
  <si>
    <t>· Bài đánh dấu thất bại, giữ nguyên trong lịch sử
· Người phụ trách nhận cảnh báo
· Có thể thử lại thủ công</t>
  </si>
  <si>
    <t>DDWSMSVTC-SC-05-05</t>
  </si>
  <si>
    <t>Ngoại lệ — Khách đến từ bài marketing</t>
  </si>
  <si>
    <t>· Khách A đang thuộc Sales S1</t>
  </si>
  <si>
    <t>1. Khách A vào hệ thống từ bài viết do Sales S2 đăng
2. Khách A đặt đơn mới
3. Kiểm tra người phụ trách</t>
  </si>
  <si>
    <t>· Khách A VẪN thuộc Sales S1
· Hoạt động marketing không làm đổi quyền phụ trách khách hàng</t>
  </si>
  <si>
    <t>FT-10 AC-05; FT-04 AC-01; BR-003</t>
  </si>
  <si>
    <t>DDWSMSVTC-SC-05-06</t>
  </si>
  <si>
    <t>Ngoại lệ — Hẹn giờ đăng không hợp lệ / hàng đợi đầy</t>
  </si>
  <si>
    <t>· Có bài đang chờ duyệt
· Hàng đợi đã có 30 bài được hẹn giờ</t>
  </si>
  <si>
    <t>1. Trưởng phòng duyệt và chọn thời điểm đăng đã qua
2. Chọn lại thời điểm trong tương lai
3. Khi hàng đợi đã đủ 30 bài, thử hẹn thêm bài nữa</t>
  </si>
  <si>
    <t>· Không hẹn được giờ đã qua, báo lỗi rõ ràng
· Hẹn giờ tương lai thành công
· Khi hàng đợi đầy, hệ thống báo đã đạt giới hạn và không thêm lịch mới; lịch đang có không bị ảnh hưởng</t>
  </si>
  <si>
    <t>DDWSMSVTC-SC-05-07</t>
  </si>
  <si>
    <t>Ngoại lệ — Ảnh đính kèm không hợp lệ</t>
  </si>
  <si>
    <t>· Có bài nháp
· File thử: sai định dạng và ảnh vượt dung lượng cho phép</t>
  </si>
  <si>
    <t>1. Tải lên file sai định dạng
2. Tải lên ảnh vượt dung lượng
3. Thử gửi bài đi duyệt</t>
  </si>
  <si>
    <t>· Cả hai file bị từ chối kèm lý do dễ hiểu
· File không được gắn vào bài và không được đăng lên Facebook
· Bài không gửi duyệt được khi đính kèm không hợp lệ</t>
  </si>
  <si>
    <t>DDWSMSVTC-SC-05-[NN]</t>
  </si>
  <si>
    <t>SC-06 — Mua hàng, chuyển kho và kiểm soát tồn kho</t>
  </si>
  <si>
    <t>Vai trò: Giám đốc, Nhân viên Kho   |   SRS Reference: SC-06; FT-06 AC-01..AC-04, NAC-02, NAC-04; FT-11 AC-01..AC-03, NAC-03; FT-12 AC-01..AC-05, NAC-05, BV-03; BR-014, BR-015, BR-021, BR-032, BR-036, BR-044, BR-045, BR-049   |   9 scripts</t>
  </si>
  <si>
    <t>Mục tiêu: Xác nhận tồn kho chỉ thay đổi qua chứng từ đã ghi sổ, hàng luân chuyển giữa ba kho không thất thoát, và mọi chênh lệch đều được ghi nhận thay vì tự cân bằng.</t>
  </si>
  <si>
    <t>DDWSMSVTC-SC-06-01</t>
  </si>
  <si>
    <t>Lập đơn mua hàng và nhận hàng nhà cung cấp</t>
  </si>
  <si>
    <t>· Nhà cung cấp đã khai báo
· Mã hàng SKU-001 tồn hiện tại = 10</t>
  </si>
  <si>
    <t>1. Giám đốc lập đơn mua 50 SKU-001, phát hành và gửi kho
2. Kho lập phiếu nhập từ đơn mua
3. Kho nhập: 48 đạt, 2 hỏng
4. Kho ghi sổ phiếu nhập
5. Xem lại tồn kho</t>
  </si>
  <si>
    <t>· Từ bước 1 đến 3 tồn kho KHÔNG thay đổi
· Sau bước 4: tồn bán được tăng đúng 48, 2 hàng hỏng ghi riêng
· Phiếu đã ghi sổ không sửa/xoá được</t>
  </si>
  <si>
    <t>FT-06 AC-01, AC-03; BR-014, BR-021</t>
  </si>
  <si>
    <t>DDWSMSVTC-SC-06-02</t>
  </si>
  <si>
    <t>Nhận hàng nhiều lần cho một đơn mua</t>
  </si>
  <si>
    <t>· Đơn mua 50, đã nhận 30</t>
  </si>
  <si>
    <t>1. Kho lập phiếu nhập lần 2 cho 20 còn lại
2. Ghi sổ
3. Xem trạng thái đơn mua</t>
  </si>
  <si>
    <t>· Mỗi lần nhận lưu thành phiếu riêng
· Đơn mua hiển thị đã nhận / còn lại chính xác
· Khi đủ số lượng, đơn chuyển trạng thái hoàn tất</t>
  </si>
  <si>
    <t>FT-06 AC-04; BR-036</t>
  </si>
  <si>
    <t>DDWSMSVTC-SC-06-03</t>
  </si>
  <si>
    <t>Chuyển hàng giữa hai kho</t>
  </si>
  <si>
    <t>· Kho WH-TRADE có 20, kho WH-PROD có 5</t>
  </si>
  <si>
    <t>1. Kho nguồn lập phiếu chuyển 10 sang WH-PROD
2. Ghi sổ phiếu xuất chuyển
3. Kho nhận ghi nhận thực nhận 10
4. Kiểm tra tồn hai kho</t>
  </si>
  <si>
    <t>· Sau bước 2: kho nguồn còn 10, 10 đang trên đường
· Sau bước 3: kho nhận có 15, không còn hàng trên đường
· Tổng số lượng toàn hệ thống không đổi</t>
  </si>
  <si>
    <t>FT-11 AC-01, AC-02; BR-035</t>
  </si>
  <si>
    <t>DDWSMSVTC-SC-06-04</t>
  </si>
  <si>
    <t>Kiểm kê và điều chỉnh tồn kho</t>
  </si>
  <si>
    <t>· Ngưỡng phê duyệt điều chỉnh đã cấu hình</t>
  </si>
  <si>
    <t>1. Kho mở phiên kiểm kê, hệ thống chốt số liệu sổ sách
2. Kho nhập số đếm thực tế
3. Gửi đề nghị điều chỉnh vượt ngưỡng
4. Giám đốc duyệt và ghi sổ
5. Xem tồn kho</t>
  </si>
  <si>
    <t>· Số sổ sách bị khoá ngay khi mở phiên, không sửa được
· Tồn kho CHƯA đổi cho tới khi được duyệt và ghi sổ
· Vượt ngưỡng bắt buộc Giám đốc duyệt</t>
  </si>
  <si>
    <t>DDWSMSVTC-SC-06-05</t>
  </si>
  <si>
    <t>Ngoại lệ — Nhận thiếu so với phiếu chuyển</t>
  </si>
  <si>
    <t>· Phiếu chuyển 10, thực nhận 9</t>
  </si>
  <si>
    <t>1. Kho nhận khai 9
2. Ghi sổ phiếu nhận
3. Xem trạng thái phiếu chuyển</t>
  </si>
  <si>
    <t>· Kho nhận chỉ tăng 9
· Chênh lệch 1 được ghi nhận thành trường hợp cần xử lý
· Hệ thống KHÔNG tự cân bằng cho khớp</t>
  </si>
  <si>
    <t>FT-11 AC-03; NAC-03</t>
  </si>
  <si>
    <t>DDWSMSVTC-SC-06-06</t>
  </si>
  <si>
    <t>Ngoại lệ — Nhập kho bằng file Excel sai định dạng</t>
  </si>
  <si>
    <t>· Có file mẫu đúng và file sai định dạng</t>
  </si>
  <si>
    <t>1. Tải lên file sai định dạng
2. Quan sát thông báo
3. Tải lên file đúng, xem bản xem trước rồi mới xác nhận</t>
  </si>
  <si>
    <t>· File sai bị báo lỗi theo từng dòng, không tạo chứng từ nào
· File đúng chỉ tạo bản nháp, phải xác nhận thủ công mới có hiệu lực</t>
  </si>
  <si>
    <t>DDWSMSVTC-SC-06-07</t>
  </si>
  <si>
    <t>Ngoại lệ — Xuất vật tư không có chứng từ ký</t>
  </si>
  <si>
    <t>· Có vật tư trong kho</t>
  </si>
  <si>
    <t>1. Kho lập phiếu xuất vật tư cho sản xuất ngoài
2. Bỏ trống người nhận / số phiếu giấy / ảnh chữ ký, bấm lưu</t>
  </si>
  <si>
    <t>· Bị chặn, chỉ rõ thông tin còn thiếu
· Tồn kho không giảm</t>
  </si>
  <si>
    <t>FT-12 AC-05; NAC-05; BR-045</t>
  </si>
  <si>
    <t>DDWSMSVTC-SC-06-08</t>
  </si>
  <si>
    <t>Ngoại lệ — Sửa chứng từ đã ghi sổ</t>
  </si>
  <si>
    <t>· Có phiếu nhập và phiếu điều chỉnh đã ghi sổ</t>
  </si>
  <si>
    <t>1. Tìm chức năng sửa/xoá chứng từ đã ghi sổ</t>
  </si>
  <si>
    <t>· Không sửa/xoá được
· Muốn điều chỉnh phải lập chứng từ đối ứng hoặc phiếu điều chỉnh mới có duyệt</t>
  </si>
  <si>
    <t>FT-06 NAC-04; BR-021</t>
  </si>
  <si>
    <t>DDWSMSVTC-SC-06-09</t>
  </si>
  <si>
    <t>Cảnh báo tồn thấp</t>
  </si>
  <si>
    <t>· SKU-002 đã cấu hình ngưỡng tồn thấp
· Tồn hiện tại cao hơn ngưỡng đúng 1 đơn vị</t>
  </si>
  <si>
    <t>1. Xuất 1 đơn vị để tồn bằng đúng ngưỡng
2. Mở danh sách cảnh báo tồn thấp
3. Xuất thêm 1 đơn vị rồi xem lại</t>
  </si>
  <si>
    <t>· Trước khi chạm ngưỡng: chưa có cảnh báo
· Từ ngưỡng trở xuống: hiện đúng một cảnh báo kèm số lượng hiện tại, ngưỡng, kho và việc cần làm tiếp
· Tiếp tục giảm không sinh cảnh báo thứ hai mà cập nhật cảnh báo đang có</t>
  </si>
  <si>
    <t>DDWSMSVTC-SC-06-[NN]</t>
  </si>
  <si>
    <t>Trần Ngọc Khánh (HE180122)</t>
  </si>
  <si>
    <t>Nguyễn Xuân Tiến (HE181563)</t>
  </si>
  <si>
    <t xml:space="preserve">FT-01 AC-03; BV-03; NAC-05; BR-028 </t>
  </si>
  <si>
    <t xml:space="preserve">FT-03 AC-04; BR-010 </t>
  </si>
  <si>
    <t xml:space="preserve">FT-03 NAC-03 </t>
  </si>
  <si>
    <t xml:space="preserve">FT-03 NAC-05; BR-030; BR-004; BR-026 </t>
  </si>
  <si>
    <t>FT-07 AC-01; BV-01; BR-037</t>
  </si>
  <si>
    <t>FT-07 AC-03, AC-04; NFR-U01</t>
  </si>
  <si>
    <t>FT-07 AC-04; BV-02</t>
  </si>
  <si>
    <t>FT-07 AC-05; BV-03; BR-040</t>
  </si>
  <si>
    <t xml:space="preserve">FT-08 AC-01..03; BR-017, BR-041 </t>
  </si>
  <si>
    <t xml:space="preserve">FT-08 AC-05; BR-019, BR-043 </t>
  </si>
  <si>
    <t xml:space="preserve">FT-08 AC-05; BV-03; BR-019 </t>
  </si>
  <si>
    <t xml:space="preserve">FT-08 AC-05; NAC-04; BR-019; NFR-SEC03 </t>
  </si>
  <si>
    <t xml:space="preserve">FT-08 AC-03; BV-02; BR-042; BR-043 </t>
  </si>
  <si>
    <t xml:space="preserve">FT-08 AC-04; BV-03; BR-017; BR-018 </t>
  </si>
  <si>
    <t xml:space="preserve">FT-09 AC-01; NFR-P06 </t>
  </si>
  <si>
    <t xml:space="preserve">FT-09 AC-03; NAC-04; BR-050 </t>
  </si>
  <si>
    <t>FT-09 NAC-03; BR-048</t>
  </si>
  <si>
    <t xml:space="preserve">FT-09 AC-05; NAC-05; BR-049 </t>
  </si>
  <si>
    <t xml:space="preserve">FT-09 AC-04; BR-022; NFR-SEC02; NFR-SEC03 </t>
  </si>
  <si>
    <t xml:space="preserve">FT-09 AC-04; FT-04 BV-01; NAC-01; BR-001 </t>
  </si>
  <si>
    <t xml:space="preserve">FT-10 AC-01; NFR-P07 </t>
  </si>
  <si>
    <t xml:space="preserve">FT-10 AC-02; AC-03; AC-05; BV-01; BV-02; BR-046 </t>
  </si>
  <si>
    <t>FT-10 NAC-01; NAC-02; BR-046</t>
  </si>
  <si>
    <t xml:space="preserve">FT-10 AC-04; NAC-05; BR-049 </t>
  </si>
  <si>
    <t xml:space="preserve">FT-10 BV-01; BV-02; NAC-03 </t>
  </si>
  <si>
    <t>FT-10 NAC-04; BV-03</t>
  </si>
  <si>
    <t xml:space="preserve">FT-12 AC-01..03; BR-044 </t>
  </si>
  <si>
    <t>FT-06 AC-02; NAC-02; BR-015</t>
  </si>
  <si>
    <t>FT-12 AC-04; BV-03; BR-049</t>
  </si>
  <si>
    <t>Scenario Summary</t>
  </si>
  <si>
    <t>Sheet</t>
  </si>
  <si>
    <t>Scenario Name</t>
  </si>
  <si>
    <t>Actor(s)</t>
  </si>
  <si>
    <t>Scripts</t>
  </si>
  <si>
    <t>Sign-off</t>
  </si>
  <si>
    <t>[SC-01]</t>
  </si>
  <si>
    <t>[SC-02]</t>
  </si>
  <si>
    <t>[SC-03]</t>
  </si>
  <si>
    <t>[SC-04]</t>
  </si>
  <si>
    <t>[SC-05]</t>
  </si>
  <si>
    <t>[SC-06]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</si>
</sst>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charset val="1"/>
    </font>
    <font>
      <b/>
      <sz val="18"/>
      <color rgb="FFFFFFFF"/>
      <name val="Arial"/>
      <family val="2"/>
      <charset val="1"/>
    </font>
    <font>
      <i/>
      <sz val="10"/>
      <color rgb="FF595959"/>
      <name val="Arial"/>
      <family val="2"/>
      <charset val="1"/>
    </font>
    <font>
      <b/>
      <sz val="9"/>
      <color rgb="FFFFFFFF"/>
      <name val="Arial"/>
      <family val="2"/>
      <charset val="1"/>
    </font>
    <font>
      <sz val="9"/>
      <color rgb="FF000000"/>
      <name val="Arial"/>
      <family val="2"/>
      <charset val="1"/>
    </font>
    <font>
      <b/>
      <sz val="10"/>
      <color rgb="FFFFFFFF"/>
      <name val="Arial"/>
      <family val="2"/>
      <charset val="1"/>
    </font>
    <font>
      <b/>
      <sz val="9"/>
      <color rgb="FF1F3864"/>
      <name val="Arial"/>
      <family val="2"/>
      <charset val="1"/>
    </font>
    <font>
      <b/>
      <sz val="10"/>
      <color rgb="FF1F3864"/>
      <name val="Arial"/>
      <family val="2"/>
      <charset val="1"/>
    </font>
    <font>
      <b/>
      <sz val="9"/>
      <color rgb="FF595959"/>
      <name val="Arial"/>
      <family val="2"/>
      <charset val="1"/>
    </font>
    <font>
      <b/>
      <sz val="9"/>
      <color rgb="FF375623"/>
      <name val="Arial"/>
      <family val="2"/>
      <charset val="1"/>
    </font>
    <font>
      <b/>
      <sz val="9"/>
      <color rgb="FFC00000"/>
      <name val="Arial"/>
      <family val="2"/>
      <charset val="1"/>
    </font>
    <font>
      <b/>
      <sz val="9"/>
      <color rgb="FF7F6000"/>
      <name val="Arial"/>
      <family val="2"/>
      <charset val="1"/>
    </font>
    <font>
      <b/>
      <sz val="9"/>
      <color rgb="FF5C3292"/>
      <name val="Arial"/>
      <family val="2"/>
      <charset val="1"/>
    </font>
    <font>
      <b/>
      <sz val="16"/>
      <color rgb="FFFFFFFF"/>
      <name val="Arial"/>
      <family val="2"/>
      <charset val="1"/>
    </font>
    <font>
      <i/>
      <sz val="9"/>
      <color rgb="FF595959"/>
      <name val="Arial"/>
      <family val="2"/>
      <charset val="1"/>
    </font>
    <font>
      <i/>
      <sz val="9"/>
      <color rgb="FF7F6000"/>
      <name val="Arial"/>
      <family val="2"/>
      <charset val="1"/>
    </font>
    <font>
      <i/>
      <sz val="9"/>
      <color rgb="FF000000"/>
      <name val="Arial"/>
      <family val="2"/>
      <charset val="1"/>
    </font>
    <font>
      <b/>
      <sz val="11"/>
      <color rgb="FF1F3864"/>
      <name val="Arial"/>
      <family val="2"/>
      <charset val="1"/>
    </font>
    <font>
      <b/>
      <sz val="12"/>
      <color rgb="FFFFFFFF"/>
      <name val="Arial"/>
      <charset val="1"/>
    </font>
    <font>
      <sz val="9"/>
      <color rgb="FF7030A0"/>
      <name val="Arial"/>
      <charset val="1"/>
    </font>
    <font>
      <sz val="9"/>
      <color rgb="FF000000"/>
      <name val="Arial"/>
      <charset val="1"/>
    </font>
    <font>
      <b/>
      <sz val="9"/>
      <color rgb="FF000000"/>
      <name val="Arial"/>
      <charset val="1"/>
    </font>
    <font>
      <b/>
      <sz val="10"/>
      <color rgb="FFFFFFFF"/>
      <name val="Arial"/>
      <charset val="1"/>
    </font>
    <font>
      <b/>
      <sz val="9"/>
      <color rgb="FF7030A0"/>
      <name val="Arial"/>
      <charset val="1"/>
    </font>
    <font>
      <b/>
      <sz val="9"/>
      <color rgb="FFC00000"/>
      <name val="Arial"/>
      <charset val="1"/>
    </font>
    <font>
      <sz val="9"/>
      <color rgb="FF595959"/>
      <name val="Arial"/>
      <charset val="1"/>
    </font>
    <font>
      <sz val="9"/>
      <color rgb="FFC00000"/>
      <name val="Arial"/>
      <charset val="1"/>
    </font>
    <font>
      <b/>
      <sz val="12"/>
      <color rgb="FF1F3864"/>
      <name val="Arial"/>
      <family val="2"/>
    </font>
    <font>
      <sz val="11"/>
      <color theme="1"/>
      <name val="Calibri"/>
      <family val="2"/>
    </font>
    <font>
      <b/>
      <sz val="10"/>
      <color rgb="FFFFFFFF"/>
      <name val="Arial"/>
      <family val="2"/>
    </font>
    <font>
      <b/>
      <sz val="9"/>
      <color rgb="FF1F3864"/>
      <name val="Arial"/>
      <family val="2"/>
    </font>
    <font>
      <i/>
      <sz val="9"/>
      <color theme="1"/>
      <name val="Arial"/>
      <family val="2"/>
    </font>
    <font>
      <b/>
      <sz val="9"/>
      <color rgb="FFC00000"/>
      <name val="Arial"/>
      <family val="2"/>
    </font>
    <font>
      <sz val="9"/>
      <color rgb="FF595959"/>
      <name val="Arial"/>
      <family val="2"/>
    </font>
  </fonts>
  <fills count="26">
    <fill>
      <patternFill patternType="none"/>
    </fill>
    <fill>
      <patternFill patternType="gray125"/>
    </fill>
    <fill>
      <patternFill patternType="solid">
        <fgColor rgb="FF1F3864"/>
        <bgColor rgb="FF375623"/>
      </patternFill>
    </fill>
    <fill>
      <patternFill patternType="solid">
        <fgColor rgb="FFF2F2F2"/>
        <bgColor rgb="FFEDE3F5"/>
      </patternFill>
    </fill>
    <fill>
      <patternFill patternType="solid">
        <fgColor rgb="FFDEEAF1"/>
        <bgColor rgb="FFD6EEF0"/>
      </patternFill>
    </fill>
    <fill>
      <patternFill patternType="solid">
        <fgColor rgb="FF1F6B75"/>
        <bgColor rgb="FF008080"/>
      </patternFill>
    </fill>
    <fill>
      <patternFill patternType="solid">
        <fgColor rgb="FFD6EEF0"/>
        <bgColor rgb="FFDEEAF1"/>
      </patternFill>
    </fill>
    <fill>
      <patternFill patternType="solid">
        <fgColor rgb="FF375623"/>
        <bgColor rgb="FF595959"/>
      </patternFill>
    </fill>
    <fill>
      <patternFill patternType="solid">
        <fgColor rgb="FFE2EFDA"/>
        <bgColor rgb="FFDEEAF1"/>
      </patternFill>
    </fill>
    <fill>
      <patternFill patternType="solid">
        <fgColor rgb="FFBDD7EE"/>
        <bgColor rgb="FFCCCCCC"/>
      </patternFill>
    </fill>
    <fill>
      <patternFill patternType="solid">
        <fgColor rgb="FFFFFFFF"/>
        <bgColor rgb="FFF2F2F2"/>
      </patternFill>
    </fill>
    <fill>
      <patternFill patternType="solid">
        <fgColor rgb="FF7F6000"/>
        <bgColor rgb="FF595959"/>
      </patternFill>
    </fill>
    <fill>
      <patternFill patternType="solid">
        <fgColor rgb="FFFFF2CC"/>
        <bgColor rgb="FFFCE4D6"/>
      </patternFill>
    </fill>
    <fill>
      <patternFill patternType="solid">
        <fgColor rgb="FFC00000"/>
        <bgColor rgb="FF800000"/>
      </patternFill>
    </fill>
    <fill>
      <patternFill patternType="solid">
        <fgColor rgb="FF2E75B6"/>
        <bgColor rgb="FF1F6B75"/>
      </patternFill>
    </fill>
    <fill>
      <patternFill patternType="solid">
        <fgColor rgb="FFFCE4D6"/>
        <bgColor rgb="FFFFF2CC"/>
      </patternFill>
    </fill>
    <fill>
      <patternFill patternType="solid">
        <fgColor rgb="FFEBE2F5"/>
        <bgColor rgb="FFEDE3F5"/>
      </patternFill>
    </fill>
    <fill>
      <patternFill patternType="solid">
        <fgColor rgb="FF7030A0"/>
        <bgColor rgb="FF5C3292"/>
      </patternFill>
    </fill>
    <fill>
      <patternFill patternType="solid">
        <fgColor rgb="FFEDE3F5"/>
        <bgColor rgb="FFEBE2F5"/>
      </patternFill>
    </fill>
    <fill>
      <patternFill patternType="solid">
        <fgColor rgb="FF2E75B6"/>
        <bgColor indexed="64"/>
      </patternFill>
    </fill>
    <fill>
      <patternFill patternType="solid">
        <fgColor rgb="FFBDD7EE"/>
        <bgColor indexed="64"/>
      </patternFill>
    </fill>
    <fill>
      <patternFill patternType="solid">
        <fgColor rgb="FFDEEAF1"/>
        <bgColor indexed="64"/>
      </patternFill>
    </fill>
    <fill>
      <patternFill patternType="solid">
        <fgColor rgb="FFFCE4D6"/>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D9C7EA"/>
      </left>
      <right style="thin">
        <color rgb="FFD9C7EA"/>
      </right>
      <top style="thin">
        <color rgb="FFD9C7EA"/>
      </top>
      <bottom style="thin">
        <color rgb="FFD9C7EA"/>
      </bottom>
      <diagonal/>
    </border>
    <border>
      <left/>
      <right/>
      <top/>
      <bottom style="medium">
        <color rgb="FFAAAAAA"/>
      </bottom>
      <diagonal/>
    </border>
    <border>
      <left style="medium">
        <color rgb="FFAAAAAA"/>
      </left>
      <right style="medium">
        <color rgb="FFAAAAAA"/>
      </right>
      <top/>
      <bottom style="medium">
        <color rgb="FFAAAAAA"/>
      </bottom>
      <diagonal/>
    </border>
    <border>
      <left/>
      <right style="medium">
        <color rgb="FFAAAAAA"/>
      </right>
      <top/>
      <bottom style="medium">
        <color rgb="FFAAAAAA"/>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61">
    <xf numFmtId="0" fontId="0" fillId="0" borderId="0" xfId="0"/>
    <xf numFmtId="0" fontId="4" fillId="0" borderId="1" xfId="0" applyFont="1" applyBorder="1" applyAlignment="1">
      <alignment horizontal="left" vertical="center" wrapText="1"/>
    </xf>
    <xf numFmtId="0" fontId="4" fillId="12" borderId="0" xfId="0" applyFont="1" applyFill="1" applyAlignment="1">
      <alignment horizontal="left" vertical="top" wrapText="1"/>
    </xf>
    <xf numFmtId="0" fontId="3" fillId="11" borderId="0" xfId="0" applyFont="1" applyFill="1" applyAlignment="1">
      <alignment horizontal="left" vertical="center"/>
    </xf>
    <xf numFmtId="0" fontId="4" fillId="3"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5" fillId="2" borderId="0" xfId="0" applyFont="1" applyFill="1" applyAlignment="1">
      <alignment horizontal="left" vertical="center"/>
    </xf>
    <xf numFmtId="0" fontId="4" fillId="8" borderId="0" xfId="0" applyFont="1" applyFill="1" applyAlignment="1">
      <alignment horizontal="left" vertical="top" wrapText="1"/>
    </xf>
    <xf numFmtId="0" fontId="3" fillId="7" borderId="0" xfId="0" applyFont="1" applyFill="1" applyAlignment="1">
      <alignment horizontal="left" vertical="center"/>
    </xf>
    <xf numFmtId="0" fontId="4" fillId="6" borderId="0" xfId="0" applyFont="1" applyFill="1" applyAlignment="1">
      <alignment horizontal="left" vertical="top" wrapText="1"/>
    </xf>
    <xf numFmtId="0" fontId="3" fillId="5" borderId="0" xfId="0" applyFont="1" applyFill="1" applyAlignment="1">
      <alignment horizontal="left" vertical="center"/>
    </xf>
    <xf numFmtId="0" fontId="4" fillId="4" borderId="0" xfId="0" applyFont="1" applyFill="1" applyAlignment="1">
      <alignment horizontal="left" vertical="top" wrapText="1"/>
    </xf>
    <xf numFmtId="0" fontId="3" fillId="2" borderId="0" xfId="0" applyFont="1" applyFill="1" applyAlignment="1">
      <alignment horizontal="left" vertical="center"/>
    </xf>
    <xf numFmtId="0" fontId="2" fillId="3" borderId="0" xfId="0" applyFont="1" applyFill="1" applyAlignment="1">
      <alignment horizontal="left" vertical="center"/>
    </xf>
    <xf numFmtId="0" fontId="1" fillId="2" borderId="0" xfId="0" applyFont="1" applyFill="1" applyAlignment="1">
      <alignment horizontal="left" vertical="center"/>
    </xf>
    <xf numFmtId="0" fontId="6" fillId="9"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7" fillId="0" borderId="0" xfId="0" applyFont="1"/>
    <xf numFmtId="0" fontId="3" fillId="13"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4"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8" borderId="1" xfId="0" applyFont="1" applyFill="1" applyBorder="1" applyAlignment="1">
      <alignment horizontal="center" vertical="center"/>
    </xf>
    <xf numFmtId="0" fontId="10" fillId="15" borderId="1" xfId="0" applyFont="1" applyFill="1" applyBorder="1" applyAlignment="1">
      <alignment horizontal="center" vertical="center"/>
    </xf>
    <xf numFmtId="0" fontId="11" fillId="12" borderId="1" xfId="0" applyFont="1" applyFill="1" applyBorder="1" applyAlignment="1">
      <alignment horizontal="center" vertical="center"/>
    </xf>
    <xf numFmtId="0" fontId="12" fillId="16" borderId="1" xfId="0" applyFont="1" applyFill="1" applyBorder="1" applyAlignment="1">
      <alignment horizontal="center" vertical="center"/>
    </xf>
    <xf numFmtId="0" fontId="17" fillId="0" borderId="0" xfId="0" applyFont="1"/>
    <xf numFmtId="0" fontId="22" fillId="17" borderId="2" xfId="0" applyFont="1" applyFill="1" applyBorder="1" applyAlignment="1">
      <alignment vertical="center" wrapText="1"/>
    </xf>
    <xf numFmtId="0" fontId="23" fillId="18" borderId="2" xfId="0" applyFont="1" applyFill="1" applyBorder="1" applyAlignment="1">
      <alignment vertical="top" wrapText="1"/>
    </xf>
    <xf numFmtId="0" fontId="24" fillId="15" borderId="2" xfId="0" applyFont="1" applyFill="1" applyBorder="1" applyAlignment="1">
      <alignment vertical="top" wrapText="1"/>
    </xf>
    <xf numFmtId="0" fontId="20" fillId="18" borderId="2" xfId="0" applyFont="1" applyFill="1" applyBorder="1" applyAlignment="1">
      <alignment vertical="top" wrapText="1"/>
    </xf>
    <xf numFmtId="0" fontId="20" fillId="3" borderId="2" xfId="0" applyFont="1" applyFill="1" applyBorder="1" applyAlignment="1">
      <alignment vertical="top" wrapText="1"/>
    </xf>
    <xf numFmtId="0" fontId="25" fillId="3" borderId="2" xfId="0" applyFont="1" applyFill="1" applyBorder="1" applyAlignment="1">
      <alignment vertical="top" wrapText="1"/>
    </xf>
    <xf numFmtId="0" fontId="23" fillId="10" borderId="2" xfId="0" applyFont="1" applyFill="1" applyBorder="1" applyAlignment="1">
      <alignment vertical="top" wrapText="1"/>
    </xf>
    <xf numFmtId="0" fontId="20" fillId="10" borderId="2" xfId="0" applyFont="1" applyFill="1" applyBorder="1" applyAlignment="1">
      <alignment vertical="top" wrapText="1"/>
    </xf>
    <xf numFmtId="0" fontId="26" fillId="18" borderId="2" xfId="0" applyFont="1" applyFill="1" applyBorder="1" applyAlignment="1">
      <alignment vertical="top" wrapText="1"/>
    </xf>
    <xf numFmtId="0" fontId="26" fillId="10" borderId="2" xfId="0" applyFont="1" applyFill="1" applyBorder="1" applyAlignment="1">
      <alignment vertical="top" wrapText="1"/>
    </xf>
    <xf numFmtId="0" fontId="13" fillId="2" borderId="0" xfId="0" applyFont="1" applyFill="1" applyAlignment="1">
      <alignment horizontal="left" vertical="center"/>
    </xf>
    <xf numFmtId="0" fontId="14" fillId="3" borderId="0" xfId="0" applyFont="1" applyFill="1" applyAlignment="1">
      <alignment horizontal="left" vertical="center"/>
    </xf>
    <xf numFmtId="0" fontId="15" fillId="3" borderId="1" xfId="0" applyFont="1" applyFill="1" applyBorder="1" applyAlignment="1">
      <alignment horizontal="left" vertical="top" wrapText="1"/>
    </xf>
    <xf numFmtId="0" fontId="16" fillId="10"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18" fillId="17" borderId="0" xfId="0" applyFont="1" applyFill="1" applyAlignment="1">
      <alignment vertical="center"/>
    </xf>
    <xf numFmtId="0" fontId="19" fillId="18" borderId="0" xfId="0" applyFont="1" applyFill="1" applyAlignment="1">
      <alignment vertical="center"/>
    </xf>
    <xf numFmtId="0" fontId="20" fillId="0" borderId="0" xfId="0" applyFont="1" applyAlignment="1">
      <alignment vertical="center" wrapText="1"/>
    </xf>
    <xf numFmtId="0" fontId="21" fillId="3" borderId="0" xfId="0" applyFont="1" applyFill="1" applyAlignment="1">
      <alignment vertical="center"/>
    </xf>
    <xf numFmtId="0" fontId="22" fillId="17" borderId="0" xfId="0" applyFont="1" applyFill="1" applyAlignment="1">
      <alignment vertical="center"/>
    </xf>
    <xf numFmtId="0" fontId="22" fillId="17" borderId="0" xfId="0" applyFont="1" applyFill="1"/>
    <xf numFmtId="0" fontId="27" fillId="0" borderId="3" xfId="0" applyFont="1" applyBorder="1" applyAlignment="1">
      <alignment vertical="center"/>
    </xf>
    <xf numFmtId="0" fontId="28" fillId="0" borderId="3" xfId="0" applyFont="1" applyBorder="1" applyAlignment="1">
      <alignment wrapText="1"/>
    </xf>
    <xf numFmtId="0" fontId="29" fillId="19" borderId="4" xfId="0" applyFont="1" applyFill="1" applyBorder="1" applyAlignment="1">
      <alignment horizontal="center" vertical="center" wrapText="1"/>
    </xf>
    <xf numFmtId="0" fontId="29" fillId="19" borderId="5" xfId="0" applyFont="1" applyFill="1" applyBorder="1" applyAlignment="1">
      <alignment horizontal="center" vertical="center" wrapText="1"/>
    </xf>
    <xf numFmtId="0" fontId="30" fillId="20" borderId="6" xfId="0" applyFont="1" applyFill="1" applyBorder="1" applyAlignment="1">
      <alignment horizontal="center" vertical="top" wrapText="1"/>
    </xf>
    <xf numFmtId="0" fontId="31" fillId="21" borderId="7" xfId="0" applyFont="1" applyFill="1" applyBorder="1" applyAlignment="1">
      <alignment vertical="top" wrapText="1"/>
    </xf>
    <xf numFmtId="0" fontId="32" fillId="22" borderId="7" xfId="0" applyFont="1" applyFill="1" applyBorder="1" applyAlignment="1">
      <alignment horizontal="center" vertical="top" wrapText="1"/>
    </xf>
    <xf numFmtId="0" fontId="33" fillId="23" borderId="7" xfId="0" applyFont="1" applyFill="1" applyBorder="1" applyAlignment="1">
      <alignment horizontal="center" vertical="top" wrapText="1"/>
    </xf>
    <xf numFmtId="0" fontId="28" fillId="21" borderId="7" xfId="0" applyFont="1" applyFill="1" applyBorder="1" applyAlignment="1">
      <alignment vertical="top" wrapText="1"/>
    </xf>
    <xf numFmtId="0" fontId="31" fillId="24" borderId="7" xfId="0" applyFont="1" applyFill="1" applyBorder="1" applyAlignment="1">
      <alignment vertical="top" wrapText="1"/>
    </xf>
    <xf numFmtId="0" fontId="28" fillId="24" borderId="7" xfId="0" applyFont="1" applyFill="1" applyBorder="1" applyAlignment="1">
      <alignment vertical="top" wrapText="1"/>
    </xf>
    <xf numFmtId="0" fontId="31" fillId="25" borderId="7" xfId="0" applyFont="1" applyFill="1" applyBorder="1" applyAlignment="1">
      <alignment vertical="top" wrapText="1"/>
    </xf>
    <xf numFmtId="0" fontId="28" fillId="25" borderId="7" xfId="0" applyFont="1" applyFill="1" applyBorder="1" applyAlignment="1">
      <alignment vertical="top" wrapText="1"/>
    </xf>
  </cellXfs>
  <cellStyles count="1">
    <cellStyle name="Normal" xfId="0" builtinId="0"/>
  </cellStyles>
  <dxfs count="6">
    <dxf>
      <fill>
        <patternFill>
          <bgColor rgb="FFFFF2CC"/>
        </patternFill>
      </fill>
    </dxf>
    <dxf>
      <fill>
        <patternFill>
          <bgColor rgb="FFFCE4D6"/>
        </patternFill>
      </fill>
    </dxf>
    <dxf>
      <fill>
        <patternFill>
          <bgColor rgb="FFE2EFDA"/>
        </patternFill>
      </fill>
    </dxf>
    <dxf>
      <fill>
        <patternFill>
          <bgColor rgb="FFFFF2CC"/>
        </patternFill>
      </fill>
    </dxf>
    <dxf>
      <fill>
        <patternFill>
          <bgColor rgb="FFFCE4D6"/>
        </patternFill>
      </fill>
    </dxf>
    <dxf>
      <fill>
        <patternFill>
          <bgColor rgb="FFE2EFDA"/>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F6B75"/>
      <rgbColor rgb="FFCCCCCC"/>
      <rgbColor rgb="FF808080"/>
      <rgbColor rgb="FF9999FF"/>
      <rgbColor rgb="FF7030A0"/>
      <rgbColor rgb="FFFFF2CC"/>
      <rgbColor rgb="FFD6EEF0"/>
      <rgbColor rgb="FF660066"/>
      <rgbColor rgb="FFFF8080"/>
      <rgbColor rgb="FF0066CC"/>
      <rgbColor rgb="FFD9C7EA"/>
      <rgbColor rgb="FF000080"/>
      <rgbColor rgb="FFFF00FF"/>
      <rgbColor rgb="FFFFFF00"/>
      <rgbColor rgb="FF00FFFF"/>
      <rgbColor rgb="FF800080"/>
      <rgbColor rgb="FF800000"/>
      <rgbColor rgb="FF008080"/>
      <rgbColor rgb="FF0000FF"/>
      <rgbColor rgb="FF00CCFF"/>
      <rgbColor rgb="FFDEEAF1"/>
      <rgbColor rgb="FFE2EFDA"/>
      <rgbColor rgb="FFF2F2F2"/>
      <rgbColor rgb="FFBDD7EE"/>
      <rgbColor rgb="FFEDE3F5"/>
      <rgbColor rgb="FFEBE2F5"/>
      <rgbColor rgb="FFFCE4D6"/>
      <rgbColor rgb="FF2E75B6"/>
      <rgbColor rgb="FF33CCCC"/>
      <rgbColor rgb="FF99CC00"/>
      <rgbColor rgb="FFFFCC00"/>
      <rgbColor rgb="FFFF9900"/>
      <rgbColor rgb="FFFF6600"/>
      <rgbColor rgb="FF595959"/>
      <rgbColor rgb="FFAAAAAA"/>
      <rgbColor rgb="FF1F3864"/>
      <rgbColor rgb="FF339966"/>
      <rgbColor rgb="FF003300"/>
      <rgbColor rgb="FF333300"/>
      <rgbColor rgb="FF993300"/>
      <rgbColor rgb="FF993366"/>
      <rgbColor rgb="FF5C3292"/>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D41"/>
  <sheetViews>
    <sheetView showGridLines="0" topLeftCell="A26" zoomScaleNormal="100" workbookViewId="0"/>
  </sheetViews>
  <sheetFormatPr defaultColWidth="8.7109375" defaultRowHeight="15" x14ac:dyDescent="0.25"/>
  <cols>
    <col min="1" max="1" width="2" customWidth="1"/>
    <col min="2" max="2" width="26" customWidth="1"/>
    <col min="3" max="3" width="56" customWidth="1"/>
    <col min="4" max="4" width="26" customWidth="1"/>
    <col min="5" max="5" width="2" customWidth="1"/>
  </cols>
  <sheetData>
    <row r="1" spans="2:4" ht="42" customHeight="1" x14ac:dyDescent="0.25">
      <c r="B1" s="14" t="s">
        <v>0</v>
      </c>
      <c r="C1" s="14"/>
      <c r="D1" s="14"/>
    </row>
    <row r="2" spans="2:4" ht="18" customHeight="1" x14ac:dyDescent="0.25">
      <c r="B2" s="13" t="s">
        <v>1</v>
      </c>
      <c r="C2" s="13"/>
      <c r="D2" s="13"/>
    </row>
    <row r="4" spans="2:4" ht="18" customHeight="1" x14ac:dyDescent="0.25">
      <c r="B4" s="12" t="s">
        <v>2</v>
      </c>
      <c r="C4" s="12"/>
      <c r="D4" s="12"/>
    </row>
    <row r="5" spans="2:4" ht="142.5" customHeight="1" x14ac:dyDescent="0.25">
      <c r="B5" s="11" t="s">
        <v>3</v>
      </c>
      <c r="C5" s="11"/>
      <c r="D5" s="11"/>
    </row>
    <row r="7" spans="2:4" ht="18" customHeight="1" x14ac:dyDescent="0.25">
      <c r="B7" s="10" t="s">
        <v>4</v>
      </c>
      <c r="C7" s="10"/>
      <c r="D7" s="10"/>
    </row>
    <row r="8" spans="2:4" ht="195" customHeight="1" x14ac:dyDescent="0.25">
      <c r="B8" s="9" t="s">
        <v>5</v>
      </c>
      <c r="C8" s="9"/>
      <c r="D8" s="9"/>
    </row>
    <row r="10" spans="2:4" ht="18" customHeight="1" x14ac:dyDescent="0.25">
      <c r="B10" s="8" t="s">
        <v>6</v>
      </c>
      <c r="C10" s="8"/>
      <c r="D10" s="8"/>
    </row>
    <row r="11" spans="2:4" ht="181.5" customHeight="1" x14ac:dyDescent="0.25">
      <c r="B11" s="7" t="s">
        <v>7</v>
      </c>
      <c r="C11" s="7"/>
      <c r="D11" s="7"/>
    </row>
    <row r="13" spans="2:4" ht="19.5" customHeight="1" x14ac:dyDescent="0.25">
      <c r="B13" s="6" t="s">
        <v>8</v>
      </c>
      <c r="C13" s="6"/>
      <c r="D13" s="6"/>
    </row>
    <row r="14" spans="2:4" ht="39" customHeight="1" x14ac:dyDescent="0.25">
      <c r="B14" s="15" t="s">
        <v>9</v>
      </c>
      <c r="C14" s="5" t="s">
        <v>10</v>
      </c>
      <c r="D14" s="5"/>
    </row>
    <row r="15" spans="2:4" ht="64.5" customHeight="1" x14ac:dyDescent="0.25">
      <c r="B15" s="16" t="s">
        <v>11</v>
      </c>
      <c r="C15" s="4" t="s">
        <v>12</v>
      </c>
      <c r="D15" s="4"/>
    </row>
    <row r="16" spans="2:4" ht="39" customHeight="1" x14ac:dyDescent="0.25">
      <c r="B16" s="15" t="s">
        <v>13</v>
      </c>
      <c r="C16" s="5" t="s">
        <v>14</v>
      </c>
      <c r="D16" s="5"/>
    </row>
    <row r="17" spans="2:4" ht="78" customHeight="1" x14ac:dyDescent="0.25">
      <c r="B17" s="16" t="s">
        <v>15</v>
      </c>
      <c r="C17" s="4" t="s">
        <v>16</v>
      </c>
      <c r="D17" s="4"/>
    </row>
    <row r="18" spans="2:4" ht="129.75" customHeight="1" x14ac:dyDescent="0.25">
      <c r="B18" s="15" t="s">
        <v>17</v>
      </c>
      <c r="C18" s="5" t="s">
        <v>18</v>
      </c>
      <c r="D18" s="5"/>
    </row>
    <row r="19" spans="2:4" ht="129.75" customHeight="1" x14ac:dyDescent="0.25">
      <c r="B19" s="16" t="s">
        <v>19</v>
      </c>
      <c r="C19" s="4" t="s">
        <v>20</v>
      </c>
      <c r="D19" s="4"/>
    </row>
    <row r="20" spans="2:4" ht="78" customHeight="1" x14ac:dyDescent="0.25">
      <c r="B20" s="15" t="s">
        <v>21</v>
      </c>
      <c r="C20" s="5" t="s">
        <v>22</v>
      </c>
      <c r="D20" s="5"/>
    </row>
    <row r="21" spans="2:4" ht="78" customHeight="1" x14ac:dyDescent="0.25">
      <c r="B21" s="16" t="s">
        <v>23</v>
      </c>
      <c r="C21" s="4" t="s">
        <v>24</v>
      </c>
      <c r="D21" s="4"/>
    </row>
    <row r="22" spans="2:4" ht="64.5" customHeight="1" x14ac:dyDescent="0.25">
      <c r="B22" s="15" t="s">
        <v>25</v>
      </c>
      <c r="C22" s="5" t="s">
        <v>26</v>
      </c>
      <c r="D22" s="5"/>
    </row>
    <row r="23" spans="2:4" ht="64.5" customHeight="1" x14ac:dyDescent="0.25">
      <c r="B23" s="16" t="s">
        <v>27</v>
      </c>
      <c r="C23" s="4" t="s">
        <v>28</v>
      </c>
      <c r="D23" s="4"/>
    </row>
    <row r="25" spans="2:4" ht="18" customHeight="1" x14ac:dyDescent="0.25">
      <c r="B25" s="3" t="s">
        <v>29</v>
      </c>
      <c r="C25" s="3"/>
      <c r="D25" s="3"/>
    </row>
    <row r="26" spans="2:4" ht="234" customHeight="1" x14ac:dyDescent="0.25">
      <c r="B26" s="2" t="s">
        <v>30</v>
      </c>
      <c r="C26" s="2"/>
      <c r="D26" s="2"/>
    </row>
    <row r="28" spans="2:4" ht="18" customHeight="1" x14ac:dyDescent="0.25">
      <c r="B28" s="8" t="s">
        <v>31</v>
      </c>
      <c r="C28" s="8"/>
      <c r="D28" s="8"/>
    </row>
    <row r="29" spans="2:4" ht="156" customHeight="1" x14ac:dyDescent="0.25">
      <c r="B29" s="7" t="s">
        <v>32</v>
      </c>
      <c r="C29" s="7"/>
      <c r="D29" s="7"/>
    </row>
    <row r="31" spans="2:4" ht="19.5" customHeight="1" x14ac:dyDescent="0.25">
      <c r="B31" s="17" t="s">
        <v>33</v>
      </c>
    </row>
    <row r="32" spans="2:4" ht="18" customHeight="1" x14ac:dyDescent="0.25">
      <c r="B32" s="18" t="s">
        <v>34</v>
      </c>
      <c r="C32" s="1" t="s">
        <v>35</v>
      </c>
      <c r="D32" s="1"/>
    </row>
    <row r="33" spans="2:4" ht="18" customHeight="1" x14ac:dyDescent="0.25">
      <c r="B33" s="19" t="s">
        <v>36</v>
      </c>
      <c r="C33" s="1" t="s">
        <v>37</v>
      </c>
      <c r="D33" s="1"/>
    </row>
    <row r="34" spans="2:4" ht="18" customHeight="1" x14ac:dyDescent="0.25">
      <c r="B34" s="20" t="s">
        <v>38</v>
      </c>
      <c r="C34" s="1" t="s">
        <v>39</v>
      </c>
      <c r="D34" s="1"/>
    </row>
    <row r="36" spans="2:4" ht="19.5" customHeight="1" x14ac:dyDescent="0.25">
      <c r="B36" s="17" t="s">
        <v>40</v>
      </c>
    </row>
    <row r="37" spans="2:4" ht="18" customHeight="1" x14ac:dyDescent="0.25">
      <c r="B37" s="21" t="s">
        <v>41</v>
      </c>
      <c r="C37" s="1" t="s">
        <v>42</v>
      </c>
      <c r="D37" s="1"/>
    </row>
    <row r="38" spans="2:4" ht="18" customHeight="1" x14ac:dyDescent="0.25">
      <c r="B38" s="22" t="s">
        <v>43</v>
      </c>
      <c r="C38" s="1" t="s">
        <v>44</v>
      </c>
      <c r="D38" s="1"/>
    </row>
    <row r="39" spans="2:4" ht="18" customHeight="1" x14ac:dyDescent="0.25">
      <c r="B39" s="23" t="s">
        <v>45</v>
      </c>
      <c r="C39" s="1" t="s">
        <v>46</v>
      </c>
      <c r="D39" s="1"/>
    </row>
    <row r="40" spans="2:4" ht="18" customHeight="1" x14ac:dyDescent="0.25">
      <c r="B40" s="24" t="s">
        <v>47</v>
      </c>
      <c r="C40" s="1" t="s">
        <v>48</v>
      </c>
      <c r="D40" s="1"/>
    </row>
    <row r="41" spans="2:4" ht="18" customHeight="1" x14ac:dyDescent="0.25">
      <c r="B41" s="25" t="s">
        <v>49</v>
      </c>
      <c r="C41" s="1" t="s">
        <v>50</v>
      </c>
      <c r="D41" s="1"/>
    </row>
  </sheetData>
  <mergeCells count="31">
    <mergeCell ref="C41:D41"/>
    <mergeCell ref="C34:D34"/>
    <mergeCell ref="C37:D37"/>
    <mergeCell ref="C38:D38"/>
    <mergeCell ref="C39:D39"/>
    <mergeCell ref="C40:D40"/>
    <mergeCell ref="B26:D26"/>
    <mergeCell ref="B28:D28"/>
    <mergeCell ref="B29:D29"/>
    <mergeCell ref="C32:D32"/>
    <mergeCell ref="C33:D33"/>
    <mergeCell ref="C20:D20"/>
    <mergeCell ref="C21:D21"/>
    <mergeCell ref="C22:D22"/>
    <mergeCell ref="C23:D23"/>
    <mergeCell ref="B25:D25"/>
    <mergeCell ref="C15:D15"/>
    <mergeCell ref="C16:D16"/>
    <mergeCell ref="C17:D17"/>
    <mergeCell ref="C18:D18"/>
    <mergeCell ref="C19:D19"/>
    <mergeCell ref="B8:D8"/>
    <mergeCell ref="B10:D10"/>
    <mergeCell ref="B11:D11"/>
    <mergeCell ref="B13:D13"/>
    <mergeCell ref="C14:D14"/>
    <mergeCell ref="B1:D1"/>
    <mergeCell ref="B2:D2"/>
    <mergeCell ref="B4:D4"/>
    <mergeCell ref="B5:D5"/>
    <mergeCell ref="B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B1:H49"/>
  <sheetViews>
    <sheetView showGridLines="0" tabSelected="1" zoomScale="85" zoomScaleNormal="85" workbookViewId="0">
      <selection activeCell="I33" sqref="I33"/>
    </sheetView>
  </sheetViews>
  <sheetFormatPr defaultColWidth="8.7109375" defaultRowHeight="15" x14ac:dyDescent="0.25"/>
  <cols>
    <col min="1" max="1" width="2" customWidth="1"/>
    <col min="2" max="2" width="12" customWidth="1"/>
    <col min="3" max="3" width="32" customWidth="1"/>
    <col min="4" max="4" width="20" customWidth="1"/>
    <col min="5" max="5" width="18" customWidth="1"/>
    <col min="6" max="7" width="10" customWidth="1"/>
    <col min="8" max="8" width="18" customWidth="1"/>
  </cols>
  <sheetData>
    <row r="1" spans="2:8" ht="20.25" customHeight="1" x14ac:dyDescent="0.25">
      <c r="B1" s="37" t="s">
        <v>51</v>
      </c>
      <c r="C1" s="37"/>
      <c r="D1" s="37"/>
      <c r="E1" s="37"/>
      <c r="F1" s="37"/>
      <c r="G1" s="37"/>
    </row>
    <row r="2" spans="2:8" ht="14.25" customHeight="1" x14ac:dyDescent="0.25">
      <c r="B2" s="38" t="s">
        <v>52</v>
      </c>
      <c r="C2" s="38"/>
      <c r="D2" s="38"/>
      <c r="E2" s="38"/>
      <c r="F2" s="38"/>
      <c r="G2" s="38"/>
    </row>
    <row r="3" spans="2:8" ht="14.25" customHeight="1" x14ac:dyDescent="0.25"/>
    <row r="4" spans="2:8" ht="14.25" customHeight="1" x14ac:dyDescent="0.25">
      <c r="B4" s="15" t="s">
        <v>53</v>
      </c>
      <c r="C4" s="5" t="s">
        <v>54</v>
      </c>
      <c r="D4" s="5"/>
      <c r="E4" s="5"/>
      <c r="F4" s="5"/>
      <c r="G4" s="5"/>
    </row>
    <row r="5" spans="2:8" ht="23.25" customHeight="1" x14ac:dyDescent="0.25">
      <c r="B5" s="16" t="s">
        <v>55</v>
      </c>
      <c r="C5" s="4" t="s">
        <v>56</v>
      </c>
      <c r="D5" s="4"/>
      <c r="E5" s="4"/>
      <c r="F5" s="4"/>
      <c r="G5" s="4"/>
    </row>
    <row r="6" spans="2:8" ht="14.25" customHeight="1" x14ac:dyDescent="0.25">
      <c r="B6" s="15" t="s">
        <v>57</v>
      </c>
      <c r="C6" s="5" t="s">
        <v>58</v>
      </c>
      <c r="D6" s="5"/>
      <c r="E6" s="5"/>
      <c r="F6" s="5"/>
      <c r="G6" s="5"/>
    </row>
    <row r="7" spans="2:8" ht="14.25" customHeight="1" x14ac:dyDescent="0.25">
      <c r="B7" s="16" t="s">
        <v>59</v>
      </c>
      <c r="C7" s="4" t="s">
        <v>407</v>
      </c>
      <c r="D7" s="4"/>
      <c r="E7" s="4"/>
      <c r="F7" s="4"/>
      <c r="G7" s="4"/>
    </row>
    <row r="8" spans="2:8" ht="14.25" customHeight="1" x14ac:dyDescent="0.25">
      <c r="B8" s="15" t="s">
        <v>60</v>
      </c>
      <c r="C8" s="5" t="s">
        <v>408</v>
      </c>
      <c r="D8" s="5"/>
      <c r="E8" s="5"/>
      <c r="F8" s="5"/>
      <c r="G8" s="5"/>
    </row>
    <row r="9" spans="2:8" ht="14.25" customHeight="1" x14ac:dyDescent="0.25">
      <c r="B9" s="16" t="s">
        <v>61</v>
      </c>
      <c r="C9" s="39" t="s">
        <v>62</v>
      </c>
      <c r="D9" s="39"/>
      <c r="E9" s="39"/>
      <c r="F9" s="39"/>
      <c r="G9" s="39"/>
    </row>
    <row r="12" spans="2:8" ht="15" customHeight="1" thickBot="1" x14ac:dyDescent="0.3">
      <c r="B12" s="48" t="s">
        <v>438</v>
      </c>
      <c r="C12" s="49"/>
      <c r="D12" s="49"/>
      <c r="E12" s="49"/>
      <c r="F12" s="49"/>
      <c r="G12" s="49"/>
      <c r="H12" s="49"/>
    </row>
    <row r="13" spans="2:8" ht="23.25" customHeight="1" thickBot="1" x14ac:dyDescent="0.3">
      <c r="B13" s="50" t="s">
        <v>439</v>
      </c>
      <c r="C13" s="51" t="s">
        <v>440</v>
      </c>
      <c r="D13" s="51" t="s">
        <v>441</v>
      </c>
      <c r="E13" s="51" t="s">
        <v>11</v>
      </c>
      <c r="F13" s="51" t="s">
        <v>442</v>
      </c>
      <c r="G13" s="51" t="s">
        <v>23</v>
      </c>
      <c r="H13" s="51" t="s">
        <v>443</v>
      </c>
    </row>
    <row r="14" spans="2:8" ht="21.75" customHeight="1" thickBot="1" x14ac:dyDescent="0.3">
      <c r="B14" s="52" t="s">
        <v>444</v>
      </c>
      <c r="C14" s="53" t="s">
        <v>63</v>
      </c>
      <c r="D14" s="53" t="s">
        <v>68</v>
      </c>
      <c r="E14" s="54" t="s">
        <v>64</v>
      </c>
      <c r="F14" s="55">
        <v>9</v>
      </c>
      <c r="G14" s="53" t="s">
        <v>41</v>
      </c>
      <c r="H14" s="56"/>
    </row>
    <row r="15" spans="2:8" ht="21.75" customHeight="1" thickBot="1" x14ac:dyDescent="0.3">
      <c r="B15" s="52" t="s">
        <v>445</v>
      </c>
      <c r="C15" s="57" t="s">
        <v>65</v>
      </c>
      <c r="D15" s="57" t="s">
        <v>66</v>
      </c>
      <c r="E15" s="54" t="s">
        <v>64</v>
      </c>
      <c r="F15" s="55">
        <v>9</v>
      </c>
      <c r="G15" s="57" t="s">
        <v>41</v>
      </c>
      <c r="H15" s="58"/>
    </row>
    <row r="16" spans="2:8" ht="14.25" customHeight="1" thickBot="1" x14ac:dyDescent="0.3">
      <c r="B16" s="52" t="s">
        <v>446</v>
      </c>
      <c r="C16" s="53" t="s">
        <v>67</v>
      </c>
      <c r="D16" s="53" t="s">
        <v>68</v>
      </c>
      <c r="E16" s="54" t="s">
        <v>64</v>
      </c>
      <c r="F16" s="55">
        <v>11</v>
      </c>
      <c r="G16" s="53" t="s">
        <v>41</v>
      </c>
      <c r="H16" s="56"/>
    </row>
    <row r="17" spans="2:8" ht="14.25" customHeight="1" thickBot="1" x14ac:dyDescent="0.3">
      <c r="B17" s="52" t="s">
        <v>447</v>
      </c>
      <c r="C17" s="59" t="s">
        <v>69</v>
      </c>
      <c r="D17" s="59" t="s">
        <v>70</v>
      </c>
      <c r="E17" s="54" t="s">
        <v>64</v>
      </c>
      <c r="F17" s="55">
        <v>8</v>
      </c>
      <c r="G17" s="59" t="s">
        <v>41</v>
      </c>
      <c r="H17" s="60"/>
    </row>
    <row r="18" spans="2:8" ht="14.25" customHeight="1" thickBot="1" x14ac:dyDescent="0.3">
      <c r="B18" s="52" t="s">
        <v>448</v>
      </c>
      <c r="C18" s="53" t="s">
        <v>71</v>
      </c>
      <c r="D18" s="53" t="s">
        <v>72</v>
      </c>
      <c r="E18" s="54" t="s">
        <v>64</v>
      </c>
      <c r="F18" s="55">
        <v>7</v>
      </c>
      <c r="G18" s="53" t="s">
        <v>41</v>
      </c>
      <c r="H18" s="56"/>
    </row>
    <row r="19" spans="2:8" ht="14.25" customHeight="1" thickBot="1" x14ac:dyDescent="0.3">
      <c r="B19" s="52" t="s">
        <v>449</v>
      </c>
      <c r="C19" s="59" t="s">
        <v>73</v>
      </c>
      <c r="D19" s="59" t="s">
        <v>74</v>
      </c>
      <c r="E19" s="54" t="s">
        <v>64</v>
      </c>
      <c r="F19" s="55">
        <v>9</v>
      </c>
      <c r="G19" s="59" t="s">
        <v>41</v>
      </c>
      <c r="H19" s="60"/>
    </row>
    <row r="20" spans="2:8" ht="14.25" customHeight="1" x14ac:dyDescent="0.25"/>
    <row r="21" spans="2:8" ht="14.25" customHeight="1" x14ac:dyDescent="0.25">
      <c r="B21" s="26" t="s">
        <v>75</v>
      </c>
    </row>
    <row r="22" spans="2:8" x14ac:dyDescent="0.25">
      <c r="B22" s="15" t="s">
        <v>76</v>
      </c>
      <c r="C22" s="40">
        <f>SUM(F14:F19)</f>
        <v>53</v>
      </c>
      <c r="D22" s="40"/>
      <c r="E22" s="40"/>
    </row>
    <row r="23" spans="2:8" x14ac:dyDescent="0.25">
      <c r="B23" s="16" t="s">
        <v>43</v>
      </c>
      <c r="C23" s="41">
        <v>0</v>
      </c>
      <c r="D23" s="41"/>
      <c r="E23" s="41"/>
    </row>
    <row r="24" spans="2:8" x14ac:dyDescent="0.25">
      <c r="B24" s="15" t="s">
        <v>45</v>
      </c>
      <c r="C24" s="40">
        <v>0</v>
      </c>
      <c r="D24" s="40"/>
      <c r="E24" s="40"/>
    </row>
    <row r="25" spans="2:8" x14ac:dyDescent="0.25">
      <c r="B25" s="16" t="s">
        <v>47</v>
      </c>
      <c r="C25" s="41">
        <v>0</v>
      </c>
      <c r="D25" s="41"/>
      <c r="E25" s="41"/>
    </row>
    <row r="26" spans="2:8" ht="36" x14ac:dyDescent="0.25">
      <c r="B26" s="15" t="s">
        <v>77</v>
      </c>
      <c r="C26" s="40">
        <v>0</v>
      </c>
      <c r="D26" s="40"/>
      <c r="E26" s="40"/>
    </row>
    <row r="27" spans="2:8" x14ac:dyDescent="0.25">
      <c r="B27" s="16" t="s">
        <v>78</v>
      </c>
      <c r="C27" s="41" t="s">
        <v>79</v>
      </c>
      <c r="D27" s="41"/>
      <c r="E27" s="41"/>
    </row>
    <row r="42" spans="2:8" ht="16.5" thickBot="1" x14ac:dyDescent="0.3">
      <c r="B42" s="48" t="s">
        <v>438</v>
      </c>
      <c r="C42" s="49"/>
      <c r="D42" s="49"/>
      <c r="E42" s="49"/>
      <c r="F42" s="49"/>
      <c r="G42" s="49"/>
      <c r="H42" s="49"/>
    </row>
    <row r="43" spans="2:8" ht="15.75" thickBot="1" x14ac:dyDescent="0.3">
      <c r="B43" s="50" t="s">
        <v>439</v>
      </c>
      <c r="C43" s="51" t="s">
        <v>440</v>
      </c>
      <c r="D43" s="51" t="s">
        <v>441</v>
      </c>
      <c r="E43" s="51" t="s">
        <v>11</v>
      </c>
      <c r="F43" s="51" t="s">
        <v>442</v>
      </c>
      <c r="G43" s="51" t="s">
        <v>23</v>
      </c>
      <c r="H43" s="51" t="s">
        <v>443</v>
      </c>
    </row>
    <row r="44" spans="2:8" ht="36.75" thickBot="1" x14ac:dyDescent="0.3">
      <c r="B44" s="52" t="s">
        <v>444</v>
      </c>
      <c r="C44" s="53" t="s">
        <v>63</v>
      </c>
      <c r="D44" s="53" t="s">
        <v>68</v>
      </c>
      <c r="E44" s="54" t="s">
        <v>64</v>
      </c>
      <c r="F44" s="55">
        <v>9</v>
      </c>
      <c r="G44" s="53" t="s">
        <v>41</v>
      </c>
      <c r="H44" s="56"/>
    </row>
    <row r="45" spans="2:8" ht="36.75" thickBot="1" x14ac:dyDescent="0.3">
      <c r="B45" s="52" t="s">
        <v>445</v>
      </c>
      <c r="C45" s="57" t="s">
        <v>65</v>
      </c>
      <c r="D45" s="57" t="s">
        <v>66</v>
      </c>
      <c r="E45" s="54" t="s">
        <v>64</v>
      </c>
      <c r="F45" s="55">
        <v>9</v>
      </c>
      <c r="G45" s="57" t="s">
        <v>41</v>
      </c>
      <c r="H45" s="58"/>
    </row>
    <row r="46" spans="2:8" ht="36.75" thickBot="1" x14ac:dyDescent="0.3">
      <c r="B46" s="52" t="s">
        <v>446</v>
      </c>
      <c r="C46" s="53" t="s">
        <v>67</v>
      </c>
      <c r="D46" s="53" t="s">
        <v>68</v>
      </c>
      <c r="E46" s="54" t="s">
        <v>64</v>
      </c>
      <c r="F46" s="55">
        <v>11</v>
      </c>
      <c r="G46" s="53" t="s">
        <v>41</v>
      </c>
      <c r="H46" s="56"/>
    </row>
    <row r="47" spans="2:8" ht="36.75" thickBot="1" x14ac:dyDescent="0.3">
      <c r="B47" s="52" t="s">
        <v>447</v>
      </c>
      <c r="C47" s="59" t="s">
        <v>69</v>
      </c>
      <c r="D47" s="59" t="s">
        <v>70</v>
      </c>
      <c r="E47" s="54" t="s">
        <v>64</v>
      </c>
      <c r="F47" s="55">
        <v>8</v>
      </c>
      <c r="G47" s="59" t="s">
        <v>41</v>
      </c>
      <c r="H47" s="60"/>
    </row>
    <row r="48" spans="2:8" ht="24.75" thickBot="1" x14ac:dyDescent="0.3">
      <c r="B48" s="52" t="s">
        <v>448</v>
      </c>
      <c r="C48" s="53" t="s">
        <v>71</v>
      </c>
      <c r="D48" s="53" t="s">
        <v>72</v>
      </c>
      <c r="E48" s="54" t="s">
        <v>64</v>
      </c>
      <c r="F48" s="55">
        <v>7</v>
      </c>
      <c r="G48" s="53" t="s">
        <v>41</v>
      </c>
      <c r="H48" s="56"/>
    </row>
    <row r="49" spans="2:8" ht="24.75" thickBot="1" x14ac:dyDescent="0.3">
      <c r="B49" s="52" t="s">
        <v>449</v>
      </c>
      <c r="C49" s="59" t="s">
        <v>73</v>
      </c>
      <c r="D49" s="59" t="s">
        <v>74</v>
      </c>
      <c r="E49" s="54" t="s">
        <v>64</v>
      </c>
      <c r="F49" s="55">
        <v>9</v>
      </c>
      <c r="G49" s="59" t="s">
        <v>41</v>
      </c>
      <c r="H49" s="60"/>
    </row>
  </sheetData>
  <mergeCells count="14">
    <mergeCell ref="C23:E23"/>
    <mergeCell ref="C24:E24"/>
    <mergeCell ref="C25:E25"/>
    <mergeCell ref="C26:E26"/>
    <mergeCell ref="C27:E27"/>
    <mergeCell ref="C22:E22"/>
    <mergeCell ref="C7:G7"/>
    <mergeCell ref="C8:G8"/>
    <mergeCell ref="C9:G9"/>
    <mergeCell ref="B1:G1"/>
    <mergeCell ref="B2:G2"/>
    <mergeCell ref="C4:G4"/>
    <mergeCell ref="C5:G5"/>
    <mergeCell ref="C6:G6"/>
  </mergeCells>
  <conditionalFormatting sqref="G21:G26">
    <cfRule type="cellIs" dxfId="2" priority="1" operator="equal">
      <formula>"Pass"</formula>
    </cfRule>
    <cfRule type="cellIs" dxfId="1" priority="2" operator="equal">
      <formula>"Fail"</formula>
    </cfRule>
    <cfRule type="cellIs" dxfId="0" priority="3" operator="equal">
      <formula>"Blocked"</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showGridLines="0" zoomScaleNormal="100" workbookViewId="0">
      <pane ySplit="6" topLeftCell="A7" activePane="bottomLeft" state="frozen"/>
      <selection pane="bottomLeft" activeCell="F19" sqref="F19"/>
    </sheetView>
  </sheetViews>
  <sheetFormatPr defaultColWidth="8.7109375" defaultRowHeight="15" x14ac:dyDescent="0.25"/>
  <cols>
    <col min="1" max="1" width="20" customWidth="1"/>
    <col min="2" max="2" width="9" customWidth="1"/>
    <col min="3" max="3" width="26" customWidth="1"/>
    <col min="4" max="4" width="34" customWidth="1"/>
    <col min="5" max="5" width="48" customWidth="1"/>
    <col min="6" max="6" width="44" customWidth="1"/>
    <col min="7" max="7" width="26" customWidth="1"/>
    <col min="8" max="8" width="12" customWidth="1"/>
    <col min="9" max="9" width="11" customWidth="1"/>
    <col min="10" max="10" width="30" customWidth="1"/>
  </cols>
  <sheetData>
    <row r="1" spans="1:10" ht="24" customHeight="1" x14ac:dyDescent="0.25">
      <c r="A1" s="42" t="s">
        <v>80</v>
      </c>
      <c r="B1" s="42"/>
      <c r="C1" s="42"/>
      <c r="D1" s="42"/>
      <c r="E1" s="42"/>
      <c r="F1" s="42"/>
      <c r="G1" s="42"/>
      <c r="H1" s="42"/>
      <c r="I1" s="42"/>
      <c r="J1" s="42"/>
    </row>
    <row r="2" spans="1:10" ht="15" customHeight="1" x14ac:dyDescent="0.25">
      <c r="A2" s="43" t="s">
        <v>81</v>
      </c>
      <c r="B2" s="43"/>
      <c r="C2" s="43"/>
      <c r="D2" s="43"/>
      <c r="E2" s="43"/>
      <c r="F2" s="43"/>
      <c r="G2" s="43"/>
      <c r="H2" s="43"/>
      <c r="I2" s="43"/>
      <c r="J2" s="43"/>
    </row>
    <row r="3" spans="1:10" ht="27.75" customHeight="1" x14ac:dyDescent="0.25">
      <c r="A3" s="44" t="s">
        <v>82</v>
      </c>
      <c r="B3" s="44"/>
      <c r="C3" s="44"/>
      <c r="D3" s="44"/>
      <c r="E3" s="44"/>
      <c r="F3" s="44"/>
      <c r="G3" s="44"/>
      <c r="H3" s="44"/>
      <c r="I3" s="44"/>
      <c r="J3" s="44"/>
    </row>
    <row r="4" spans="1:10" ht="15" customHeight="1" x14ac:dyDescent="0.25">
      <c r="A4" s="45" t="s">
        <v>83</v>
      </c>
      <c r="B4" s="45"/>
      <c r="C4" s="45"/>
      <c r="D4" s="45"/>
      <c r="E4" s="45"/>
      <c r="F4" s="45"/>
      <c r="G4" s="45"/>
      <c r="H4" s="45"/>
      <c r="I4" s="45"/>
      <c r="J4" s="45"/>
    </row>
    <row r="6" spans="1:10" ht="25.5" customHeight="1" x14ac:dyDescent="0.25">
      <c r="A6" s="27" t="s">
        <v>9</v>
      </c>
      <c r="B6" s="27" t="s">
        <v>11</v>
      </c>
      <c r="C6" s="27" t="s">
        <v>13</v>
      </c>
      <c r="D6" s="27" t="s">
        <v>15</v>
      </c>
      <c r="E6" s="27" t="s">
        <v>17</v>
      </c>
      <c r="F6" s="27" t="s">
        <v>19</v>
      </c>
      <c r="G6" s="27" t="s">
        <v>21</v>
      </c>
      <c r="H6" s="27" t="s">
        <v>23</v>
      </c>
      <c r="I6" s="27" t="s">
        <v>25</v>
      </c>
      <c r="J6" s="27" t="s">
        <v>27</v>
      </c>
    </row>
    <row r="7" spans="1:10" ht="18" customHeight="1" x14ac:dyDescent="0.25">
      <c r="A7" s="46" t="s">
        <v>84</v>
      </c>
      <c r="B7" s="46"/>
      <c r="C7" s="46"/>
      <c r="D7" s="46"/>
      <c r="E7" s="46"/>
      <c r="F7" s="46"/>
      <c r="G7" s="46"/>
      <c r="H7" s="46"/>
      <c r="I7" s="46"/>
      <c r="J7" s="46"/>
    </row>
    <row r="8" spans="1:10" ht="78.75" customHeight="1" x14ac:dyDescent="0.25">
      <c r="A8" s="28" t="s">
        <v>85</v>
      </c>
      <c r="B8" s="29" t="s">
        <v>64</v>
      </c>
      <c r="C8" s="30" t="s">
        <v>86</v>
      </c>
      <c r="D8" s="30" t="s">
        <v>87</v>
      </c>
      <c r="E8" s="30" t="s">
        <v>88</v>
      </c>
      <c r="F8" s="30" t="s">
        <v>89</v>
      </c>
      <c r="G8" s="31"/>
      <c r="H8" s="32" t="s">
        <v>41</v>
      </c>
      <c r="I8" s="30"/>
      <c r="J8" s="30"/>
    </row>
    <row r="9" spans="1:10" ht="78.75" customHeight="1" x14ac:dyDescent="0.25">
      <c r="A9" s="33" t="s">
        <v>90</v>
      </c>
      <c r="B9" s="29" t="s">
        <v>64</v>
      </c>
      <c r="C9" s="34" t="s">
        <v>91</v>
      </c>
      <c r="D9" s="34" t="s">
        <v>92</v>
      </c>
      <c r="E9" s="34" t="s">
        <v>93</v>
      </c>
      <c r="F9" s="34" t="s">
        <v>94</v>
      </c>
      <c r="G9" s="31"/>
      <c r="H9" s="32" t="s">
        <v>41</v>
      </c>
      <c r="I9" s="34"/>
      <c r="J9" s="34" t="s">
        <v>95</v>
      </c>
    </row>
    <row r="10" spans="1:10" ht="66" customHeight="1" x14ac:dyDescent="0.25">
      <c r="A10" s="28" t="s">
        <v>96</v>
      </c>
      <c r="B10" s="29" t="s">
        <v>64</v>
      </c>
      <c r="C10" s="30" t="s">
        <v>97</v>
      </c>
      <c r="D10" s="30" t="s">
        <v>98</v>
      </c>
      <c r="E10" s="30" t="s">
        <v>99</v>
      </c>
      <c r="F10" s="30" t="s">
        <v>100</v>
      </c>
      <c r="G10" s="31"/>
      <c r="H10" s="32" t="s">
        <v>41</v>
      </c>
      <c r="I10" s="30"/>
      <c r="J10" s="30" t="s">
        <v>101</v>
      </c>
    </row>
    <row r="11" spans="1:10" ht="57.75" customHeight="1" x14ac:dyDescent="0.25">
      <c r="A11" s="33" t="s">
        <v>102</v>
      </c>
      <c r="B11" s="29" t="s">
        <v>64</v>
      </c>
      <c r="C11" s="34" t="s">
        <v>103</v>
      </c>
      <c r="D11" s="34" t="s">
        <v>104</v>
      </c>
      <c r="E11" s="34" t="s">
        <v>105</v>
      </c>
      <c r="F11" s="34" t="s">
        <v>106</v>
      </c>
      <c r="G11" s="31"/>
      <c r="H11" s="32" t="s">
        <v>41</v>
      </c>
      <c r="I11" s="34"/>
      <c r="J11" s="34" t="s">
        <v>107</v>
      </c>
    </row>
    <row r="12" spans="1:10" ht="117.75" customHeight="1" x14ac:dyDescent="0.25">
      <c r="A12" s="28" t="s">
        <v>108</v>
      </c>
      <c r="B12" s="29" t="s">
        <v>64</v>
      </c>
      <c r="C12" s="30" t="s">
        <v>109</v>
      </c>
      <c r="D12" s="30" t="s">
        <v>110</v>
      </c>
      <c r="E12" s="30" t="s">
        <v>111</v>
      </c>
      <c r="F12" s="30" t="s">
        <v>112</v>
      </c>
      <c r="G12" s="31"/>
      <c r="H12" s="32" t="s">
        <v>41</v>
      </c>
      <c r="I12" s="30"/>
      <c r="J12" s="30" t="s">
        <v>113</v>
      </c>
    </row>
    <row r="13" spans="1:10" ht="18" customHeight="1" x14ac:dyDescent="0.25">
      <c r="A13" s="46" t="s">
        <v>114</v>
      </c>
      <c r="B13" s="46"/>
      <c r="C13" s="46"/>
      <c r="D13" s="46"/>
      <c r="E13" s="46"/>
      <c r="F13" s="46"/>
      <c r="G13" s="46"/>
      <c r="H13" s="46"/>
      <c r="I13" s="46"/>
      <c r="J13" s="46"/>
    </row>
    <row r="14" spans="1:10" ht="66" customHeight="1" x14ac:dyDescent="0.25">
      <c r="A14" s="28" t="s">
        <v>115</v>
      </c>
      <c r="B14" s="29" t="s">
        <v>64</v>
      </c>
      <c r="C14" s="30" t="s">
        <v>116</v>
      </c>
      <c r="D14" s="30" t="s">
        <v>117</v>
      </c>
      <c r="E14" s="30" t="s">
        <v>118</v>
      </c>
      <c r="F14" s="30" t="s">
        <v>119</v>
      </c>
      <c r="G14" s="31"/>
      <c r="H14" s="32" t="s">
        <v>41</v>
      </c>
      <c r="I14" s="30"/>
      <c r="J14" s="30" t="s">
        <v>120</v>
      </c>
    </row>
    <row r="15" spans="1:10" ht="66" customHeight="1" x14ac:dyDescent="0.25">
      <c r="A15" s="33" t="s">
        <v>121</v>
      </c>
      <c r="B15" s="29" t="s">
        <v>122</v>
      </c>
      <c r="C15" s="34" t="s">
        <v>123</v>
      </c>
      <c r="D15" s="34" t="s">
        <v>124</v>
      </c>
      <c r="E15" s="34" t="s">
        <v>125</v>
      </c>
      <c r="F15" s="34" t="s">
        <v>126</v>
      </c>
      <c r="G15" s="31"/>
      <c r="H15" s="32" t="s">
        <v>41</v>
      </c>
      <c r="I15" s="34"/>
      <c r="J15" s="34" t="s">
        <v>127</v>
      </c>
    </row>
    <row r="16" spans="1:10" ht="57.75" customHeight="1" x14ac:dyDescent="0.25">
      <c r="A16" s="28" t="s">
        <v>128</v>
      </c>
      <c r="B16" s="29" t="s">
        <v>122</v>
      </c>
      <c r="C16" s="30" t="s">
        <v>129</v>
      </c>
      <c r="D16" s="30" t="s">
        <v>130</v>
      </c>
      <c r="E16" s="30" t="s">
        <v>131</v>
      </c>
      <c r="F16" s="30" t="s">
        <v>132</v>
      </c>
      <c r="G16" s="31"/>
      <c r="H16" s="32" t="s">
        <v>41</v>
      </c>
      <c r="I16" s="30"/>
      <c r="J16" s="30" t="s">
        <v>133</v>
      </c>
    </row>
    <row r="17" spans="1:10" ht="69.75" customHeight="1" x14ac:dyDescent="0.25">
      <c r="A17" s="33" t="s">
        <v>134</v>
      </c>
      <c r="B17" s="29" t="s">
        <v>122</v>
      </c>
      <c r="C17" s="34" t="s">
        <v>135</v>
      </c>
      <c r="D17" s="34" t="s">
        <v>136</v>
      </c>
      <c r="E17" s="34" t="s">
        <v>137</v>
      </c>
      <c r="F17" s="34" t="s">
        <v>138</v>
      </c>
      <c r="G17" s="31"/>
      <c r="H17" s="32" t="s">
        <v>41</v>
      </c>
      <c r="I17" s="34"/>
      <c r="J17" s="34" t="s">
        <v>409</v>
      </c>
    </row>
    <row r="18" spans="1:10" ht="15" customHeight="1" x14ac:dyDescent="0.25">
      <c r="A18" s="47" t="s">
        <v>139</v>
      </c>
      <c r="B18" s="47"/>
      <c r="C18" s="47"/>
      <c r="D18" s="47"/>
      <c r="E18" s="47"/>
      <c r="F18" s="47"/>
      <c r="G18" s="47"/>
      <c r="H18" s="47"/>
      <c r="I18" s="47"/>
      <c r="J18" s="47"/>
    </row>
    <row r="19" spans="1:10" ht="32.25" customHeight="1" x14ac:dyDescent="0.25">
      <c r="A19" s="32" t="s">
        <v>140</v>
      </c>
      <c r="B19" s="32" t="s">
        <v>122</v>
      </c>
      <c r="C19" s="32" t="s">
        <v>141</v>
      </c>
      <c r="D19" s="32" t="s">
        <v>142</v>
      </c>
      <c r="E19" s="32" t="s">
        <v>143</v>
      </c>
      <c r="F19" s="32" t="s">
        <v>144</v>
      </c>
      <c r="G19" s="32"/>
      <c r="H19" s="32" t="s">
        <v>41</v>
      </c>
      <c r="I19" s="32"/>
      <c r="J19" s="32" t="s">
        <v>145</v>
      </c>
    </row>
  </sheetData>
  <mergeCells count="7">
    <mergeCell ref="A13:J13"/>
    <mergeCell ref="A18:J18"/>
    <mergeCell ref="A1:J1"/>
    <mergeCell ref="A2:J2"/>
    <mergeCell ref="A3:J3"/>
    <mergeCell ref="A4:J4"/>
    <mergeCell ref="A7:J7"/>
  </mergeCells>
  <dataValidations count="2">
    <dataValidation type="list" allowBlank="1" sqref="H8:H12 H14:H17 H19" xr:uid="{00000000-0002-0000-0200-000000000000}">
      <formula1>"Not Run,Pass,Fail,Blocked,Skip"</formula1>
      <formula2>0</formula2>
    </dataValidation>
    <dataValidation type="list" allowBlank="1" sqref="B8:B12 B14:B17 B19" xr:uid="{00000000-0002-0000-02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
  <sheetViews>
    <sheetView showGridLines="0" topLeftCell="D1" zoomScaleNormal="100" workbookViewId="0">
      <pane ySplit="6" topLeftCell="A13" activePane="bottomLeft" state="frozen"/>
      <selection pane="bottomLeft" activeCell="F17" sqref="F17"/>
    </sheetView>
  </sheetViews>
  <sheetFormatPr defaultColWidth="8.7109375" defaultRowHeight="15" x14ac:dyDescent="0.25"/>
  <cols>
    <col min="1" max="1" width="20" customWidth="1"/>
    <col min="2" max="2" width="9" customWidth="1"/>
    <col min="3" max="3" width="26" customWidth="1"/>
    <col min="4" max="4" width="34" customWidth="1"/>
    <col min="5" max="5" width="48" customWidth="1"/>
    <col min="6" max="6" width="44" customWidth="1"/>
    <col min="7" max="7" width="26" customWidth="1"/>
    <col min="8" max="8" width="12" customWidth="1"/>
    <col min="9" max="9" width="11" customWidth="1"/>
    <col min="10" max="10" width="30" customWidth="1"/>
  </cols>
  <sheetData>
    <row r="1" spans="1:10" ht="24" customHeight="1" x14ac:dyDescent="0.25">
      <c r="A1" s="42" t="s">
        <v>146</v>
      </c>
      <c r="B1" s="42"/>
      <c r="C1" s="42"/>
      <c r="D1" s="42"/>
      <c r="E1" s="42"/>
      <c r="F1" s="42"/>
      <c r="G1" s="42"/>
      <c r="H1" s="42"/>
      <c r="I1" s="42"/>
      <c r="J1" s="42"/>
    </row>
    <row r="2" spans="1:10" ht="15" customHeight="1" x14ac:dyDescent="0.25">
      <c r="A2" s="43" t="s">
        <v>147</v>
      </c>
      <c r="B2" s="43"/>
      <c r="C2" s="43"/>
      <c r="D2" s="43"/>
      <c r="E2" s="43"/>
      <c r="F2" s="43"/>
      <c r="G2" s="43"/>
      <c r="H2" s="43"/>
      <c r="I2" s="43"/>
      <c r="J2" s="43"/>
    </row>
    <row r="3" spans="1:10" ht="27.75" customHeight="1" x14ac:dyDescent="0.25">
      <c r="A3" s="44" t="s">
        <v>148</v>
      </c>
      <c r="B3" s="44"/>
      <c r="C3" s="44"/>
      <c r="D3" s="44"/>
      <c r="E3" s="44"/>
      <c r="F3" s="44"/>
      <c r="G3" s="44"/>
      <c r="H3" s="44"/>
      <c r="I3" s="44"/>
      <c r="J3" s="44"/>
    </row>
    <row r="4" spans="1:10" ht="15" customHeight="1" x14ac:dyDescent="0.25">
      <c r="A4" s="45" t="s">
        <v>83</v>
      </c>
      <c r="B4" s="45"/>
      <c r="C4" s="45"/>
      <c r="D4" s="45"/>
      <c r="E4" s="45"/>
      <c r="F4" s="45"/>
      <c r="G4" s="45"/>
      <c r="H4" s="45"/>
      <c r="I4" s="45"/>
      <c r="J4" s="45"/>
    </row>
    <row r="6" spans="1:10" ht="25.5" customHeight="1" x14ac:dyDescent="0.25">
      <c r="A6" s="27" t="s">
        <v>9</v>
      </c>
      <c r="B6" s="27" t="s">
        <v>11</v>
      </c>
      <c r="C6" s="27" t="s">
        <v>13</v>
      </c>
      <c r="D6" s="27" t="s">
        <v>15</v>
      </c>
      <c r="E6" s="27" t="s">
        <v>17</v>
      </c>
      <c r="F6" s="27" t="s">
        <v>19</v>
      </c>
      <c r="G6" s="27" t="s">
        <v>21</v>
      </c>
      <c r="H6" s="27" t="s">
        <v>23</v>
      </c>
      <c r="I6" s="27" t="s">
        <v>25</v>
      </c>
      <c r="J6" s="27" t="s">
        <v>27</v>
      </c>
    </row>
    <row r="7" spans="1:10" ht="18" customHeight="1" x14ac:dyDescent="0.25">
      <c r="A7" s="46" t="s">
        <v>149</v>
      </c>
      <c r="B7" s="46"/>
      <c r="C7" s="46"/>
      <c r="D7" s="46"/>
      <c r="E7" s="46"/>
      <c r="F7" s="46"/>
      <c r="G7" s="46"/>
      <c r="H7" s="46"/>
      <c r="I7" s="46"/>
      <c r="J7" s="46"/>
    </row>
    <row r="8" spans="1:10" ht="78.75" customHeight="1" x14ac:dyDescent="0.25">
      <c r="A8" s="28" t="s">
        <v>150</v>
      </c>
      <c r="B8" s="29" t="s">
        <v>64</v>
      </c>
      <c r="C8" s="30" t="s">
        <v>151</v>
      </c>
      <c r="D8" s="30" t="s">
        <v>152</v>
      </c>
      <c r="E8" s="30" t="s">
        <v>153</v>
      </c>
      <c r="F8" s="30" t="s">
        <v>154</v>
      </c>
      <c r="G8" s="31"/>
      <c r="H8" s="32" t="s">
        <v>41</v>
      </c>
      <c r="I8" s="30"/>
      <c r="J8" s="30" t="s">
        <v>155</v>
      </c>
    </row>
    <row r="9" spans="1:10" ht="66" customHeight="1" x14ac:dyDescent="0.25">
      <c r="A9" s="33" t="s">
        <v>156</v>
      </c>
      <c r="B9" s="29" t="s">
        <v>64</v>
      </c>
      <c r="C9" s="34" t="s">
        <v>157</v>
      </c>
      <c r="D9" s="34" t="s">
        <v>158</v>
      </c>
      <c r="E9" s="34" t="s">
        <v>159</v>
      </c>
      <c r="F9" s="34" t="s">
        <v>160</v>
      </c>
      <c r="G9" s="31"/>
      <c r="H9" s="32" t="s">
        <v>41</v>
      </c>
      <c r="I9" s="34"/>
      <c r="J9" s="34" t="s">
        <v>161</v>
      </c>
    </row>
    <row r="10" spans="1:10" ht="66" customHeight="1" x14ac:dyDescent="0.25">
      <c r="A10" s="28" t="s">
        <v>162</v>
      </c>
      <c r="B10" s="29" t="s">
        <v>64</v>
      </c>
      <c r="C10" s="30" t="s">
        <v>163</v>
      </c>
      <c r="D10" s="30" t="s">
        <v>164</v>
      </c>
      <c r="E10" s="30" t="s">
        <v>165</v>
      </c>
      <c r="F10" s="30" t="s">
        <v>166</v>
      </c>
      <c r="G10" s="31"/>
      <c r="H10" s="32" t="s">
        <v>41</v>
      </c>
      <c r="I10" s="30"/>
      <c r="J10" s="30" t="s">
        <v>410</v>
      </c>
    </row>
    <row r="11" spans="1:10" ht="91.5" customHeight="1" x14ac:dyDescent="0.25">
      <c r="A11" s="33" t="s">
        <v>167</v>
      </c>
      <c r="B11" s="29" t="s">
        <v>64</v>
      </c>
      <c r="C11" s="34" t="s">
        <v>168</v>
      </c>
      <c r="D11" s="34" t="s">
        <v>169</v>
      </c>
      <c r="E11" s="34" t="s">
        <v>170</v>
      </c>
      <c r="F11" s="34" t="s">
        <v>171</v>
      </c>
      <c r="G11" s="31"/>
      <c r="H11" s="32" t="s">
        <v>41</v>
      </c>
      <c r="I11" s="34"/>
      <c r="J11" s="34" t="s">
        <v>172</v>
      </c>
    </row>
    <row r="12" spans="1:10" ht="18" customHeight="1" x14ac:dyDescent="0.25">
      <c r="A12" s="46" t="s">
        <v>114</v>
      </c>
      <c r="B12" s="46"/>
      <c r="C12" s="46"/>
      <c r="D12" s="46"/>
      <c r="E12" s="46"/>
      <c r="F12" s="46"/>
      <c r="G12" s="46"/>
      <c r="H12" s="46"/>
      <c r="I12" s="46"/>
      <c r="J12" s="46"/>
    </row>
    <row r="13" spans="1:10" ht="66" customHeight="1" x14ac:dyDescent="0.25">
      <c r="A13" s="28" t="s">
        <v>173</v>
      </c>
      <c r="B13" s="29" t="s">
        <v>64</v>
      </c>
      <c r="C13" s="30" t="s">
        <v>174</v>
      </c>
      <c r="D13" s="30" t="s">
        <v>175</v>
      </c>
      <c r="E13" s="30" t="s">
        <v>176</v>
      </c>
      <c r="F13" s="30" t="s">
        <v>177</v>
      </c>
      <c r="G13" s="31"/>
      <c r="H13" s="32" t="s">
        <v>41</v>
      </c>
      <c r="I13" s="30"/>
      <c r="J13" s="30" t="s">
        <v>178</v>
      </c>
    </row>
    <row r="14" spans="1:10" ht="66" customHeight="1" x14ac:dyDescent="0.25">
      <c r="A14" s="33" t="s">
        <v>179</v>
      </c>
      <c r="B14" s="29" t="s">
        <v>64</v>
      </c>
      <c r="C14" s="34" t="s">
        <v>180</v>
      </c>
      <c r="D14" s="34" t="s">
        <v>181</v>
      </c>
      <c r="E14" s="34" t="s">
        <v>182</v>
      </c>
      <c r="F14" s="34" t="s">
        <v>183</v>
      </c>
      <c r="G14" s="31"/>
      <c r="H14" s="32" t="s">
        <v>41</v>
      </c>
      <c r="I14" s="34"/>
      <c r="J14" s="34" t="s">
        <v>411</v>
      </c>
    </row>
    <row r="15" spans="1:10" ht="66" customHeight="1" x14ac:dyDescent="0.25">
      <c r="A15" s="28" t="s">
        <v>184</v>
      </c>
      <c r="B15" s="29" t="s">
        <v>64</v>
      </c>
      <c r="C15" s="30" t="s">
        <v>185</v>
      </c>
      <c r="D15" s="30" t="s">
        <v>186</v>
      </c>
      <c r="E15" s="30" t="s">
        <v>187</v>
      </c>
      <c r="F15" s="30" t="s">
        <v>188</v>
      </c>
      <c r="G15" s="31"/>
      <c r="H15" s="32" t="s">
        <v>41</v>
      </c>
      <c r="I15" s="30"/>
      <c r="J15" s="30" t="s">
        <v>189</v>
      </c>
    </row>
    <row r="16" spans="1:10" ht="66" customHeight="1" x14ac:dyDescent="0.25">
      <c r="A16" s="33" t="s">
        <v>190</v>
      </c>
      <c r="B16" s="29" t="s">
        <v>122</v>
      </c>
      <c r="C16" s="34" t="s">
        <v>191</v>
      </c>
      <c r="D16" s="34" t="s">
        <v>192</v>
      </c>
      <c r="E16" s="34" t="s">
        <v>193</v>
      </c>
      <c r="F16" s="34" t="s">
        <v>194</v>
      </c>
      <c r="G16" s="31"/>
      <c r="H16" s="32" t="s">
        <v>41</v>
      </c>
      <c r="I16" s="34"/>
      <c r="J16" s="34" t="s">
        <v>195</v>
      </c>
    </row>
    <row r="17" spans="1:10" ht="82.5" customHeight="1" x14ac:dyDescent="0.25">
      <c r="A17" s="28" t="s">
        <v>196</v>
      </c>
      <c r="B17" s="29" t="s">
        <v>64</v>
      </c>
      <c r="C17" s="30" t="s">
        <v>197</v>
      </c>
      <c r="D17" s="30" t="s">
        <v>198</v>
      </c>
      <c r="E17" s="30" t="s">
        <v>199</v>
      </c>
      <c r="F17" s="30" t="s">
        <v>200</v>
      </c>
      <c r="G17" s="31"/>
      <c r="H17" s="32" t="s">
        <v>41</v>
      </c>
      <c r="I17" s="30"/>
      <c r="J17" s="30" t="s">
        <v>412</v>
      </c>
    </row>
    <row r="18" spans="1:10" ht="15" customHeight="1" x14ac:dyDescent="0.25">
      <c r="A18" s="47" t="s">
        <v>139</v>
      </c>
      <c r="B18" s="47"/>
      <c r="C18" s="47"/>
      <c r="D18" s="47"/>
      <c r="E18" s="47"/>
      <c r="F18" s="47"/>
      <c r="G18" s="47"/>
      <c r="H18" s="47"/>
      <c r="I18" s="47"/>
      <c r="J18" s="47"/>
    </row>
    <row r="19" spans="1:10" ht="32.25" customHeight="1" x14ac:dyDescent="0.25">
      <c r="A19" s="32" t="s">
        <v>201</v>
      </c>
      <c r="B19" s="32" t="s">
        <v>122</v>
      </c>
      <c r="C19" s="32" t="s">
        <v>141</v>
      </c>
      <c r="D19" s="32" t="s">
        <v>142</v>
      </c>
      <c r="E19" s="32" t="s">
        <v>143</v>
      </c>
      <c r="F19" s="32" t="s">
        <v>144</v>
      </c>
      <c r="G19" s="32"/>
      <c r="H19" s="32" t="s">
        <v>41</v>
      </c>
      <c r="I19" s="32"/>
      <c r="J19" s="32" t="s">
        <v>145</v>
      </c>
    </row>
  </sheetData>
  <mergeCells count="7">
    <mergeCell ref="A12:J12"/>
    <mergeCell ref="A18:J18"/>
    <mergeCell ref="A1:J1"/>
    <mergeCell ref="A2:J2"/>
    <mergeCell ref="A3:J3"/>
    <mergeCell ref="A4:J4"/>
    <mergeCell ref="A7:J7"/>
  </mergeCells>
  <dataValidations count="2">
    <dataValidation type="list" allowBlank="1" sqref="H8:H11 H13:H17 H19" xr:uid="{00000000-0002-0000-0300-000000000000}">
      <formula1>"Not Run,Pass,Fail,Blocked,Skip"</formula1>
      <formula2>0</formula2>
    </dataValidation>
    <dataValidation type="list" allowBlank="1" sqref="B8:B11 B13:B17 B19" xr:uid="{00000000-0002-0000-03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
  <sheetViews>
    <sheetView showGridLines="0" topLeftCell="E1" zoomScaleNormal="100" workbookViewId="0">
      <pane ySplit="6" topLeftCell="A7" activePane="bottomLeft" state="frozen"/>
      <selection pane="bottomLeft" activeCell="F21" activeCellId="1" sqref="H24 F21"/>
    </sheetView>
  </sheetViews>
  <sheetFormatPr defaultColWidth="8.7109375" defaultRowHeight="15" x14ac:dyDescent="0.25"/>
  <cols>
    <col min="1" max="1" width="20" customWidth="1"/>
    <col min="2" max="2" width="9" customWidth="1"/>
    <col min="3" max="3" width="26" customWidth="1"/>
    <col min="4" max="4" width="34" customWidth="1"/>
    <col min="5" max="5" width="48" customWidth="1"/>
    <col min="6" max="6" width="44" customWidth="1"/>
    <col min="7" max="7" width="26" customWidth="1"/>
    <col min="8" max="8" width="12" customWidth="1"/>
    <col min="9" max="9" width="11" customWidth="1"/>
    <col min="10" max="10" width="30" customWidth="1"/>
  </cols>
  <sheetData>
    <row r="1" spans="1:10" ht="24" customHeight="1" x14ac:dyDescent="0.25">
      <c r="A1" s="42" t="s">
        <v>202</v>
      </c>
      <c r="B1" s="42"/>
      <c r="C1" s="42"/>
      <c r="D1" s="42"/>
      <c r="E1" s="42"/>
      <c r="F1" s="42"/>
      <c r="G1" s="42"/>
      <c r="H1" s="42"/>
      <c r="I1" s="42"/>
      <c r="J1" s="42"/>
    </row>
    <row r="2" spans="1:10" ht="15" customHeight="1" x14ac:dyDescent="0.25">
      <c r="A2" s="43" t="s">
        <v>203</v>
      </c>
      <c r="B2" s="43"/>
      <c r="C2" s="43"/>
      <c r="D2" s="43"/>
      <c r="E2" s="43"/>
      <c r="F2" s="43"/>
      <c r="G2" s="43"/>
      <c r="H2" s="43"/>
      <c r="I2" s="43"/>
      <c r="J2" s="43"/>
    </row>
    <row r="3" spans="1:10" ht="27.75" customHeight="1" x14ac:dyDescent="0.25">
      <c r="A3" s="44" t="s">
        <v>204</v>
      </c>
      <c r="B3" s="44"/>
      <c r="C3" s="44"/>
      <c r="D3" s="44"/>
      <c r="E3" s="44"/>
      <c r="F3" s="44"/>
      <c r="G3" s="44"/>
      <c r="H3" s="44"/>
      <c r="I3" s="44"/>
      <c r="J3" s="44"/>
    </row>
    <row r="4" spans="1:10" ht="15" customHeight="1" x14ac:dyDescent="0.25">
      <c r="A4" s="45" t="s">
        <v>83</v>
      </c>
      <c r="B4" s="45"/>
      <c r="C4" s="45"/>
      <c r="D4" s="45"/>
      <c r="E4" s="45"/>
      <c r="F4" s="45"/>
      <c r="G4" s="45"/>
      <c r="H4" s="45"/>
      <c r="I4" s="45"/>
      <c r="J4" s="45"/>
    </row>
    <row r="6" spans="1:10" ht="25.5" customHeight="1" x14ac:dyDescent="0.25">
      <c r="A6" s="27" t="s">
        <v>9</v>
      </c>
      <c r="B6" s="27" t="s">
        <v>11</v>
      </c>
      <c r="C6" s="27" t="s">
        <v>13</v>
      </c>
      <c r="D6" s="27" t="s">
        <v>15</v>
      </c>
      <c r="E6" s="27" t="s">
        <v>17</v>
      </c>
      <c r="F6" s="27" t="s">
        <v>19</v>
      </c>
      <c r="G6" s="27" t="s">
        <v>21</v>
      </c>
      <c r="H6" s="27" t="s">
        <v>23</v>
      </c>
      <c r="I6" s="27" t="s">
        <v>25</v>
      </c>
      <c r="J6" s="27" t="s">
        <v>27</v>
      </c>
    </row>
    <row r="7" spans="1:10" ht="18" customHeight="1" x14ac:dyDescent="0.25">
      <c r="A7" s="46" t="s">
        <v>205</v>
      </c>
      <c r="B7" s="46"/>
      <c r="C7" s="46"/>
      <c r="D7" s="46"/>
      <c r="E7" s="46"/>
      <c r="F7" s="46"/>
      <c r="G7" s="46"/>
      <c r="H7" s="46"/>
      <c r="I7" s="46"/>
      <c r="J7" s="46"/>
    </row>
    <row r="8" spans="1:10" ht="66" customHeight="1" x14ac:dyDescent="0.25">
      <c r="A8" s="28" t="s">
        <v>206</v>
      </c>
      <c r="B8" s="29" t="s">
        <v>64</v>
      </c>
      <c r="C8" s="30" t="s">
        <v>207</v>
      </c>
      <c r="D8" s="30" t="s">
        <v>208</v>
      </c>
      <c r="E8" s="30" t="s">
        <v>209</v>
      </c>
      <c r="F8" s="30" t="s">
        <v>210</v>
      </c>
      <c r="G8" s="31"/>
      <c r="H8" s="32" t="s">
        <v>41</v>
      </c>
      <c r="I8" s="30"/>
      <c r="J8" s="35" t="s">
        <v>413</v>
      </c>
    </row>
    <row r="9" spans="1:10" ht="78.75" customHeight="1" x14ac:dyDescent="0.25">
      <c r="A9" s="33" t="s">
        <v>211</v>
      </c>
      <c r="B9" s="29" t="s">
        <v>64</v>
      </c>
      <c r="C9" s="34" t="s">
        <v>212</v>
      </c>
      <c r="D9" s="34" t="s">
        <v>213</v>
      </c>
      <c r="E9" s="34" t="s">
        <v>214</v>
      </c>
      <c r="F9" s="34" t="s">
        <v>215</v>
      </c>
      <c r="G9" s="31"/>
      <c r="H9" s="32" t="s">
        <v>41</v>
      </c>
      <c r="I9" s="34"/>
      <c r="J9" s="36" t="s">
        <v>414</v>
      </c>
    </row>
    <row r="10" spans="1:10" ht="66" customHeight="1" x14ac:dyDescent="0.25">
      <c r="A10" s="28" t="s">
        <v>216</v>
      </c>
      <c r="B10" s="29" t="s">
        <v>64</v>
      </c>
      <c r="C10" s="30" t="s">
        <v>217</v>
      </c>
      <c r="D10" s="30" t="s">
        <v>218</v>
      </c>
      <c r="E10" s="30" t="s">
        <v>219</v>
      </c>
      <c r="F10" s="30" t="s">
        <v>220</v>
      </c>
      <c r="G10" s="31"/>
      <c r="H10" s="32" t="s">
        <v>41</v>
      </c>
      <c r="I10" s="30"/>
      <c r="J10" s="35" t="s">
        <v>415</v>
      </c>
    </row>
    <row r="11" spans="1:10" ht="18" customHeight="1" x14ac:dyDescent="0.25">
      <c r="A11" s="46" t="s">
        <v>114</v>
      </c>
      <c r="B11" s="46"/>
      <c r="C11" s="46"/>
      <c r="D11" s="46"/>
      <c r="E11" s="46"/>
      <c r="F11" s="46"/>
      <c r="G11" s="46"/>
      <c r="H11" s="46"/>
      <c r="I11" s="46"/>
      <c r="J11" s="46"/>
    </row>
    <row r="12" spans="1:10" ht="57.75" customHeight="1" x14ac:dyDescent="0.25">
      <c r="A12" s="28" t="s">
        <v>221</v>
      </c>
      <c r="B12" s="29" t="s">
        <v>64</v>
      </c>
      <c r="C12" s="30" t="s">
        <v>222</v>
      </c>
      <c r="D12" s="30" t="s">
        <v>223</v>
      </c>
      <c r="E12" s="30" t="s">
        <v>224</v>
      </c>
      <c r="F12" s="30" t="s">
        <v>225</v>
      </c>
      <c r="G12" s="31"/>
      <c r="H12" s="32" t="s">
        <v>41</v>
      </c>
      <c r="I12" s="30"/>
      <c r="J12" s="35" t="s">
        <v>226</v>
      </c>
    </row>
    <row r="13" spans="1:10" ht="57.75" customHeight="1" x14ac:dyDescent="0.25">
      <c r="A13" s="33" t="s">
        <v>227</v>
      </c>
      <c r="B13" s="29" t="s">
        <v>64</v>
      </c>
      <c r="C13" s="34" t="s">
        <v>228</v>
      </c>
      <c r="D13" s="34" t="s">
        <v>229</v>
      </c>
      <c r="E13" s="34" t="s">
        <v>230</v>
      </c>
      <c r="F13" s="34" t="s">
        <v>231</v>
      </c>
      <c r="G13" s="31"/>
      <c r="H13" s="32" t="s">
        <v>41</v>
      </c>
      <c r="I13" s="34"/>
      <c r="J13" s="36" t="s">
        <v>416</v>
      </c>
    </row>
    <row r="14" spans="1:10" ht="78.75" customHeight="1" x14ac:dyDescent="0.25">
      <c r="A14" s="28" t="s">
        <v>232</v>
      </c>
      <c r="B14" s="29" t="s">
        <v>64</v>
      </c>
      <c r="C14" s="30" t="s">
        <v>233</v>
      </c>
      <c r="D14" s="30" t="s">
        <v>234</v>
      </c>
      <c r="E14" s="30" t="s">
        <v>235</v>
      </c>
      <c r="F14" s="30" t="s">
        <v>236</v>
      </c>
      <c r="G14" s="31"/>
      <c r="H14" s="32" t="s">
        <v>41</v>
      </c>
      <c r="I14" s="30"/>
      <c r="J14" s="35" t="s">
        <v>417</v>
      </c>
    </row>
    <row r="15" spans="1:10" ht="91.5" customHeight="1" x14ac:dyDescent="0.25">
      <c r="A15" s="33" t="s">
        <v>237</v>
      </c>
      <c r="B15" s="29" t="s">
        <v>122</v>
      </c>
      <c r="C15" s="34" t="s">
        <v>238</v>
      </c>
      <c r="D15" s="34" t="s">
        <v>239</v>
      </c>
      <c r="E15" s="34" t="s">
        <v>240</v>
      </c>
      <c r="F15" s="34" t="s">
        <v>241</v>
      </c>
      <c r="G15" s="31"/>
      <c r="H15" s="32" t="s">
        <v>41</v>
      </c>
      <c r="I15" s="34"/>
      <c r="J15" s="36" t="s">
        <v>418</v>
      </c>
    </row>
    <row r="16" spans="1:10" ht="15" customHeight="1" x14ac:dyDescent="0.25">
      <c r="A16" s="47" t="s">
        <v>139</v>
      </c>
      <c r="B16" s="47"/>
      <c r="C16" s="47"/>
      <c r="D16" s="47"/>
      <c r="E16" s="47"/>
      <c r="F16" s="47"/>
      <c r="G16" s="47"/>
      <c r="H16" s="47"/>
      <c r="I16" s="47"/>
      <c r="J16" s="47"/>
    </row>
    <row r="17" spans="1:10" ht="32.25" customHeight="1" x14ac:dyDescent="0.25">
      <c r="A17" s="32" t="s">
        <v>242</v>
      </c>
      <c r="B17" s="32" t="s">
        <v>122</v>
      </c>
      <c r="C17" s="32" t="s">
        <v>141</v>
      </c>
      <c r="D17" s="32" t="s">
        <v>142</v>
      </c>
      <c r="E17" s="32" t="s">
        <v>143</v>
      </c>
      <c r="F17" s="32" t="s">
        <v>144</v>
      </c>
      <c r="G17" s="32"/>
      <c r="H17" s="32" t="s">
        <v>41</v>
      </c>
      <c r="I17" s="32"/>
      <c r="J17" s="32" t="s">
        <v>145</v>
      </c>
    </row>
    <row r="18" spans="1:10" ht="15" customHeight="1" x14ac:dyDescent="0.25">
      <c r="A18" s="46" t="s">
        <v>243</v>
      </c>
      <c r="B18" s="46"/>
      <c r="C18" s="46"/>
      <c r="D18" s="46"/>
      <c r="E18" s="46"/>
      <c r="F18" s="46"/>
      <c r="G18" s="46"/>
      <c r="H18" s="46"/>
      <c r="I18" s="46"/>
      <c r="J18" s="46"/>
    </row>
    <row r="19" spans="1:10" ht="78.75" customHeight="1" x14ac:dyDescent="0.25">
      <c r="A19" s="28" t="s">
        <v>244</v>
      </c>
      <c r="B19" s="29" t="s">
        <v>64</v>
      </c>
      <c r="C19" s="30" t="s">
        <v>245</v>
      </c>
      <c r="D19" s="30" t="s">
        <v>246</v>
      </c>
      <c r="E19" s="30" t="s">
        <v>247</v>
      </c>
      <c r="F19" s="30" t="s">
        <v>248</v>
      </c>
      <c r="G19" s="31"/>
      <c r="H19" s="32" t="s">
        <v>41</v>
      </c>
      <c r="I19" s="30"/>
      <c r="J19" s="35" t="s">
        <v>419</v>
      </c>
    </row>
    <row r="20" spans="1:10" ht="78.75" customHeight="1" x14ac:dyDescent="0.25">
      <c r="A20" s="33" t="s">
        <v>249</v>
      </c>
      <c r="B20" s="29" t="s">
        <v>64</v>
      </c>
      <c r="C20" s="34" t="s">
        <v>250</v>
      </c>
      <c r="D20" s="34" t="s">
        <v>251</v>
      </c>
      <c r="E20" s="34" t="s">
        <v>252</v>
      </c>
      <c r="F20" s="34" t="s">
        <v>253</v>
      </c>
      <c r="G20" s="31"/>
      <c r="H20" s="32" t="s">
        <v>41</v>
      </c>
      <c r="I20" s="34"/>
      <c r="J20" s="36" t="s">
        <v>420</v>
      </c>
    </row>
    <row r="21" spans="1:10" ht="57.75" customHeight="1" x14ac:dyDescent="0.25">
      <c r="A21" s="28" t="s">
        <v>254</v>
      </c>
      <c r="B21" s="29" t="s">
        <v>122</v>
      </c>
      <c r="C21" s="30" t="s">
        <v>255</v>
      </c>
      <c r="D21" s="30" t="s">
        <v>256</v>
      </c>
      <c r="E21" s="30" t="s">
        <v>257</v>
      </c>
      <c r="F21" s="30" t="s">
        <v>258</v>
      </c>
      <c r="G21" s="31"/>
      <c r="H21" s="32" t="s">
        <v>41</v>
      </c>
      <c r="I21" s="30"/>
      <c r="J21" s="35" t="s">
        <v>421</v>
      </c>
    </row>
    <row r="22" spans="1:10" ht="69.75" customHeight="1" x14ac:dyDescent="0.25">
      <c r="A22" s="33" t="s">
        <v>259</v>
      </c>
      <c r="B22" s="29" t="s">
        <v>122</v>
      </c>
      <c r="C22" s="34" t="s">
        <v>260</v>
      </c>
      <c r="D22" s="34" t="s">
        <v>261</v>
      </c>
      <c r="E22" s="34" t="s">
        <v>262</v>
      </c>
      <c r="F22" s="34" t="s">
        <v>263</v>
      </c>
      <c r="G22" s="31"/>
      <c r="H22" s="32" t="s">
        <v>41</v>
      </c>
      <c r="I22" s="34"/>
      <c r="J22" s="36" t="s">
        <v>422</v>
      </c>
    </row>
  </sheetData>
  <mergeCells count="8">
    <mergeCell ref="A11:J11"/>
    <mergeCell ref="A16:J16"/>
    <mergeCell ref="A18:J18"/>
    <mergeCell ref="A1:J1"/>
    <mergeCell ref="A2:J2"/>
    <mergeCell ref="A3:J3"/>
    <mergeCell ref="A4:J4"/>
    <mergeCell ref="A7:J7"/>
  </mergeCells>
  <dataValidations count="2">
    <dataValidation type="list" allowBlank="1" sqref="H8:H10 H12:H15 H17 H19:H22" xr:uid="{00000000-0002-0000-0400-000000000000}">
      <formula1>"Not Run,Pass,Fail,Blocked,Skip"</formula1>
      <formula2>0</formula2>
    </dataValidation>
    <dataValidation type="list" allowBlank="1" sqref="B8:B10 B12:B15 B17 B19:B22" xr:uid="{00000000-0002-0000-04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
  <sheetViews>
    <sheetView showGridLines="0" topLeftCell="D1" zoomScaleNormal="100" workbookViewId="0">
      <pane ySplit="6" topLeftCell="A13" activePane="bottomLeft" state="frozen"/>
      <selection pane="bottomLeft" activeCell="F20" sqref="F20"/>
    </sheetView>
  </sheetViews>
  <sheetFormatPr defaultColWidth="8.7109375" defaultRowHeight="15" x14ac:dyDescent="0.25"/>
  <cols>
    <col min="1" max="1" width="20" customWidth="1"/>
    <col min="2" max="2" width="9" customWidth="1"/>
    <col min="3" max="3" width="26" customWidth="1"/>
    <col min="4" max="4" width="34" customWidth="1"/>
    <col min="5" max="5" width="48" customWidth="1"/>
    <col min="6" max="6" width="44" customWidth="1"/>
    <col min="7" max="7" width="26" customWidth="1"/>
    <col min="8" max="8" width="12" customWidth="1"/>
    <col min="9" max="9" width="11" customWidth="1"/>
    <col min="10" max="10" width="30" customWidth="1"/>
  </cols>
  <sheetData>
    <row r="1" spans="1:10" ht="24" customHeight="1" x14ac:dyDescent="0.25">
      <c r="A1" s="42" t="s">
        <v>264</v>
      </c>
      <c r="B1" s="42"/>
      <c r="C1" s="42"/>
      <c r="D1" s="42"/>
      <c r="E1" s="42"/>
      <c r="F1" s="42"/>
      <c r="G1" s="42"/>
      <c r="H1" s="42"/>
      <c r="I1" s="42"/>
      <c r="J1" s="42"/>
    </row>
    <row r="2" spans="1:10" ht="15" customHeight="1" x14ac:dyDescent="0.25">
      <c r="A2" s="43" t="s">
        <v>265</v>
      </c>
      <c r="B2" s="43"/>
      <c r="C2" s="43"/>
      <c r="D2" s="43"/>
      <c r="E2" s="43"/>
      <c r="F2" s="43"/>
      <c r="G2" s="43"/>
      <c r="H2" s="43"/>
      <c r="I2" s="43"/>
      <c r="J2" s="43"/>
    </row>
    <row r="3" spans="1:10" ht="27.75" customHeight="1" x14ac:dyDescent="0.25">
      <c r="A3" s="44" t="s">
        <v>266</v>
      </c>
      <c r="B3" s="44"/>
      <c r="C3" s="44"/>
      <c r="D3" s="44"/>
      <c r="E3" s="44"/>
      <c r="F3" s="44"/>
      <c r="G3" s="44"/>
      <c r="H3" s="44"/>
      <c r="I3" s="44"/>
      <c r="J3" s="44"/>
    </row>
    <row r="4" spans="1:10" ht="15" customHeight="1" x14ac:dyDescent="0.25">
      <c r="A4" s="45" t="s">
        <v>83</v>
      </c>
      <c r="B4" s="45"/>
      <c r="C4" s="45"/>
      <c r="D4" s="45"/>
      <c r="E4" s="45"/>
      <c r="F4" s="45"/>
      <c r="G4" s="45"/>
      <c r="H4" s="45"/>
      <c r="I4" s="45"/>
      <c r="J4" s="45"/>
    </row>
    <row r="6" spans="1:10" ht="25.5" customHeight="1" x14ac:dyDescent="0.25">
      <c r="A6" s="27" t="s">
        <v>9</v>
      </c>
      <c r="B6" s="27" t="s">
        <v>11</v>
      </c>
      <c r="C6" s="27" t="s">
        <v>13</v>
      </c>
      <c r="D6" s="27" t="s">
        <v>15</v>
      </c>
      <c r="E6" s="27" t="s">
        <v>17</v>
      </c>
      <c r="F6" s="27" t="s">
        <v>19</v>
      </c>
      <c r="G6" s="27" t="s">
        <v>21</v>
      </c>
      <c r="H6" s="27" t="s">
        <v>23</v>
      </c>
      <c r="I6" s="27" t="s">
        <v>25</v>
      </c>
      <c r="J6" s="27" t="s">
        <v>27</v>
      </c>
    </row>
    <row r="7" spans="1:10" ht="18" customHeight="1" x14ac:dyDescent="0.25">
      <c r="A7" s="46" t="s">
        <v>267</v>
      </c>
      <c r="B7" s="46"/>
      <c r="C7" s="46"/>
      <c r="D7" s="46"/>
      <c r="E7" s="46"/>
      <c r="F7" s="46"/>
      <c r="G7" s="46"/>
      <c r="H7" s="46"/>
      <c r="I7" s="46"/>
      <c r="J7" s="46"/>
    </row>
    <row r="8" spans="1:10" ht="91.5" customHeight="1" x14ac:dyDescent="0.25">
      <c r="A8" s="28" t="s">
        <v>268</v>
      </c>
      <c r="B8" s="29" t="s">
        <v>64</v>
      </c>
      <c r="C8" s="30" t="s">
        <v>269</v>
      </c>
      <c r="D8" s="30" t="s">
        <v>270</v>
      </c>
      <c r="E8" s="30" t="s">
        <v>271</v>
      </c>
      <c r="F8" s="30" t="s">
        <v>272</v>
      </c>
      <c r="G8" s="31"/>
      <c r="H8" s="32" t="s">
        <v>41</v>
      </c>
      <c r="I8" s="30"/>
      <c r="J8" s="35" t="s">
        <v>423</v>
      </c>
    </row>
    <row r="9" spans="1:10" ht="66" customHeight="1" x14ac:dyDescent="0.25">
      <c r="A9" s="33" t="s">
        <v>273</v>
      </c>
      <c r="B9" s="29" t="s">
        <v>64</v>
      </c>
      <c r="C9" s="34" t="s">
        <v>274</v>
      </c>
      <c r="D9" s="34" t="s">
        <v>275</v>
      </c>
      <c r="E9" s="34" t="s">
        <v>276</v>
      </c>
      <c r="F9" s="34" t="s">
        <v>277</v>
      </c>
      <c r="G9" s="31"/>
      <c r="H9" s="32" t="s">
        <v>41</v>
      </c>
      <c r="I9" s="34"/>
      <c r="J9" s="34" t="s">
        <v>278</v>
      </c>
    </row>
    <row r="10" spans="1:10" ht="66" customHeight="1" x14ac:dyDescent="0.25">
      <c r="A10" s="28" t="s">
        <v>279</v>
      </c>
      <c r="B10" s="29" t="s">
        <v>64</v>
      </c>
      <c r="C10" s="30" t="s">
        <v>280</v>
      </c>
      <c r="D10" s="30" t="s">
        <v>281</v>
      </c>
      <c r="E10" s="30" t="s">
        <v>282</v>
      </c>
      <c r="F10" s="30" t="s">
        <v>283</v>
      </c>
      <c r="G10" s="31"/>
      <c r="H10" s="32" t="s">
        <v>41</v>
      </c>
      <c r="I10" s="30"/>
      <c r="J10" s="35" t="s">
        <v>424</v>
      </c>
    </row>
    <row r="11" spans="1:10" ht="18" customHeight="1" x14ac:dyDescent="0.25">
      <c r="A11" s="46" t="s">
        <v>114</v>
      </c>
      <c r="B11" s="46"/>
      <c r="C11" s="46"/>
      <c r="D11" s="46"/>
      <c r="E11" s="46"/>
      <c r="F11" s="46"/>
      <c r="G11" s="46"/>
      <c r="H11" s="46"/>
      <c r="I11" s="46"/>
      <c r="J11" s="46"/>
    </row>
    <row r="12" spans="1:10" ht="66" customHeight="1" x14ac:dyDescent="0.25">
      <c r="A12" s="28" t="s">
        <v>284</v>
      </c>
      <c r="B12" s="29" t="s">
        <v>64</v>
      </c>
      <c r="C12" s="30" t="s">
        <v>285</v>
      </c>
      <c r="D12" s="30" t="s">
        <v>286</v>
      </c>
      <c r="E12" s="30" t="s">
        <v>287</v>
      </c>
      <c r="F12" s="30" t="s">
        <v>288</v>
      </c>
      <c r="G12" s="31"/>
      <c r="H12" s="32" t="s">
        <v>41</v>
      </c>
      <c r="I12" s="30"/>
      <c r="J12" s="35" t="s">
        <v>289</v>
      </c>
    </row>
    <row r="13" spans="1:10" ht="57.75" customHeight="1" x14ac:dyDescent="0.25">
      <c r="A13" s="33" t="s">
        <v>290</v>
      </c>
      <c r="B13" s="29" t="s">
        <v>64</v>
      </c>
      <c r="C13" s="34" t="s">
        <v>291</v>
      </c>
      <c r="D13" s="34" t="s">
        <v>292</v>
      </c>
      <c r="E13" s="34" t="s">
        <v>293</v>
      </c>
      <c r="F13" s="34" t="s">
        <v>294</v>
      </c>
      <c r="G13" s="31"/>
      <c r="H13" s="32" t="s">
        <v>41</v>
      </c>
      <c r="I13" s="34"/>
      <c r="J13" s="34" t="s">
        <v>425</v>
      </c>
    </row>
    <row r="14" spans="1:10" ht="57.75" customHeight="1" x14ac:dyDescent="0.25">
      <c r="A14" s="28" t="s">
        <v>295</v>
      </c>
      <c r="B14" s="29" t="s">
        <v>122</v>
      </c>
      <c r="C14" s="30" t="s">
        <v>296</v>
      </c>
      <c r="D14" s="30" t="s">
        <v>297</v>
      </c>
      <c r="E14" s="30" t="s">
        <v>298</v>
      </c>
      <c r="F14" s="30" t="s">
        <v>299</v>
      </c>
      <c r="G14" s="31"/>
      <c r="H14" s="32" t="s">
        <v>41</v>
      </c>
      <c r="I14" s="30"/>
      <c r="J14" s="35" t="s">
        <v>426</v>
      </c>
    </row>
    <row r="15" spans="1:10" ht="15" customHeight="1" x14ac:dyDescent="0.25">
      <c r="A15" s="47" t="s">
        <v>139</v>
      </c>
      <c r="B15" s="47"/>
      <c r="C15" s="47"/>
      <c r="D15" s="47"/>
      <c r="E15" s="47"/>
      <c r="F15" s="47"/>
      <c r="G15" s="47"/>
      <c r="H15" s="47"/>
      <c r="I15" s="47"/>
      <c r="J15" s="47"/>
    </row>
    <row r="16" spans="1:10" ht="32.25" customHeight="1" x14ac:dyDescent="0.25">
      <c r="A16" s="32" t="s">
        <v>300</v>
      </c>
      <c r="B16" s="32" t="s">
        <v>122</v>
      </c>
      <c r="C16" s="32" t="s">
        <v>141</v>
      </c>
      <c r="D16" s="32" t="s">
        <v>142</v>
      </c>
      <c r="E16" s="32" t="s">
        <v>143</v>
      </c>
      <c r="F16" s="32" t="s">
        <v>144</v>
      </c>
      <c r="G16" s="32"/>
      <c r="H16" s="32" t="s">
        <v>41</v>
      </c>
      <c r="I16" s="32"/>
      <c r="J16" s="32" t="s">
        <v>145</v>
      </c>
    </row>
    <row r="17" spans="1:10" ht="15" customHeight="1" x14ac:dyDescent="0.25">
      <c r="A17" s="46" t="s">
        <v>301</v>
      </c>
      <c r="B17" s="46"/>
      <c r="C17" s="46"/>
      <c r="D17" s="46"/>
      <c r="E17" s="46"/>
      <c r="F17" s="46"/>
      <c r="G17" s="46"/>
      <c r="H17" s="46"/>
      <c r="I17" s="46"/>
      <c r="J17" s="46"/>
    </row>
    <row r="18" spans="1:10" ht="78.75" customHeight="1" x14ac:dyDescent="0.25">
      <c r="A18" s="28" t="s">
        <v>302</v>
      </c>
      <c r="B18" s="29" t="s">
        <v>64</v>
      </c>
      <c r="C18" s="30" t="s">
        <v>303</v>
      </c>
      <c r="D18" s="30" t="s">
        <v>304</v>
      </c>
      <c r="E18" s="30" t="s">
        <v>305</v>
      </c>
      <c r="F18" s="30" t="s">
        <v>306</v>
      </c>
      <c r="G18" s="31"/>
      <c r="H18" s="32" t="s">
        <v>41</v>
      </c>
      <c r="I18" s="30"/>
      <c r="J18" s="35" t="s">
        <v>427</v>
      </c>
    </row>
    <row r="19" spans="1:10" ht="66" customHeight="1" x14ac:dyDescent="0.25">
      <c r="A19" s="33" t="s">
        <v>307</v>
      </c>
      <c r="B19" s="29" t="s">
        <v>64</v>
      </c>
      <c r="C19" s="34" t="s">
        <v>308</v>
      </c>
      <c r="D19" s="34" t="s">
        <v>309</v>
      </c>
      <c r="E19" s="34" t="s">
        <v>310</v>
      </c>
      <c r="F19" s="34" t="s">
        <v>311</v>
      </c>
      <c r="G19" s="31"/>
      <c r="H19" s="32" t="s">
        <v>41</v>
      </c>
      <c r="I19" s="34"/>
      <c r="J19" s="34" t="s">
        <v>428</v>
      </c>
    </row>
    <row r="20" spans="1:10" ht="66" customHeight="1" x14ac:dyDescent="0.25"/>
  </sheetData>
  <mergeCells count="8">
    <mergeCell ref="A11:J11"/>
    <mergeCell ref="A15:J15"/>
    <mergeCell ref="A17:J17"/>
    <mergeCell ref="A1:J1"/>
    <mergeCell ref="A2:J2"/>
    <mergeCell ref="A3:J3"/>
    <mergeCell ref="A4:J4"/>
    <mergeCell ref="A7:J7"/>
  </mergeCells>
  <dataValidations count="2">
    <dataValidation type="list" allowBlank="1" sqref="H8:H10 H12:H14 H16 H18:H19" xr:uid="{00000000-0002-0000-0500-000000000000}">
      <formula1>"Not Run,Pass,Fail,Blocked,Skip"</formula1>
      <formula2>0</formula2>
    </dataValidation>
    <dataValidation type="list" allowBlank="1" sqref="B8:B10 B12:B14 B16 B18:B19" xr:uid="{00000000-0002-0000-05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7"/>
  <sheetViews>
    <sheetView showGridLines="0" zoomScaleNormal="100" workbookViewId="0">
      <pane ySplit="6" topLeftCell="A7" activePane="bottomLeft" state="frozen"/>
      <selection pane="bottomLeft" activeCell="D11" sqref="D11"/>
    </sheetView>
  </sheetViews>
  <sheetFormatPr defaultColWidth="8.7109375" defaultRowHeight="15" x14ac:dyDescent="0.25"/>
  <cols>
    <col min="1" max="1" width="20" customWidth="1"/>
    <col min="2" max="2" width="9" customWidth="1"/>
    <col min="3" max="3" width="26" customWidth="1"/>
    <col min="4" max="4" width="34" customWidth="1"/>
    <col min="5" max="5" width="48" customWidth="1"/>
    <col min="6" max="6" width="44" customWidth="1"/>
    <col min="7" max="7" width="26" customWidth="1"/>
    <col min="8" max="8" width="12" customWidth="1"/>
    <col min="9" max="9" width="11" customWidth="1"/>
    <col min="10" max="10" width="30" customWidth="1"/>
  </cols>
  <sheetData>
    <row r="1" spans="1:10" ht="24" customHeight="1" x14ac:dyDescent="0.25">
      <c r="A1" s="42" t="s">
        <v>312</v>
      </c>
      <c r="B1" s="42"/>
      <c r="C1" s="42"/>
      <c r="D1" s="42"/>
      <c r="E1" s="42"/>
      <c r="F1" s="42"/>
      <c r="G1" s="42"/>
      <c r="H1" s="42"/>
      <c r="I1" s="42"/>
      <c r="J1" s="42"/>
    </row>
    <row r="2" spans="1:10" ht="15" customHeight="1" x14ac:dyDescent="0.25">
      <c r="A2" s="43" t="s">
        <v>313</v>
      </c>
      <c r="B2" s="43"/>
      <c r="C2" s="43"/>
      <c r="D2" s="43"/>
      <c r="E2" s="43"/>
      <c r="F2" s="43"/>
      <c r="G2" s="43"/>
      <c r="H2" s="43"/>
      <c r="I2" s="43"/>
      <c r="J2" s="43"/>
    </row>
    <row r="3" spans="1:10" ht="27.75" customHeight="1" x14ac:dyDescent="0.25">
      <c r="A3" s="44" t="s">
        <v>314</v>
      </c>
      <c r="B3" s="44"/>
      <c r="C3" s="44"/>
      <c r="D3" s="44"/>
      <c r="E3" s="44"/>
      <c r="F3" s="44"/>
      <c r="G3" s="44"/>
      <c r="H3" s="44"/>
      <c r="I3" s="44"/>
      <c r="J3" s="44"/>
    </row>
    <row r="4" spans="1:10" ht="15" customHeight="1" x14ac:dyDescent="0.25">
      <c r="A4" s="45" t="s">
        <v>83</v>
      </c>
      <c r="B4" s="45"/>
      <c r="C4" s="45"/>
      <c r="D4" s="45"/>
      <c r="E4" s="45"/>
      <c r="F4" s="45"/>
      <c r="G4" s="45"/>
      <c r="H4" s="45"/>
      <c r="I4" s="45"/>
      <c r="J4" s="45"/>
    </row>
    <row r="6" spans="1:10" ht="25.5" customHeight="1" x14ac:dyDescent="0.25">
      <c r="A6" s="27" t="s">
        <v>9</v>
      </c>
      <c r="B6" s="27" t="s">
        <v>11</v>
      </c>
      <c r="C6" s="27" t="s">
        <v>13</v>
      </c>
      <c r="D6" s="27" t="s">
        <v>15</v>
      </c>
      <c r="E6" s="27" t="s">
        <v>17</v>
      </c>
      <c r="F6" s="27" t="s">
        <v>19</v>
      </c>
      <c r="G6" s="27" t="s">
        <v>21</v>
      </c>
      <c r="H6" s="27" t="s">
        <v>23</v>
      </c>
      <c r="I6" s="27" t="s">
        <v>25</v>
      </c>
      <c r="J6" s="27" t="s">
        <v>27</v>
      </c>
    </row>
    <row r="7" spans="1:10" ht="18" customHeight="1" x14ac:dyDescent="0.25">
      <c r="A7" s="46" t="s">
        <v>267</v>
      </c>
      <c r="B7" s="46"/>
      <c r="C7" s="46"/>
      <c r="D7" s="46"/>
      <c r="E7" s="46"/>
      <c r="F7" s="46"/>
      <c r="G7" s="46"/>
      <c r="H7" s="46"/>
      <c r="I7" s="46"/>
      <c r="J7" s="46"/>
    </row>
    <row r="8" spans="1:10" ht="66" customHeight="1" x14ac:dyDescent="0.25">
      <c r="A8" s="28" t="s">
        <v>315</v>
      </c>
      <c r="B8" s="29" t="s">
        <v>64</v>
      </c>
      <c r="C8" s="30" t="s">
        <v>316</v>
      </c>
      <c r="D8" s="30" t="s">
        <v>317</v>
      </c>
      <c r="E8" s="30" t="s">
        <v>318</v>
      </c>
      <c r="F8" s="30" t="s">
        <v>319</v>
      </c>
      <c r="G8" s="31"/>
      <c r="H8" s="32" t="s">
        <v>41</v>
      </c>
      <c r="I8" s="30"/>
      <c r="J8" s="35" t="s">
        <v>429</v>
      </c>
    </row>
    <row r="9" spans="1:10" ht="66" customHeight="1" x14ac:dyDescent="0.25">
      <c r="A9" s="33" t="s">
        <v>320</v>
      </c>
      <c r="B9" s="29" t="s">
        <v>64</v>
      </c>
      <c r="C9" s="34" t="s">
        <v>321</v>
      </c>
      <c r="D9" s="34" t="s">
        <v>322</v>
      </c>
      <c r="E9" s="34" t="s">
        <v>323</v>
      </c>
      <c r="F9" s="34" t="s">
        <v>324</v>
      </c>
      <c r="G9" s="31"/>
      <c r="H9" s="32" t="s">
        <v>41</v>
      </c>
      <c r="I9" s="34"/>
      <c r="J9" s="36" t="s">
        <v>430</v>
      </c>
    </row>
    <row r="10" spans="1:10" ht="18" customHeight="1" x14ac:dyDescent="0.25">
      <c r="A10" s="46" t="s">
        <v>114</v>
      </c>
      <c r="B10" s="46"/>
      <c r="C10" s="46"/>
      <c r="D10" s="46"/>
      <c r="E10" s="46"/>
      <c r="F10" s="46"/>
      <c r="G10" s="46"/>
      <c r="H10" s="46"/>
      <c r="I10" s="46"/>
      <c r="J10" s="46"/>
    </row>
    <row r="11" spans="1:10" ht="57.75" customHeight="1" x14ac:dyDescent="0.25">
      <c r="A11" s="28" t="s">
        <v>325</v>
      </c>
      <c r="B11" s="29" t="s">
        <v>64</v>
      </c>
      <c r="C11" s="30" t="s">
        <v>326</v>
      </c>
      <c r="D11" s="30" t="s">
        <v>327</v>
      </c>
      <c r="E11" s="30" t="s">
        <v>328</v>
      </c>
      <c r="F11" s="30" t="s">
        <v>329</v>
      </c>
      <c r="G11" s="31"/>
      <c r="H11" s="32" t="s">
        <v>41</v>
      </c>
      <c r="I11" s="30"/>
      <c r="J11" s="35" t="s">
        <v>431</v>
      </c>
    </row>
    <row r="12" spans="1:10" ht="66" customHeight="1" x14ac:dyDescent="0.25">
      <c r="A12" s="33" t="s">
        <v>330</v>
      </c>
      <c r="B12" s="29" t="s">
        <v>122</v>
      </c>
      <c r="C12" s="34" t="s">
        <v>331</v>
      </c>
      <c r="D12" s="34" t="s">
        <v>332</v>
      </c>
      <c r="E12" s="34" t="s">
        <v>333</v>
      </c>
      <c r="F12" s="34" t="s">
        <v>334</v>
      </c>
      <c r="G12" s="31"/>
      <c r="H12" s="32" t="s">
        <v>41</v>
      </c>
      <c r="I12" s="34"/>
      <c r="J12" s="36" t="s">
        <v>432</v>
      </c>
    </row>
    <row r="13" spans="1:10" ht="66" customHeight="1" x14ac:dyDescent="0.25">
      <c r="A13" s="28" t="s">
        <v>335</v>
      </c>
      <c r="B13" s="29" t="s">
        <v>122</v>
      </c>
      <c r="C13" s="30" t="s">
        <v>336</v>
      </c>
      <c r="D13" s="30" t="s">
        <v>337</v>
      </c>
      <c r="E13" s="30" t="s">
        <v>338</v>
      </c>
      <c r="F13" s="30" t="s">
        <v>339</v>
      </c>
      <c r="G13" s="31"/>
      <c r="H13" s="32" t="s">
        <v>41</v>
      </c>
      <c r="I13" s="30"/>
      <c r="J13" s="35" t="s">
        <v>340</v>
      </c>
    </row>
    <row r="14" spans="1:10" ht="82.5" customHeight="1" x14ac:dyDescent="0.25">
      <c r="A14" s="33" t="s">
        <v>341</v>
      </c>
      <c r="B14" s="29" t="s">
        <v>64</v>
      </c>
      <c r="C14" s="34" t="s">
        <v>342</v>
      </c>
      <c r="D14" s="34" t="s">
        <v>343</v>
      </c>
      <c r="E14" s="34" t="s">
        <v>344</v>
      </c>
      <c r="F14" s="34" t="s">
        <v>345</v>
      </c>
      <c r="G14" s="31"/>
      <c r="H14" s="32" t="s">
        <v>41</v>
      </c>
      <c r="I14" s="34"/>
      <c r="J14" s="36" t="s">
        <v>433</v>
      </c>
    </row>
    <row r="15" spans="1:10" ht="69.75" customHeight="1" x14ac:dyDescent="0.25">
      <c r="A15" s="28" t="s">
        <v>346</v>
      </c>
      <c r="B15" s="29" t="s">
        <v>122</v>
      </c>
      <c r="C15" s="30" t="s">
        <v>347</v>
      </c>
      <c r="D15" s="30" t="s">
        <v>348</v>
      </c>
      <c r="E15" s="30" t="s">
        <v>349</v>
      </c>
      <c r="F15" s="30" t="s">
        <v>350</v>
      </c>
      <c r="G15" s="31"/>
      <c r="H15" s="32" t="s">
        <v>41</v>
      </c>
      <c r="I15" s="30"/>
      <c r="J15" s="35" t="s">
        <v>434</v>
      </c>
    </row>
    <row r="16" spans="1:10" ht="15" customHeight="1" x14ac:dyDescent="0.25">
      <c r="A16" s="47" t="s">
        <v>139</v>
      </c>
      <c r="B16" s="47"/>
      <c r="C16" s="47"/>
      <c r="D16" s="47"/>
      <c r="E16" s="47"/>
      <c r="F16" s="47"/>
      <c r="G16" s="47"/>
      <c r="H16" s="47"/>
      <c r="I16" s="47"/>
      <c r="J16" s="47"/>
    </row>
    <row r="17" spans="1:10" ht="32.25" customHeight="1" x14ac:dyDescent="0.25">
      <c r="A17" s="32" t="s">
        <v>351</v>
      </c>
      <c r="B17" s="32" t="s">
        <v>122</v>
      </c>
      <c r="C17" s="32" t="s">
        <v>141</v>
      </c>
      <c r="D17" s="32" t="s">
        <v>142</v>
      </c>
      <c r="E17" s="32" t="s">
        <v>143</v>
      </c>
      <c r="F17" s="32" t="s">
        <v>144</v>
      </c>
      <c r="G17" s="32"/>
      <c r="H17" s="32" t="s">
        <v>41</v>
      </c>
      <c r="I17" s="32"/>
      <c r="J17" s="32" t="s">
        <v>145</v>
      </c>
    </row>
  </sheetData>
  <mergeCells count="7">
    <mergeCell ref="A10:J10"/>
    <mergeCell ref="A16:J16"/>
    <mergeCell ref="A1:J1"/>
    <mergeCell ref="A2:J2"/>
    <mergeCell ref="A3:J3"/>
    <mergeCell ref="A4:J4"/>
    <mergeCell ref="A7:J7"/>
  </mergeCells>
  <dataValidations count="2">
    <dataValidation type="list" allowBlank="1" sqref="H8:H9 H11:H15 H17" xr:uid="{00000000-0002-0000-0600-000000000000}">
      <formula1>"Not Run,Pass,Fail,Blocked,Skip"</formula1>
      <formula2>0</formula2>
    </dataValidation>
    <dataValidation type="list" allowBlank="1" sqref="B8:B9 B11:B15 B17" xr:uid="{00000000-0002-0000-0600-000001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9"/>
  <sheetViews>
    <sheetView showGridLines="0" zoomScaleNormal="100" workbookViewId="0">
      <pane ySplit="6" topLeftCell="A7" activePane="bottomLeft" state="frozen"/>
      <selection pane="bottomLeft" activeCell="D10" sqref="D10"/>
    </sheetView>
  </sheetViews>
  <sheetFormatPr defaultColWidth="8.7109375" defaultRowHeight="15" x14ac:dyDescent="0.25"/>
  <cols>
    <col min="1" max="1" width="20" customWidth="1"/>
    <col min="2" max="2" width="9" customWidth="1"/>
    <col min="3" max="3" width="26" customWidth="1"/>
    <col min="4" max="4" width="34" customWidth="1"/>
    <col min="5" max="5" width="48" customWidth="1"/>
    <col min="6" max="6" width="44" customWidth="1"/>
    <col min="7" max="7" width="26" customWidth="1"/>
    <col min="8" max="8" width="12" customWidth="1"/>
    <col min="9" max="9" width="11" customWidth="1"/>
    <col min="10" max="10" width="30" customWidth="1"/>
  </cols>
  <sheetData>
    <row r="1" spans="1:10" ht="24" customHeight="1" x14ac:dyDescent="0.25">
      <c r="A1" s="42" t="s">
        <v>352</v>
      </c>
      <c r="B1" s="42"/>
      <c r="C1" s="42"/>
      <c r="D1" s="42"/>
      <c r="E1" s="42"/>
      <c r="F1" s="42"/>
      <c r="G1" s="42"/>
      <c r="H1" s="42"/>
      <c r="I1" s="42"/>
      <c r="J1" s="42"/>
    </row>
    <row r="2" spans="1:10" ht="15" customHeight="1" x14ac:dyDescent="0.25">
      <c r="A2" s="43" t="s">
        <v>353</v>
      </c>
      <c r="B2" s="43"/>
      <c r="C2" s="43"/>
      <c r="D2" s="43"/>
      <c r="E2" s="43"/>
      <c r="F2" s="43"/>
      <c r="G2" s="43"/>
      <c r="H2" s="43"/>
      <c r="I2" s="43"/>
      <c r="J2" s="43"/>
    </row>
    <row r="3" spans="1:10" ht="27.75" customHeight="1" x14ac:dyDescent="0.25">
      <c r="A3" s="44" t="s">
        <v>354</v>
      </c>
      <c r="B3" s="44"/>
      <c r="C3" s="44"/>
      <c r="D3" s="44"/>
      <c r="E3" s="44"/>
      <c r="F3" s="44"/>
      <c r="G3" s="44"/>
      <c r="H3" s="44"/>
      <c r="I3" s="44"/>
      <c r="J3" s="44"/>
    </row>
    <row r="4" spans="1:10" ht="15" customHeight="1" x14ac:dyDescent="0.25">
      <c r="A4" s="45" t="s">
        <v>83</v>
      </c>
      <c r="B4" s="45"/>
      <c r="C4" s="45"/>
      <c r="D4" s="45"/>
      <c r="E4" s="45"/>
      <c r="F4" s="45"/>
      <c r="G4" s="45"/>
      <c r="H4" s="45"/>
      <c r="I4" s="45"/>
      <c r="J4" s="45"/>
    </row>
    <row r="6" spans="1:10" ht="25.5" customHeight="1" x14ac:dyDescent="0.25">
      <c r="A6" s="27" t="s">
        <v>9</v>
      </c>
      <c r="B6" s="27" t="s">
        <v>11</v>
      </c>
      <c r="C6" s="27" t="s">
        <v>13</v>
      </c>
      <c r="D6" s="27" t="s">
        <v>15</v>
      </c>
      <c r="E6" s="27" t="s">
        <v>17</v>
      </c>
      <c r="F6" s="27" t="s">
        <v>19</v>
      </c>
      <c r="G6" s="27" t="s">
        <v>21</v>
      </c>
      <c r="H6" s="27" t="s">
        <v>23</v>
      </c>
      <c r="I6" s="27" t="s">
        <v>25</v>
      </c>
      <c r="J6" s="27" t="s">
        <v>27</v>
      </c>
    </row>
    <row r="7" spans="1:10" ht="18" customHeight="1" x14ac:dyDescent="0.25">
      <c r="A7" s="46" t="s">
        <v>267</v>
      </c>
      <c r="B7" s="46"/>
      <c r="C7" s="46"/>
      <c r="D7" s="46"/>
      <c r="E7" s="46"/>
      <c r="F7" s="46"/>
      <c r="G7" s="46"/>
      <c r="H7" s="46"/>
      <c r="I7" s="46"/>
      <c r="J7" s="46"/>
    </row>
    <row r="8" spans="1:10" ht="91.5" customHeight="1" x14ac:dyDescent="0.25">
      <c r="A8" s="28" t="s">
        <v>355</v>
      </c>
      <c r="B8" s="29" t="s">
        <v>64</v>
      </c>
      <c r="C8" s="30" t="s">
        <v>356</v>
      </c>
      <c r="D8" s="30" t="s">
        <v>357</v>
      </c>
      <c r="E8" s="30" t="s">
        <v>358</v>
      </c>
      <c r="F8" s="30" t="s">
        <v>359</v>
      </c>
      <c r="G8" s="31"/>
      <c r="H8" s="32" t="s">
        <v>41</v>
      </c>
      <c r="I8" s="30"/>
      <c r="J8" s="30" t="s">
        <v>360</v>
      </c>
    </row>
    <row r="9" spans="1:10" ht="66" customHeight="1" x14ac:dyDescent="0.25">
      <c r="A9" s="33" t="s">
        <v>361</v>
      </c>
      <c r="B9" s="29" t="s">
        <v>64</v>
      </c>
      <c r="C9" s="34" t="s">
        <v>362</v>
      </c>
      <c r="D9" s="34" t="s">
        <v>363</v>
      </c>
      <c r="E9" s="34" t="s">
        <v>364</v>
      </c>
      <c r="F9" s="34" t="s">
        <v>365</v>
      </c>
      <c r="G9" s="31"/>
      <c r="H9" s="32" t="s">
        <v>41</v>
      </c>
      <c r="I9" s="34"/>
      <c r="J9" s="34" t="s">
        <v>366</v>
      </c>
    </row>
    <row r="10" spans="1:10" ht="78.75" customHeight="1" x14ac:dyDescent="0.25">
      <c r="A10" s="28" t="s">
        <v>367</v>
      </c>
      <c r="B10" s="29" t="s">
        <v>64</v>
      </c>
      <c r="C10" s="30" t="s">
        <v>368</v>
      </c>
      <c r="D10" s="30" t="s">
        <v>369</v>
      </c>
      <c r="E10" s="30" t="s">
        <v>370</v>
      </c>
      <c r="F10" s="30" t="s">
        <v>371</v>
      </c>
      <c r="G10" s="31"/>
      <c r="H10" s="32" t="s">
        <v>41</v>
      </c>
      <c r="I10" s="30"/>
      <c r="J10" s="30" t="s">
        <v>372</v>
      </c>
    </row>
    <row r="11" spans="1:10" ht="91.5" customHeight="1" x14ac:dyDescent="0.25">
      <c r="A11" s="33" t="s">
        <v>373</v>
      </c>
      <c r="B11" s="29" t="s">
        <v>64</v>
      </c>
      <c r="C11" s="34" t="s">
        <v>374</v>
      </c>
      <c r="D11" s="34" t="s">
        <v>375</v>
      </c>
      <c r="E11" s="34" t="s">
        <v>376</v>
      </c>
      <c r="F11" s="34" t="s">
        <v>377</v>
      </c>
      <c r="G11" s="31"/>
      <c r="H11" s="32" t="s">
        <v>41</v>
      </c>
      <c r="I11" s="34"/>
      <c r="J11" s="34" t="s">
        <v>435</v>
      </c>
    </row>
    <row r="12" spans="1:10" ht="18" customHeight="1" x14ac:dyDescent="0.25">
      <c r="A12" s="46" t="s">
        <v>114</v>
      </c>
      <c r="B12" s="46"/>
      <c r="C12" s="46"/>
      <c r="D12" s="46"/>
      <c r="E12" s="46"/>
      <c r="F12" s="46"/>
      <c r="G12" s="46"/>
      <c r="H12" s="46"/>
      <c r="I12" s="46"/>
      <c r="J12" s="46"/>
    </row>
    <row r="13" spans="1:10" ht="66" customHeight="1" x14ac:dyDescent="0.25">
      <c r="A13" s="28" t="s">
        <v>378</v>
      </c>
      <c r="B13" s="29" t="s">
        <v>64</v>
      </c>
      <c r="C13" s="30" t="s">
        <v>379</v>
      </c>
      <c r="D13" s="30" t="s">
        <v>380</v>
      </c>
      <c r="E13" s="30" t="s">
        <v>381</v>
      </c>
      <c r="F13" s="30" t="s">
        <v>382</v>
      </c>
      <c r="G13" s="31"/>
      <c r="H13" s="32" t="s">
        <v>41</v>
      </c>
      <c r="I13" s="30"/>
      <c r="J13" s="30" t="s">
        <v>383</v>
      </c>
    </row>
    <row r="14" spans="1:10" ht="66" customHeight="1" x14ac:dyDescent="0.25">
      <c r="A14" s="33" t="s">
        <v>384</v>
      </c>
      <c r="B14" s="29" t="s">
        <v>64</v>
      </c>
      <c r="C14" s="34" t="s">
        <v>385</v>
      </c>
      <c r="D14" s="34" t="s">
        <v>386</v>
      </c>
      <c r="E14" s="34" t="s">
        <v>387</v>
      </c>
      <c r="F14" s="34" t="s">
        <v>388</v>
      </c>
      <c r="G14" s="31"/>
      <c r="H14" s="32" t="s">
        <v>41</v>
      </c>
      <c r="I14" s="34"/>
      <c r="J14" s="34" t="s">
        <v>436</v>
      </c>
    </row>
    <row r="15" spans="1:10" ht="57.75" customHeight="1" x14ac:dyDescent="0.25">
      <c r="A15" s="28" t="s">
        <v>389</v>
      </c>
      <c r="B15" s="29" t="s">
        <v>64</v>
      </c>
      <c r="C15" s="30" t="s">
        <v>390</v>
      </c>
      <c r="D15" s="30" t="s">
        <v>391</v>
      </c>
      <c r="E15" s="30" t="s">
        <v>392</v>
      </c>
      <c r="F15" s="30" t="s">
        <v>393</v>
      </c>
      <c r="G15" s="31"/>
      <c r="H15" s="32" t="s">
        <v>41</v>
      </c>
      <c r="I15" s="30"/>
      <c r="J15" s="30" t="s">
        <v>394</v>
      </c>
    </row>
    <row r="16" spans="1:10" ht="57.75" customHeight="1" x14ac:dyDescent="0.25">
      <c r="A16" s="33" t="s">
        <v>395</v>
      </c>
      <c r="B16" s="29" t="s">
        <v>64</v>
      </c>
      <c r="C16" s="34" t="s">
        <v>396</v>
      </c>
      <c r="D16" s="34" t="s">
        <v>397</v>
      </c>
      <c r="E16" s="34" t="s">
        <v>398</v>
      </c>
      <c r="F16" s="34" t="s">
        <v>399</v>
      </c>
      <c r="G16" s="31"/>
      <c r="H16" s="32" t="s">
        <v>41</v>
      </c>
      <c r="I16" s="34"/>
      <c r="J16" s="34" t="s">
        <v>400</v>
      </c>
    </row>
    <row r="17" spans="1:10" ht="82.5" customHeight="1" x14ac:dyDescent="0.25">
      <c r="A17" s="28" t="s">
        <v>401</v>
      </c>
      <c r="B17" s="29" t="s">
        <v>122</v>
      </c>
      <c r="C17" s="30" t="s">
        <v>402</v>
      </c>
      <c r="D17" s="30" t="s">
        <v>403</v>
      </c>
      <c r="E17" s="30" t="s">
        <v>404</v>
      </c>
      <c r="F17" s="30" t="s">
        <v>405</v>
      </c>
      <c r="G17" s="31"/>
      <c r="H17" s="32" t="s">
        <v>41</v>
      </c>
      <c r="I17" s="30"/>
      <c r="J17" s="30" t="s">
        <v>437</v>
      </c>
    </row>
    <row r="18" spans="1:10" ht="15" customHeight="1" x14ac:dyDescent="0.25">
      <c r="A18" s="47" t="s">
        <v>139</v>
      </c>
      <c r="B18" s="47"/>
      <c r="C18" s="47"/>
      <c r="D18" s="47"/>
      <c r="E18" s="47"/>
      <c r="F18" s="47"/>
      <c r="G18" s="47"/>
      <c r="H18" s="47"/>
      <c r="I18" s="47"/>
      <c r="J18" s="47"/>
    </row>
    <row r="19" spans="1:10" ht="32.25" customHeight="1" x14ac:dyDescent="0.25">
      <c r="A19" s="32" t="s">
        <v>406</v>
      </c>
      <c r="B19" s="32" t="s">
        <v>122</v>
      </c>
      <c r="C19" s="32" t="s">
        <v>141</v>
      </c>
      <c r="D19" s="32" t="s">
        <v>142</v>
      </c>
      <c r="E19" s="32" t="s">
        <v>143</v>
      </c>
      <c r="F19" s="32" t="s">
        <v>144</v>
      </c>
      <c r="G19" s="32"/>
      <c r="H19" s="32" t="s">
        <v>41</v>
      </c>
      <c r="I19" s="32"/>
      <c r="J19" s="32" t="s">
        <v>145</v>
      </c>
    </row>
  </sheetData>
  <mergeCells count="7">
    <mergeCell ref="A12:J12"/>
    <mergeCell ref="A18:J18"/>
    <mergeCell ref="A1:J1"/>
    <mergeCell ref="A2:J2"/>
    <mergeCell ref="A3:J3"/>
    <mergeCell ref="A4:J4"/>
    <mergeCell ref="A7:J7"/>
  </mergeCells>
  <dataValidations count="2">
    <dataValidation type="list" allowBlank="1" sqref="H8:H11 H13:H17 H19" xr:uid="{00000000-0002-0000-0700-000000000000}">
      <formula1>"Not Run,Pass,Fail,Blocked,Skip"</formula1>
      <formula2>0</formula2>
    </dataValidation>
    <dataValidation type="list" allowBlank="1" sqref="B8:B11 B13:B17 B19" xr:uid="{00000000-0002-0000-0700-000001000000}">
      <formula1>"P1,P2,P3"</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Overview</vt:lpstr>
      <vt:lpstr>SC-01</vt:lpstr>
      <vt:lpstr>SC-02</vt:lpstr>
      <vt:lpstr>SC-03</vt:lpstr>
      <vt:lpstr>SC-04</vt:lpstr>
      <vt:lpstr>SC-05</vt:lpstr>
      <vt:lpstr>SC-06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Khánh Trần</cp:lastModifiedBy>
  <cp:revision>0</cp:revision>
  <dcterms:created xsi:type="dcterms:W3CDTF">2026-05-24T14:33:57Z</dcterms:created>
  <dcterms:modified xsi:type="dcterms:W3CDTF">2026-08-11T16:07:42Z</dcterms:modified>
  <dc:language>en-US</dc:language>
</cp:coreProperties>
</file>