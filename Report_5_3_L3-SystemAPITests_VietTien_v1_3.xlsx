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LENOVO\Downloads\files2\"/>
    </mc:Choice>
  </mc:AlternateContent>
  <xr:revisionPtr revIDLastSave="0" documentId="13_ncr:1_{E265FEB4-6CA9-472D-A325-9C6DDAC4840F}" xr6:coauthVersionLast="47" xr6:coauthVersionMax="47" xr10:uidLastSave="{00000000-0000-0000-0000-000000000000}"/>
  <bookViews>
    <workbookView xWindow="3615" yWindow="0" windowWidth="25215" windowHeight="15585" tabRatio="500" xr2:uid="{00000000-000D-0000-FFFF-FFFF00000000}"/>
  </bookViews>
  <sheets>
    <sheet name="Introduction" sheetId="1" r:id="rId1"/>
    <sheet name="TestCase List" sheetId="2" r:id="rId2"/>
    <sheet name="L3-AuthAPI" sheetId="3" r:id="rId3"/>
    <sheet name="L3-OrderPaymentAPI" sheetId="4" r:id="rId4"/>
    <sheet name="L3-QuotationAPI" sheetId="5" r:id="rId5"/>
    <sheet name="L3-FulfilmentDeliveryAPI" sheetId="6" r:id="rId6"/>
    <sheet name="L3-PurchasingInventoryAPI" sheetId="7" r:id="rId7"/>
    <sheet name="L3-AfterSalesAdminAPI" sheetId="8" r:id="rId8"/>
    <sheet name="L3-APIFlows" sheetId="9" r:id="rId9"/>
    <sheet name="L3-Performance" sheetId="10" r:id="rId10"/>
    <sheet name="L3-Security" sheetId="11" r:id="rId11"/>
    <sheet name="L3-AdminConfigAPI" sheetId="12" r:id="rId12"/>
    <sheet name="L3-MarketingReturnAPI" sheetId="13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78" i="2" l="1"/>
  <c r="G178" i="2"/>
  <c r="H177" i="2"/>
  <c r="G177" i="2"/>
  <c r="H176" i="2"/>
  <c r="G176" i="2"/>
  <c r="H175" i="2"/>
  <c r="G175" i="2"/>
  <c r="H174" i="2"/>
  <c r="G174" i="2"/>
  <c r="H173" i="2"/>
  <c r="G173" i="2"/>
  <c r="H172" i="2"/>
  <c r="G172" i="2"/>
  <c r="H171" i="2"/>
  <c r="G171" i="2"/>
  <c r="H170" i="2"/>
  <c r="G170" i="2"/>
  <c r="H169" i="2"/>
  <c r="G169" i="2"/>
  <c r="H168" i="2"/>
  <c r="G168" i="2"/>
  <c r="H167" i="2"/>
  <c r="G167" i="2"/>
  <c r="H166" i="2"/>
  <c r="G166" i="2"/>
  <c r="H165" i="2"/>
  <c r="G165" i="2"/>
  <c r="H164" i="2"/>
  <c r="G164" i="2"/>
  <c r="H163" i="2"/>
  <c r="G163" i="2"/>
  <c r="H162" i="2"/>
  <c r="G162" i="2"/>
  <c r="H161" i="2"/>
  <c r="G161" i="2"/>
  <c r="H160" i="2"/>
  <c r="G160" i="2"/>
  <c r="H159" i="2"/>
  <c r="G159" i="2"/>
  <c r="H158" i="2"/>
  <c r="G158" i="2"/>
  <c r="H157" i="2"/>
  <c r="G157" i="2"/>
  <c r="H156" i="2"/>
  <c r="G156" i="2"/>
  <c r="H155" i="2"/>
  <c r="G155" i="2"/>
  <c r="H154" i="2"/>
  <c r="G154" i="2"/>
  <c r="H153" i="2"/>
  <c r="G153" i="2"/>
  <c r="H152" i="2"/>
  <c r="G152" i="2"/>
  <c r="H151" i="2"/>
  <c r="G151" i="2"/>
  <c r="H150" i="2"/>
  <c r="G150" i="2"/>
  <c r="H149" i="2"/>
  <c r="G149" i="2"/>
  <c r="H148" i="2"/>
  <c r="G148" i="2"/>
  <c r="H147" i="2"/>
  <c r="G147" i="2"/>
  <c r="H146" i="2"/>
  <c r="G146" i="2"/>
  <c r="H145" i="2"/>
  <c r="G145" i="2"/>
  <c r="H144" i="2"/>
  <c r="G144" i="2"/>
  <c r="H143" i="2"/>
  <c r="G143" i="2"/>
  <c r="H142" i="2"/>
  <c r="G142" i="2"/>
  <c r="H141" i="2"/>
  <c r="G141" i="2"/>
  <c r="H140" i="2"/>
  <c r="G140" i="2"/>
  <c r="H139" i="2"/>
  <c r="G139" i="2"/>
  <c r="H138" i="2"/>
  <c r="G138" i="2"/>
  <c r="H137" i="2"/>
  <c r="G137" i="2"/>
  <c r="H136" i="2"/>
  <c r="G136" i="2"/>
  <c r="H135" i="2"/>
  <c r="G135" i="2"/>
  <c r="H134" i="2"/>
  <c r="G134" i="2"/>
  <c r="H133" i="2"/>
  <c r="G133" i="2"/>
  <c r="H132" i="2"/>
  <c r="G132" i="2"/>
  <c r="H131" i="2"/>
  <c r="G131" i="2"/>
  <c r="H130" i="2"/>
  <c r="G130" i="2"/>
  <c r="H129" i="2"/>
  <c r="G129" i="2"/>
  <c r="H128" i="2"/>
  <c r="G128" i="2"/>
  <c r="H127" i="2"/>
  <c r="G127" i="2"/>
  <c r="H126" i="2"/>
  <c r="G126" i="2"/>
  <c r="H125" i="2"/>
  <c r="G125" i="2"/>
  <c r="H124" i="2"/>
  <c r="G124" i="2"/>
  <c r="H123" i="2"/>
  <c r="G123" i="2"/>
  <c r="H122" i="2"/>
  <c r="G122" i="2"/>
  <c r="H121" i="2"/>
  <c r="G121" i="2"/>
  <c r="H120" i="2"/>
  <c r="G120" i="2"/>
  <c r="H119" i="2"/>
  <c r="G119" i="2"/>
  <c r="H118" i="2"/>
  <c r="G118" i="2"/>
  <c r="H117" i="2"/>
  <c r="G117" i="2"/>
  <c r="H116" i="2"/>
  <c r="G116" i="2"/>
  <c r="H115" i="2"/>
  <c r="G115" i="2"/>
  <c r="H114" i="2"/>
  <c r="G114" i="2"/>
  <c r="H113" i="2"/>
  <c r="G113" i="2"/>
  <c r="H112" i="2"/>
  <c r="G112" i="2"/>
  <c r="H111" i="2"/>
  <c r="G111" i="2"/>
  <c r="H110" i="2"/>
  <c r="G110" i="2"/>
  <c r="H109" i="2"/>
  <c r="G109" i="2"/>
  <c r="H108" i="2"/>
  <c r="G108" i="2"/>
  <c r="H107" i="2"/>
  <c r="G107" i="2"/>
  <c r="H106" i="2"/>
  <c r="G106" i="2"/>
  <c r="H105" i="2"/>
  <c r="G105" i="2"/>
  <c r="H104" i="2"/>
  <c r="G104" i="2"/>
  <c r="H103" i="2"/>
  <c r="G103" i="2"/>
  <c r="H102" i="2"/>
  <c r="G102" i="2"/>
  <c r="H101" i="2"/>
  <c r="G101" i="2"/>
  <c r="H100" i="2"/>
  <c r="G100" i="2"/>
  <c r="H99" i="2"/>
  <c r="G99" i="2"/>
  <c r="H98" i="2"/>
  <c r="G98" i="2"/>
  <c r="H97" i="2"/>
  <c r="G97" i="2"/>
  <c r="H96" i="2"/>
  <c r="G96" i="2"/>
  <c r="H95" i="2"/>
  <c r="G95" i="2"/>
  <c r="H94" i="2"/>
  <c r="G94" i="2"/>
  <c r="H93" i="2"/>
  <c r="G93" i="2"/>
  <c r="H92" i="2"/>
  <c r="G92" i="2"/>
  <c r="H91" i="2"/>
  <c r="G91" i="2"/>
  <c r="H90" i="2"/>
  <c r="G90" i="2"/>
  <c r="H89" i="2"/>
  <c r="G89" i="2"/>
  <c r="H88" i="2"/>
  <c r="G88" i="2"/>
  <c r="H87" i="2"/>
  <c r="G87" i="2"/>
  <c r="H86" i="2"/>
  <c r="G86" i="2"/>
  <c r="H85" i="2"/>
  <c r="G85" i="2"/>
  <c r="H84" i="2"/>
  <c r="G84" i="2"/>
  <c r="H83" i="2"/>
  <c r="G83" i="2"/>
  <c r="H82" i="2"/>
  <c r="G82" i="2"/>
  <c r="H81" i="2"/>
  <c r="G81" i="2"/>
  <c r="H80" i="2"/>
  <c r="G80" i="2"/>
  <c r="H79" i="2"/>
  <c r="G79" i="2"/>
  <c r="H78" i="2"/>
  <c r="G78" i="2"/>
  <c r="H77" i="2"/>
  <c r="G77" i="2"/>
  <c r="H76" i="2"/>
  <c r="G76" i="2"/>
  <c r="H75" i="2"/>
  <c r="G75" i="2"/>
  <c r="H74" i="2"/>
  <c r="G74" i="2"/>
  <c r="H73" i="2"/>
  <c r="G73" i="2"/>
  <c r="H72" i="2"/>
  <c r="G72" i="2"/>
  <c r="H71" i="2"/>
  <c r="G71" i="2"/>
  <c r="H70" i="2"/>
  <c r="G70" i="2"/>
  <c r="H69" i="2"/>
  <c r="G69" i="2"/>
  <c r="H68" i="2"/>
  <c r="G68" i="2"/>
  <c r="H67" i="2"/>
  <c r="G67" i="2"/>
  <c r="H66" i="2"/>
  <c r="G66" i="2"/>
  <c r="H65" i="2"/>
  <c r="G65" i="2"/>
  <c r="H64" i="2"/>
  <c r="G64" i="2"/>
  <c r="H63" i="2"/>
  <c r="G63" i="2"/>
  <c r="H62" i="2"/>
  <c r="G62" i="2"/>
  <c r="H61" i="2"/>
  <c r="G61" i="2"/>
  <c r="H60" i="2"/>
  <c r="G60" i="2"/>
  <c r="H59" i="2"/>
  <c r="G59" i="2"/>
  <c r="H58" i="2"/>
  <c r="G58" i="2"/>
  <c r="H57" i="2"/>
  <c r="G57" i="2"/>
  <c r="H56" i="2"/>
  <c r="G56" i="2"/>
  <c r="H55" i="2"/>
  <c r="G55" i="2"/>
  <c r="H54" i="2"/>
  <c r="G54" i="2"/>
  <c r="H53" i="2"/>
  <c r="G53" i="2"/>
  <c r="H52" i="2"/>
  <c r="G52" i="2"/>
  <c r="H51" i="2"/>
  <c r="G51" i="2"/>
  <c r="H50" i="2"/>
  <c r="G50" i="2"/>
  <c r="H49" i="2"/>
  <c r="G49" i="2"/>
  <c r="H48" i="2"/>
  <c r="G48" i="2"/>
  <c r="H47" i="2"/>
  <c r="G47" i="2"/>
  <c r="H46" i="2"/>
  <c r="G46" i="2"/>
  <c r="H45" i="2"/>
  <c r="G45" i="2"/>
  <c r="H44" i="2"/>
  <c r="G44" i="2"/>
  <c r="H43" i="2"/>
  <c r="G43" i="2"/>
  <c r="H42" i="2"/>
  <c r="G42" i="2"/>
  <c r="H41" i="2"/>
  <c r="G41" i="2"/>
  <c r="H40" i="2"/>
  <c r="G40" i="2"/>
  <c r="H39" i="2"/>
  <c r="G39" i="2"/>
  <c r="H38" i="2"/>
  <c r="G38" i="2"/>
  <c r="H37" i="2"/>
  <c r="G37" i="2"/>
  <c r="H36" i="2"/>
  <c r="G36" i="2"/>
  <c r="H35" i="2"/>
  <c r="G35" i="2"/>
  <c r="H34" i="2"/>
  <c r="G34" i="2"/>
  <c r="H33" i="2"/>
  <c r="G33" i="2"/>
  <c r="H32" i="2"/>
  <c r="G32" i="2"/>
  <c r="H31" i="2"/>
  <c r="G31" i="2"/>
  <c r="H30" i="2"/>
  <c r="G30" i="2"/>
  <c r="H29" i="2"/>
  <c r="G29" i="2"/>
  <c r="H28" i="2"/>
  <c r="G28" i="2"/>
  <c r="H27" i="2"/>
  <c r="G27" i="2"/>
  <c r="H26" i="2"/>
  <c r="G26" i="2"/>
  <c r="H25" i="2"/>
  <c r="G25" i="2"/>
  <c r="H24" i="2"/>
  <c r="G24" i="2"/>
  <c r="H23" i="2"/>
  <c r="G23" i="2"/>
  <c r="H22" i="2"/>
  <c r="G22" i="2"/>
  <c r="H21" i="2"/>
  <c r="G21" i="2"/>
  <c r="H20" i="2"/>
  <c r="G20" i="2"/>
  <c r="H19" i="2"/>
  <c r="G19" i="2"/>
  <c r="H18" i="2"/>
  <c r="G18" i="2"/>
  <c r="H17" i="2"/>
  <c r="G17" i="2"/>
  <c r="H16" i="2"/>
  <c r="G16" i="2"/>
  <c r="H15" i="2"/>
  <c r="G15" i="2"/>
  <c r="H14" i="2"/>
  <c r="G14" i="2"/>
  <c r="H13" i="2"/>
  <c r="G13" i="2"/>
  <c r="H12" i="2"/>
  <c r="G12" i="2"/>
  <c r="H11" i="2"/>
  <c r="G11" i="2"/>
  <c r="H10" i="2"/>
  <c r="G10" i="2"/>
  <c r="H9" i="2"/>
  <c r="G9" i="2"/>
  <c r="H4" i="2" s="1"/>
  <c r="H8" i="2"/>
  <c r="G8" i="2"/>
  <c r="H7" i="2"/>
  <c r="G7" i="2"/>
  <c r="D4" i="2"/>
  <c r="B4" i="2"/>
  <c r="H3" i="2"/>
  <c r="F3" i="2"/>
  <c r="D3" i="2"/>
  <c r="B3" i="2"/>
  <c r="F4" i="2" l="1"/>
</calcChain>
</file>

<file path=xl/sharedStrings.xml><?xml version="1.0" encoding="utf-8"?>
<sst xmlns="http://schemas.openxmlformats.org/spreadsheetml/2006/main" count="3528" uniqueCount="1153">
  <si>
    <t>Level 3 — System / API Test  |  Test Case Specification Template</t>
  </si>
  <si>
    <t>Primary tool: xUnit + WebApplicationFactory / Postman + Newman (API contract)  ·  k6 (Performance)  ·  OWASP ZAP + Postman (Security)  ·  Staging: ASP.NET Core 8 monolith + SQL Server 2022 + SignalR + Hangfire</t>
  </si>
  <si>
    <t>🎯  Purpose — What does this test level verify?</t>
  </si>
  <si>
    <t>Kiểm chứng hành vi của toàn bộ ứng dụng đang chạy qua giao diện HTTP công khai — bao gồm middleware xác thực JWT, RBAC theo vai trò, validation, mã lỗi nghiệp vụ và mã HTTP.  Câu hỏi cốt lõi: 'Hợp đồng API có đúng như SRS quy định khi hệ thống chạy thật không?'</t>
  </si>
  <si>
    <t>✅  In Scope</t>
  </si>
  <si>
    <t>• Toàn bộ stack: ASP.NET Core API + SQL Server 2022 + SignalR + Hangfire  • Pipeline bảo mật hoạt động: JWT, RBAC 7 vai trò (Guest, Customer, Sales Staff, Sales Manager, Warehouse Staff, CEO, Admin)  • Phân hoạch miền đầu vào cho từng endpoint  • Mã lỗi nghiệp vụ theo SRS v2 (vd PRICE_SNAPSHOT_EXPIRED, QUOTATION_VERSION_STALE, INVENTORY_INVARIANT_VIOLATION)  • Idempotency của webhook và các lệnh 'post'  • Ngưỡng hiệu năng NFR-P01..P07, S01, S02  • Bảo mật OWASP Top 10 + NFR-SEC01..SEC08</t>
  </si>
  <si>
    <t>❌  Out of Scope</t>
  </si>
  <si>
    <t>• Internal method logic (→ L1)
• DB/queue integration without HTTP (→ L2)
• Browser UI rendering and user interactions (→ L4)
• Scenarios that require a browser to complete (→ L4)</t>
  </si>
  <si>
    <t>🔬  Coverage Techniques</t>
  </si>
  <si>
    <t>Input Domain Partitioning (for API Contract sheets):
  For each endpoint, identify input dimensions (Auth, Params, Body fields).
  For each dimension: test valid partition + each invalid partition.
  Example dimensions for GET /orders: Auth (valid/expired/missing/wrong-role), Status filter (valid/invalid value), Pagination (default/valid/above-max).
Happy Path: One test per endpoint confirming successful response (200/201).
Error Response: One test per error code in TDS Error Registry (AUTH_001, ORDER_004, etc.).
Boundary Value: BVA from SRS applied at HTTP level (e.g. exactly 900s payment window).
Multi-step Flow: Chain of HTTP calls verifying state transitions across requests.
Load Test (k6): Verify NFR thresholds under target concurrent users.
Security (OWASP): Systematic coverage of OWASP Top 10 categories.</t>
  </si>
  <si>
    <t>🛠️  Primary Tool</t>
  </si>
  <si>
    <t>xUnit + WebApplicationFactory / Postman + Newman (API contract)  ·  k6 (Performance)  ·  OWASP ZAP + Postman (Security)  ·  Staging: ASP.NET Core 8 monolith + SQL Server 2022 + SignalR + Hangfire</t>
  </si>
  <si>
    <t>📋  Column Definitions — How to fill each column</t>
  </si>
  <si>
    <t>Test ID</t>
  </si>
  <si>
    <t>Format: L3-[SheetAbbr]-[NN]
Examples: L3-OAPI-01, L3-FLOW-02, L3-PERF-01, L3-SEC-03</t>
  </si>
  <si>
    <t>Coverage Technique</t>
  </si>
  <si>
    <t>Input-Domain-Happy: phân hoạch hợp lệ của từng tham số -&gt; 2xx và đúng thân phản hồi.    Input-Domain-Error: phân hoạch không hợp lệ -&gt; đúng mã HTTP VÀ đúng errorCode trong SRS v2.    BVA: điểm biên số/thời gian ở mức API (9.999.999/10.000.000/99.999.999/100.000.000 VND; 23:59:59 vs 24:00:00; 14:59 vs 15:00; 24:59/25:00/29:59/30:00/34:59/35:00; OTP 5/6/7 chữ số và 4:59 vs 5:00; ±1 VND; allocation ±1).    Idempotency: gửi lại cùng business key -&gt; trả kết quả gốc, không tạo bản ghi thứ 2.    Workflow: chuỗi HTTP nhiều bước, kiểm tra state sau TỪNG bước.</t>
  </si>
  <si>
    <t>HTTP Method + Endpoint</t>
  </si>
  <si>
    <t>Full path including method.
Example: GET /api/v1/orders
Example: POST /api/v1/webhooks/payment</t>
  </si>
  <si>
    <t>Auth Required</t>
  </si>
  <si>
    <t>JWT Bearer (role)
HMAC signature (webhook)
None (public endpoint)
Expired/Tampered/Missing JWT (for negative tests)</t>
  </si>
  <si>
    <t>Request (Params / Body / Headers)</t>
  </si>
  <si>
    <t>All inputs:
  Params: ?status=Confirmed&amp;page=0&amp;size=20
  Body: {JSON payload}
  Headers: X-Signature-256: sha256=...</t>
  </si>
  <si>
    <t>Expected HTTP Status</t>
  </si>
  <si>
    <t>The HTTP status code the system should return.
Must be exact: 200, 201, 400, 401, 403, 404, 408, 409, 422, 429, 503</t>
  </si>
  <si>
    <t>Expected Response Body</t>
  </si>
  <si>
    <t>Key fields to assert in response JSON.
For errors: include error_code AND message.
For performance: include k6 threshold assertions.</t>
  </si>
  <si>
    <t>Expected Error Code</t>
  </si>
  <si>
    <t>Error code from TDS Part 8.1 Error Registry.
Example: AUTH_001, ORDER_005, COURIER_001
None for happy path tests.</t>
  </si>
  <si>
    <t>Negative?</t>
  </si>
  <si>
    <t>Yes = test expects error response (4xx/5xx).</t>
  </si>
  <si>
    <t>Status</t>
  </si>
  <si>
    <t>Not Run / Pass / Fail / Blocked / Skip</t>
  </si>
  <si>
    <t>Defect ID</t>
  </si>
  <si>
    <t>Issue tracker reference when Status = Fail.</t>
  </si>
  <si>
    <t>Notes</t>
  </si>
  <si>
    <t>WireMock stubs needed, sandbox configuration, known limitations.</t>
  </si>
  <si>
    <t>📝  How to Fill — Step by step</t>
  </si>
  <si>
    <t>1. For each API endpoint: identify input dimensions (Auth, query params, body fields).</t>
  </si>
  <si>
    <t>2. For each dimension: write one Happy Path test (valid input → 200).</t>
  </si>
  <si>
    <t>3. For each dimension: write one test per invalid partition (wrong type, missing field, wrong value → 4xx).</t>
  </si>
  <si>
    <t>4. Check TDS Error Registry (Part 8.1) — every error code should have a test.</t>
  </si>
  <si>
    <t>5. For multi-step business transactions: add to L3-APIFlows sheet — list HTTP calls in sequence.</t>
  </si>
  <si>
    <t>6. For NFR-Pxx: add to L3-Performance sheet — specify k6 config and threshold.</t>
  </si>
  <si>
    <t>7. For security: map each test to OWASP Top 10 category — ensure A01, A02, A03, A07, A09 covered.</t>
  </si>
  <si>
    <t>8. Verify: happy path exists for every endpoint before adding error tests.</t>
  </si>
  <si>
    <t>9. Run tests against deployed staging environment → update Status.</t>
  </si>
  <si>
    <t>🎨  Priority &amp; Status Legend</t>
  </si>
  <si>
    <t>P1 — Critical</t>
  </si>
  <si>
    <t>Must pass before any release. Blocking.</t>
  </si>
  <si>
    <t>P2 — High</t>
  </si>
  <si>
    <t>Should pass. Non-blocking but important.</t>
  </si>
  <si>
    <t>P3 — Medium</t>
  </si>
  <si>
    <t>Nice to have in this cycle.</t>
  </si>
  <si>
    <t>Not Run</t>
  </si>
  <si>
    <t>Pass</t>
  </si>
  <si>
    <t>Fail</t>
  </si>
  <si>
    <t>Blocked</t>
  </si>
  <si>
    <t>Skip</t>
  </si>
  <si>
    <t>TestCase List  |  L3 System / API Test index — SRS v2.0.0  |  v1.3 đóng khoảng trống truy vết AC/NAC</t>
  </si>
  <si>
    <t>Total test cases</t>
  </si>
  <si>
    <t>P1</t>
  </si>
  <si>
    <t>P2</t>
  </si>
  <si>
    <t>P3</t>
  </si>
  <si>
    <t>Negative tests</t>
  </si>
  <si>
    <t>Sheet</t>
  </si>
  <si>
    <t>Nhóm / Block</t>
  </si>
  <si>
    <t>SRS Reference</t>
  </si>
  <si>
    <t>Priority</t>
  </si>
  <si>
    <t>Status (live link)</t>
  </si>
  <si>
    <t>Defect ID (live link)</t>
  </si>
  <si>
    <t>L3-AUTH-01</t>
  </si>
  <si>
    <t>L3-AuthAPI</t>
  </si>
  <si>
    <t>POST /api/auth/register  ·  POST /api/auth/verify-otp</t>
  </si>
  <si>
    <t>FT-01 AC-02; BR-023</t>
  </si>
  <si>
    <t>No</t>
  </si>
  <si>
    <t>L3-AUTH-02</t>
  </si>
  <si>
    <t>FT-01 NAC-01</t>
  </si>
  <si>
    <t>Yes</t>
  </si>
  <si>
    <t>L3-AUTH-03</t>
  </si>
  <si>
    <t>L3-AUTH-04</t>
  </si>
  <si>
    <t>FT-01 BV-02; NAC-02; BR-024</t>
  </si>
  <si>
    <t>L3-AUTH-05</t>
  </si>
  <si>
    <t>FT-01 BV-02; NAC-02</t>
  </si>
  <si>
    <t>L3-AUTH-06</t>
  </si>
  <si>
    <t>L3-AUTH-07</t>
  </si>
  <si>
    <t>L3-AUTH-08</t>
  </si>
  <si>
    <t>POST /api/auth/login  ·  POST /api/auth/refresh  ·  POST /api/auth/logout</t>
  </si>
  <si>
    <t>NFR-SEC02; NFR-SEC03</t>
  </si>
  <si>
    <t>L3-AUTH-09</t>
  </si>
  <si>
    <t>NFR-SEC02</t>
  </si>
  <si>
    <t>L3-AUTH-10</t>
  </si>
  <si>
    <t>L3-AUTH-11</t>
  </si>
  <si>
    <t>L3-AUTH-12</t>
  </si>
  <si>
    <t>NFR-SEC03</t>
  </si>
  <si>
    <t>L3-AUTH-13</t>
  </si>
  <si>
    <t>L3-ORD-01</t>
  </si>
  <si>
    <t>L3-OrderPaymentAPI</t>
  </si>
  <si>
    <t>POST /api/orders (checkout)</t>
  </si>
  <si>
    <t>FT-01 AC-05; FT-03 AC-04; BR-008</t>
  </si>
  <si>
    <t>L3-ORD-02</t>
  </si>
  <si>
    <t>FT-01 NAC-03; BV-01; BR-025</t>
  </si>
  <si>
    <t>L3-ORD-03</t>
  </si>
  <si>
    <t>FT-01 BV-01</t>
  </si>
  <si>
    <t>L3-ORD-04</t>
  </si>
  <si>
    <t>FT-01 NAC-04; BR-047</t>
  </si>
  <si>
    <t>L3-ORD-05</t>
  </si>
  <si>
    <t>FT-02 NAC-01; BR-005</t>
  </si>
  <si>
    <t>L3-ORD-06</t>
  </si>
  <si>
    <t>FT-02 BV-01; AC-01; BR-006</t>
  </si>
  <si>
    <t>L3-ORD-07</t>
  </si>
  <si>
    <t>FT-02 NAC-02</t>
  </si>
  <si>
    <t>L3-ORD-08</t>
  </si>
  <si>
    <t>FT-01 NAC-05; NFR-SEC03</t>
  </si>
  <si>
    <t>L3-PAY-01</t>
  </si>
  <si>
    <t>POST /api/webhooks/sepay</t>
  </si>
  <si>
    <t>FT-03 AC-01; AC-02; BR-009; NFR-SEC05</t>
  </si>
  <si>
    <t>L3-PAY-02</t>
  </si>
  <si>
    <t>FT-03 NAC-01; NFR-SEC05</t>
  </si>
  <si>
    <t>L3-PAY-03</t>
  </si>
  <si>
    <t>FT-03 BV-01; NAC-01</t>
  </si>
  <si>
    <t>L3-PAY-04</t>
  </si>
  <si>
    <t>FT-03 NAC-02; BR-029</t>
  </si>
  <si>
    <t>L3-PAY-05</t>
  </si>
  <si>
    <t>FT-03 BV-01; BV-03; NAC-03; BR-033</t>
  </si>
  <si>
    <t>L3-PAY-06</t>
  </si>
  <si>
    <t>POST /api/orders/{id}/manual-confirm  ·  COD SLA</t>
  </si>
  <si>
    <t>FT-03 NAC-04</t>
  </si>
  <si>
    <t>L3-PAY-07</t>
  </si>
  <si>
    <t>L3-PAY-08</t>
  </si>
  <si>
    <t>FT-03 BV-02; AC-04; BR-010</t>
  </si>
  <si>
    <t>L3-PAY-09</t>
  </si>
  <si>
    <t>FT-03 AC-05; BR-029</t>
  </si>
  <si>
    <t>L3-CUS-01</t>
  </si>
  <si>
    <t>Hồ sơ khách hàng, địa chỉ &amp; đơn tạo tay</t>
  </si>
  <si>
    <t>FT-01 AC-03; BR-028</t>
  </si>
  <si>
    <t>L3-CUS-02</t>
  </si>
  <si>
    <t>FT-01 BV-03</t>
  </si>
  <si>
    <t>L3-CUS-03</t>
  </si>
  <si>
    <t>FT-01 NAC-05; BR-028</t>
  </si>
  <si>
    <t>L3-CUS-04</t>
  </si>
  <si>
    <t>FT-03 NAC-05; BR-030; BR-004</t>
  </si>
  <si>
    <t>L3-CUS-05</t>
  </si>
  <si>
    <t>FT-03 NAC-05; BR-030; BR-026</t>
  </si>
  <si>
    <t>L3-QUO-01</t>
  </si>
  <si>
    <t>L3-QuotationAPI</t>
  </si>
  <si>
    <t>Vòng đời báo giá qua HTTP</t>
  </si>
  <si>
    <t>FT-02 AC-03; BR-026</t>
  </si>
  <si>
    <t>L3-QUO-02</t>
  </si>
  <si>
    <t>FT-02 AC-04; BR-027</t>
  </si>
  <si>
    <t>L3-QUO-03</t>
  </si>
  <si>
    <t>FT-02 NAC-05; BR-027</t>
  </si>
  <si>
    <t>L3-QUO-04</t>
  </si>
  <si>
    <t>FT-02 NAC-05</t>
  </si>
  <si>
    <t>L3-QUO-05</t>
  </si>
  <si>
    <t>FT-02 BV-03; NAC-04; BR-007</t>
  </si>
  <si>
    <t>L3-QUO-06</t>
  </si>
  <si>
    <t>FT-02 NAC-05; BR-020</t>
  </si>
  <si>
    <t>L3-QUO-07</t>
  </si>
  <si>
    <t>FT-02 NAC-05; NFR-SEC03</t>
  </si>
  <si>
    <t>L3-QUO-08</t>
  </si>
  <si>
    <t>FT-02 AC-02; NAC-03; BV-02; BR-025</t>
  </si>
  <si>
    <t>L3-FUL-01</t>
  </si>
  <si>
    <t>L3-FulfilmentDeliveryAPI</t>
  </si>
  <si>
    <t>Fulfilment: allocation -&gt; pick -&gt; handover -&gt; goods issue</t>
  </si>
  <si>
    <t>FT-05 AC-01; BR-011</t>
  </si>
  <si>
    <t>L3-FUL-02</t>
  </si>
  <si>
    <t>FT-05 NAC-02</t>
  </si>
  <si>
    <t>L3-FUL-03</t>
  </si>
  <si>
    <t>FT-05 BV-02; NAC-04</t>
  </si>
  <si>
    <t>L3-FUL-04</t>
  </si>
  <si>
    <t>FT-05 BV-03; AC-05; BR-034</t>
  </si>
  <si>
    <t>L3-FUL-05</t>
  </si>
  <si>
    <t>FT-05 AC-05; NAC-05; BR-029</t>
  </si>
  <si>
    <t>L3-FUL-06</t>
  </si>
  <si>
    <t>FT-05 NAC-01; BV-01; BR-032</t>
  </si>
  <si>
    <t>L3-FUL-07</t>
  </si>
  <si>
    <t>FT-05 NAC-05; NFR-SEC03</t>
  </si>
  <si>
    <t>L3-FUL-08</t>
  </si>
  <si>
    <t>FT-05 NAC-03; BR-013</t>
  </si>
  <si>
    <t>L3-FUL-09</t>
  </si>
  <si>
    <t>FT-05 AC-02; BR-032; BR-033; NFR-D01</t>
  </si>
  <si>
    <t>L3-DEL-01</t>
  </si>
  <si>
    <t>Delivery: lập chuyến -&gt; POD -&gt; thu COD</t>
  </si>
  <si>
    <t>FT-07 BV-01; AC-01; BR-037</t>
  </si>
  <si>
    <t>L3-DEL-02</t>
  </si>
  <si>
    <t>FT-07 NAC-01</t>
  </si>
  <si>
    <t>L3-DEL-03</t>
  </si>
  <si>
    <t>FT-07 NAC-02; BR-034</t>
  </si>
  <si>
    <t>L3-DEL-04</t>
  </si>
  <si>
    <t>FT-07 NAC-03; BR-038</t>
  </si>
  <si>
    <t>L3-DEL-05</t>
  </si>
  <si>
    <t>FT-07 BV-02; AC-04; BR-039</t>
  </si>
  <si>
    <t>L3-DEL-06</t>
  </si>
  <si>
    <t>FT-07 NAC-04; BR-016; BR-039</t>
  </si>
  <si>
    <t>L3-DEL-07</t>
  </si>
  <si>
    <t>FT-07 BV-03; AC-05; BR-040</t>
  </si>
  <si>
    <t>L3-DEL-08</t>
  </si>
  <si>
    <t>FT-07 AC-02; BR-034</t>
  </si>
  <si>
    <t>L3-DEL-09</t>
  </si>
  <si>
    <t>FT-07 NAC-05; NFR-SEC03</t>
  </si>
  <si>
    <t>L3-PUR-01</t>
  </si>
  <si>
    <t>L3-PurchasingInventoryAPI</t>
  </si>
  <si>
    <t>Purchase Order &amp; Goods Receipt</t>
  </si>
  <si>
    <t>FT-06 AC-01</t>
  </si>
  <si>
    <t>L3-PUR-02</t>
  </si>
  <si>
    <t>FT-06 NAC-05; NFR-SEC03</t>
  </si>
  <si>
    <t>L3-PUR-03</t>
  </si>
  <si>
    <t>FT-06 NAC-01; BR-014</t>
  </si>
  <si>
    <t>L3-PUR-04</t>
  </si>
  <si>
    <t>FT-06 BV-03; NAC-02; BR-015</t>
  </si>
  <si>
    <t>L3-PUR-05</t>
  </si>
  <si>
    <t>FT-06 BV-02; AC-04; BR-036</t>
  </si>
  <si>
    <t>L3-PUR-06</t>
  </si>
  <si>
    <t>FT-06 NAC-04; BR-021</t>
  </si>
  <si>
    <t>L3-PUR-07</t>
  </si>
  <si>
    <t>FT-06 NAC-05; BR-029</t>
  </si>
  <si>
    <t>L3-PUR-08</t>
  </si>
  <si>
    <t>FT-06 BV-01; NAC-03</t>
  </si>
  <si>
    <t>L3-TRF-01</t>
  </si>
  <si>
    <t>Stock Transfer</t>
  </si>
  <si>
    <t>FT-11 NAC-01; BV-03</t>
  </si>
  <si>
    <t>L3-TRF-02</t>
  </si>
  <si>
    <t>FT-11 BV-01; NAC-01</t>
  </si>
  <si>
    <t>L3-TRF-03</t>
  </si>
  <si>
    <t>FT-11 BV-02; AC-02; NAC-03</t>
  </si>
  <si>
    <t>L3-TRF-04</t>
  </si>
  <si>
    <t>FT-11 NAC-04; NFR-SEC03</t>
  </si>
  <si>
    <t>L3-TRF-05</t>
  </si>
  <si>
    <t>FT-11 AC-04; BR-029; BR-035</t>
  </si>
  <si>
    <t>L3-TRF-06</t>
  </si>
  <si>
    <t>FT-11 NAC-02; BR-032; NFR-D01</t>
  </si>
  <si>
    <t>L3-TRF-07</t>
  </si>
  <si>
    <t>FT-11 AC-05; NAC-05; BR-012</t>
  </si>
  <si>
    <t>L3-INV-01</t>
  </si>
  <si>
    <t>Stock Count / Adjustment / Material Issue</t>
  </si>
  <si>
    <t>FT-12 NAC-01; BR-044</t>
  </si>
  <si>
    <t>L3-INV-02</t>
  </si>
  <si>
    <t>FT-12 BV-01; NAC-02</t>
  </si>
  <si>
    <t>L3-INV-03</t>
  </si>
  <si>
    <t>FT-12 BV-02; AC-03; NAC-04</t>
  </si>
  <si>
    <t>L3-INV-04</t>
  </si>
  <si>
    <t>FT-12 NAC-03; BR-032</t>
  </si>
  <si>
    <t>L3-INV-05</t>
  </si>
  <si>
    <t>FT-12 NAC-05; BR-045</t>
  </si>
  <si>
    <t>L3-INV-06</t>
  </si>
  <si>
    <t>FT-12 AC-04; BV-03; BR-049</t>
  </si>
  <si>
    <t>L3-INV-07</t>
  </si>
  <si>
    <t>FT-12 BV-03; NAC-03; BR-045</t>
  </si>
  <si>
    <t>L3-SA-01</t>
  </si>
  <si>
    <t>L3-AfterSalesAdminAPI</t>
  </si>
  <si>
    <t>Customer assignment &amp; sales change</t>
  </si>
  <si>
    <t>FT-04 AC-02; BV-02; BR-002</t>
  </si>
  <si>
    <t>L3-SA-02</t>
  </si>
  <si>
    <t>FT-04 NAC-02</t>
  </si>
  <si>
    <t>L3-SA-03</t>
  </si>
  <si>
    <t>FT-04 BV-03</t>
  </si>
  <si>
    <t>L3-SA-04</t>
  </si>
  <si>
    <t>FT-04 NAC-04; NFR-SEC03</t>
  </si>
  <si>
    <t>L3-SA-05</t>
  </si>
  <si>
    <t>FT-04 AC-04; AC-05; BR-031</t>
  </si>
  <si>
    <t>L3-SA-06</t>
  </si>
  <si>
    <t>FT-04 BV-01; NAC-01; BR-001</t>
  </si>
  <si>
    <t>L3-SA-07</t>
  </si>
  <si>
    <t>FT-04 NAC-05; BR-031</t>
  </si>
  <si>
    <t>L3-AS-01</t>
  </si>
  <si>
    <t>Paid cancellation / credit / exchange</t>
  </si>
  <si>
    <t>FT-08 NAC-01; BR-017</t>
  </si>
  <si>
    <t>L3-AS-02</t>
  </si>
  <si>
    <t>FT-08 BV-01; AC-02; BR-041</t>
  </si>
  <si>
    <t>L3-AS-03</t>
  </si>
  <si>
    <t>FT-08 NAC-03</t>
  </si>
  <si>
    <t>L3-AS-04</t>
  </si>
  <si>
    <t>FT-08 BV-03; NAC-03</t>
  </si>
  <si>
    <t>L3-AS-05</t>
  </si>
  <si>
    <t>FT-08 NAC-04; BR-019</t>
  </si>
  <si>
    <t>L3-AS-06</t>
  </si>
  <si>
    <t>FT-08 AC-04; BR-018</t>
  </si>
  <si>
    <t>L3-AS-07</t>
  </si>
  <si>
    <t>FT-08 NAC-02; BR-041</t>
  </si>
  <si>
    <t>L3-AS-08</t>
  </si>
  <si>
    <t>FT-08 BV-02; AC-03; BR-042</t>
  </si>
  <si>
    <t>L3-ADM-01</t>
  </si>
  <si>
    <t>Administration, audit &amp; alerts</t>
  </si>
  <si>
    <t>FT-09 NAC-01; BV-01; NFR-SEC03</t>
  </si>
  <si>
    <t>L3-ADM-02</t>
  </si>
  <si>
    <t>FT-09 NAC-02</t>
  </si>
  <si>
    <t>L3-ADM-03</t>
  </si>
  <si>
    <t>FT-09 NAC-03; BR-048; NFR-SEC08</t>
  </si>
  <si>
    <t>L3-ADM-04</t>
  </si>
  <si>
    <t>FT-09 BV-02; NAC-04; BR-050</t>
  </si>
  <si>
    <t>L3-ADM-05</t>
  </si>
  <si>
    <t>FT-09 AC-02</t>
  </si>
  <si>
    <t>L3-FLOW-01</t>
  </si>
  <si>
    <t>L3-APIFlows</t>
  </si>
  <si>
    <t>Luồng đầu-cuối qua API</t>
  </si>
  <si>
    <t>FT-01 AC-05; FT-03 AC-02; FT-05 AC-01</t>
  </si>
  <si>
    <t>L3-FLOW-02</t>
  </si>
  <si>
    <t>FT-02 AC-04; AC-05; BR-026; BR-027</t>
  </si>
  <si>
    <t>L3-FLOW-03</t>
  </si>
  <si>
    <t>FT-05 AC-03; AC-05; FT-11 AC-01; AC-02; BR-012</t>
  </si>
  <si>
    <t>L3-FLOW-04</t>
  </si>
  <si>
    <t>FT-07 AC-01; AC-03; AC-04; BR-038; BR-039</t>
  </si>
  <si>
    <t>L3-FLOW-05</t>
  </si>
  <si>
    <t>FT-08 AC-01; AC-02; AC-03; BR-017; BR-041</t>
  </si>
  <si>
    <t>L3-FLOW-06</t>
  </si>
  <si>
    <t>FT-06 AC-01; AC-03; FT-01 AC-01; BR-014</t>
  </si>
  <si>
    <t>L3-FLOW-07</t>
  </si>
  <si>
    <t>NFR-A02; BR-049; FT-10 AC-04</t>
  </si>
  <si>
    <t>L3-PERF-01</t>
  </si>
  <si>
    <t>L3-Performance</t>
  </si>
  <si>
    <t>API response time</t>
  </si>
  <si>
    <t>NFR-P01</t>
  </si>
  <si>
    <t>L3-PERF-02</t>
  </si>
  <si>
    <t>NFR-P02</t>
  </si>
  <si>
    <t>L3-PERF-03</t>
  </si>
  <si>
    <t>NFR-P03</t>
  </si>
  <si>
    <t>L3-PERF-04</t>
  </si>
  <si>
    <t>NFR-P04</t>
  </si>
  <si>
    <t>L3-PERF-05</t>
  </si>
  <si>
    <t>NFR-P05</t>
  </si>
  <si>
    <t>L3-PERF-06</t>
  </si>
  <si>
    <t>NFR-P06</t>
  </si>
  <si>
    <t>L3-PERF-07</t>
  </si>
  <si>
    <t>NFR-P07</t>
  </si>
  <si>
    <t>L3-PERF-08</t>
  </si>
  <si>
    <t>NFR-S01</t>
  </si>
  <si>
    <t>L3-PERF-09</t>
  </si>
  <si>
    <t>NFR-S02</t>
  </si>
  <si>
    <t>L3-SEC-01</t>
  </si>
  <si>
    <t>L3-Security</t>
  </si>
  <si>
    <t>Broken Access Control (A01)</t>
  </si>
  <si>
    <t>NFR-SEC03; FT-01 NAC-05</t>
  </si>
  <si>
    <t>L3-SEC-02</t>
  </si>
  <si>
    <t>NFR-SEC03; FT-09 NAC-02</t>
  </si>
  <si>
    <t>L3-SEC-03</t>
  </si>
  <si>
    <t>NFR-SEC03; FT-05 NAC-05</t>
  </si>
  <si>
    <t>L3-SEC-04</t>
  </si>
  <si>
    <t>L3-SEC-05</t>
  </si>
  <si>
    <t>Cryptographic / Auth failures (A02, A07)</t>
  </si>
  <si>
    <t>NFR-SEC01</t>
  </si>
  <si>
    <t>L3-SEC-06</t>
  </si>
  <si>
    <t>L3-SEC-07</t>
  </si>
  <si>
    <t>L3-SEC-08</t>
  </si>
  <si>
    <t>NFR-SEC04; FT-01 BV-02</t>
  </si>
  <si>
    <t>L3-SEC-09</t>
  </si>
  <si>
    <t>L3-SEC-10</t>
  </si>
  <si>
    <t>Injection &amp; integrity (A03, A08)</t>
  </si>
  <si>
    <t>L3-SEC-11</t>
  </si>
  <si>
    <t>NFR-U02</t>
  </si>
  <si>
    <t>L3-SEC-12</t>
  </si>
  <si>
    <t>NFR-SEC05; FT-03 NAC-01</t>
  </si>
  <si>
    <t>L3-SEC-13</t>
  </si>
  <si>
    <t>NFR-SEC08; BR-048</t>
  </si>
  <si>
    <t>L3-SEC-14</t>
  </si>
  <si>
    <t>NFR-SEC07</t>
  </si>
  <si>
    <t>L3-SEC-18</t>
  </si>
  <si>
    <t>NFR-D01; NFR-A05; BR-032</t>
  </si>
  <si>
    <t>L3-SEC-19</t>
  </si>
  <si>
    <t>NFR-D02; BR-021; BR-020; BR-048</t>
  </si>
  <si>
    <t>L3-SEC-15</t>
  </si>
  <si>
    <t>Exposure &amp; config (A04, A05, A09)</t>
  </si>
  <si>
    <t>L3-SEC-16</t>
  </si>
  <si>
    <t>NFR-SEC06</t>
  </si>
  <si>
    <t>L3-SEC-17</t>
  </si>
  <si>
    <t>NFR-SEC05; FT-02 NAC-01</t>
  </si>
  <si>
    <t>L3-ADMC-01</t>
  </si>
  <si>
    <t>L3-AdminConfigAPI</t>
  </si>
  <si>
    <t>Quản trị người dùng &amp; cấu hình</t>
  </si>
  <si>
    <t>FT-09 AC-04; NFR-SEC02</t>
  </si>
  <si>
    <t>L3-ADMC-02</t>
  </si>
  <si>
    <t>L3-ADMC-03</t>
  </si>
  <si>
    <t>FT-09 AC-04; FT-04 NAC-03</t>
  </si>
  <si>
    <t>L3-ADMC-04</t>
  </si>
  <si>
    <t>FT-09 AC-03; BR-050</t>
  </si>
  <si>
    <t>L3-ADMC-05</t>
  </si>
  <si>
    <t>L3-ADMC-06</t>
  </si>
  <si>
    <t>FT-09 NAC-04</t>
  </si>
  <si>
    <t>L3-ADMC-07</t>
  </si>
  <si>
    <t>Audit · Vehicle · DiscountTier · Dashboard</t>
  </si>
  <si>
    <t>L3-ADMC-08</t>
  </si>
  <si>
    <t>FT-09 AC-04</t>
  </si>
  <si>
    <t>L3-ADMC-09</t>
  </si>
  <si>
    <t>FT-07 BV-01; BR-037</t>
  </si>
  <si>
    <t>L3-ADMC-10</t>
  </si>
  <si>
    <t>BR-037</t>
  </si>
  <si>
    <t>L3-ADMC-11</t>
  </si>
  <si>
    <t>FT-02 BV-01; BR-006</t>
  </si>
  <si>
    <t>L3-ADMC-12</t>
  </si>
  <si>
    <t>BR-006; BR-050</t>
  </si>
  <si>
    <t>L3-ADMC-13</t>
  </si>
  <si>
    <t>FT-09 NAC-01; NFR-SEC03</t>
  </si>
  <si>
    <t>L3-ADMC-14</t>
  </si>
  <si>
    <t>BR-049; FT-09 AC-05</t>
  </si>
  <si>
    <t>L3-ADMC-15</t>
  </si>
  <si>
    <t>L3-ADMC-16</t>
  </si>
  <si>
    <t>FT-09 BV-03; BR-049; NFR-A04</t>
  </si>
  <si>
    <t>L3-ADMC-17</t>
  </si>
  <si>
    <t>NFR-M03; FT-09 AC-04</t>
  </si>
  <si>
    <t>L3-MKT-01</t>
  </si>
  <si>
    <t>L3-MarketingReturnAPI</t>
  </si>
  <si>
    <t>Marketing: duyệt &amp; đăng</t>
  </si>
  <si>
    <t>FT-10 AC-01; BR-046</t>
  </si>
  <si>
    <t>L3-MKT-02</t>
  </si>
  <si>
    <t>FT-10 NAC-02; BR-046; NFR-SEC03</t>
  </si>
  <si>
    <t>L3-MKT-03</t>
  </si>
  <si>
    <t>FT-10 NAC-01; BR-046</t>
  </si>
  <si>
    <t>L3-MKT-04</t>
  </si>
  <si>
    <t>FT-10 AC-03; NFR-P07</t>
  </si>
  <si>
    <t>L3-MKT-05</t>
  </si>
  <si>
    <t>FT-10 NAC-05; BR-029; BR-049</t>
  </si>
  <si>
    <t>L3-MKT-06</t>
  </si>
  <si>
    <t>FT-10 AC-04; BR-049; FT-09 AC-05</t>
  </si>
  <si>
    <t>L3-MKT-07</t>
  </si>
  <si>
    <t>FT-10 BV-02; NAC-03</t>
  </si>
  <si>
    <t>L3-MKT-08</t>
  </si>
  <si>
    <t>FT-10 BV-01; NAC-03</t>
  </si>
  <si>
    <t>L3-MKT-09</t>
  </si>
  <si>
    <t>FT-10 NAC-04; NFR-SEC07</t>
  </si>
  <si>
    <t>L3-MKT-10</t>
  </si>
  <si>
    <t>FT-10 BV-03; NAC-04; NFR-SEC07</t>
  </si>
  <si>
    <t>L3-MKT-11</t>
  </si>
  <si>
    <t>FT-10 AC-05; BR-003</t>
  </si>
  <si>
    <t>L3-RET-01</t>
  </si>
  <si>
    <t>Đổi/trả &amp; thu hồi</t>
  </si>
  <si>
    <t>FT-08 AC-05</t>
  </si>
  <si>
    <t>L3-RET-02</t>
  </si>
  <si>
    <t>FT-08 BV-03</t>
  </si>
  <si>
    <t>L3-RET-03</t>
  </si>
  <si>
    <t>FT-08 NAC-05; NFR-SEC03</t>
  </si>
  <si>
    <t>L3-RET-04</t>
  </si>
  <si>
    <t>FT-08 NAC-05; SRS §4.4.3.2</t>
  </si>
  <si>
    <t>L3-RET-05</t>
  </si>
  <si>
    <t>FT-08 AC-05; BR-019</t>
  </si>
  <si>
    <t>L3-RET-06</t>
  </si>
  <si>
    <t>FT-08 NAC-04</t>
  </si>
  <si>
    <t>L3-AuthAPI  |  AuthController  |  Input-domain partitioning: identity, OTP, token, role  |  FT-01; NFR-SEC02/03/04</t>
  </si>
  <si>
    <t>HOW TO USE:  (1) Đọc Introduction  (2) Đối chiếu endpoint với Swagger trước khi chạy  (3) Chạy bằng Postman/Newman hoặc xUnit + WebApplicationFactory  (4) Cập nhật Status  (5) Ghi Defect ID khi Fail</t>
  </si>
  <si>
    <t>Feature</t>
  </si>
  <si>
    <t xml:space="preserve">  ▶  Block: POST /api/auth/register  ·  POST /api/auth/verify-otp  |  Dimensions: email uniqueness, OTP validity, attempt count</t>
  </si>
  <si>
    <t>Input-Domain-Happy</t>
  </si>
  <si>
    <t>FT-01</t>
  </si>
  <si>
    <t>POST /api/auth/register</t>
  </si>
  <si>
    <t>None (public)</t>
  </si>
  <si>
    <t>Body: {email: unique@vt.vn, password, phone, fullName}</t>
  </si>
  <si>
    <t>200 / 201</t>
  </si>
  <si>
    <t>{ success: true }  ·  DB: User pending, PasswordHash != plaintext</t>
  </si>
  <si>
    <t>None</t>
  </si>
  <si>
    <t>Input-Domain-Error</t>
  </si>
  <si>
    <t>Body: email đã tồn tại</t>
  </si>
  <si>
    <t>409</t>
  </si>
  <si>
    <t>{ errorCode: DUPLICATE_IDENTITY }</t>
  </si>
  <si>
    <t>DUPLICATE_IDENTITY</t>
  </si>
  <si>
    <t>POST /api/auth/verify-email?token=</t>
  </si>
  <si>
    <t>Query: token hết hạn/sai</t>
  </si>
  <si>
    <t>400</t>
  </si>
  <si>
    <t>{ errorCode: VERIFICATION_TOKEN_INVALID }</t>
  </si>
  <si>
    <t>VERIFICATION_TOKEN_INVALID</t>
  </si>
  <si>
    <t>BVA</t>
  </si>
  <si>
    <t>POST /api/auth/verify-otp</t>
  </si>
  <si>
    <t>Bearer JWT (Customer)</t>
  </si>
  <si>
    <t>Body.otp: [Theory] 5 chữ số / 6 chữ số / 7 chữ số</t>
  </si>
  <si>
    <t>400 (5,7) · 200 (6)</t>
  </si>
  <si>
    <t>OTP đúng 6 chữ số mới hợp lệ</t>
  </si>
  <si>
    <t>OTP_INVALID</t>
  </si>
  <si>
    <t>Bearer JWT</t>
  </si>
  <si>
    <t>OTP tạo lúc T; gửi tại T+4:59 và T+5:00</t>
  </si>
  <si>
    <t>200 (4:59) · 400 (5:00)</t>
  </si>
  <si>
    <t>{ errorCode: OTP_EXPIRED } tại 5:00</t>
  </si>
  <si>
    <t>OTP_EXPIRED</t>
  </si>
  <si>
    <t>Nhập sai lần 4, 5, 6 liên tiếp</t>
  </si>
  <si>
    <t>400 (4,5) · 409 (6)</t>
  </si>
  <si>
    <t>{ errorCode: OTP_ATTEMPT_LIMIT_REACHED } ở lần 6</t>
  </si>
  <si>
    <t>OTP_ATTEMPT_LIMIT_REACHED</t>
  </si>
  <si>
    <t>POST /api/auth/resend-otp</t>
  </si>
  <si>
    <t>Resend tại 59s và 60s sau lần gửi trước</t>
  </si>
  <si>
    <t>429 (59s) · 200 (60s)</t>
  </si>
  <si>
    <t>{ errorCode: OTP_RESEND_TOO_SOON } tại 59s</t>
  </si>
  <si>
    <t>OTP_RESEND_TOO_SOON</t>
  </si>
  <si>
    <t xml:space="preserve">  ▶  Block: POST /api/auth/login  ·  POST /api/auth/refresh  ·  POST /api/auth/logout  |  Dimensions: credential, token state, rotation</t>
  </si>
  <si>
    <t>POST /api/auth/login</t>
  </si>
  <si>
    <t>Body: {email, password} hợp lệ</t>
  </si>
  <si>
    <t>200</t>
  </si>
  <si>
    <t>{ accessToken, refreshToken, user.role }</t>
  </si>
  <si>
    <t>Body: password sai</t>
  </si>
  <si>
    <t>400 / 401</t>
  </si>
  <si>
    <t>Thông điệp CHUNG, không lộ trường nào sai</t>
  </si>
  <si>
    <t>POST /api/auth/refresh</t>
  </si>
  <si>
    <t>None (refresh token trong body)</t>
  </si>
  <si>
    <t>Body: {refreshToken: RT1} hợp lệ</t>
  </si>
  <si>
    <t>accessToken mới + refreshToken MỚI (RT2 != RT1)</t>
  </si>
  <si>
    <t>Body: {refreshToken: RT1} — đã dùng ở L3-AUTH-10</t>
  </si>
  <si>
    <t>401</t>
  </si>
  <si>
    <t>Từ chối token cũ sau rotation</t>
  </si>
  <si>
    <t>GET /api/orders</t>
  </si>
  <si>
    <t>Không gửi Authorization</t>
  </si>
  <si>
    <t>Headers: (thiếu Authorization)</t>
  </si>
  <si>
    <t>{ errorCode: AUTHENTICATION_REQUIRED }</t>
  </si>
  <si>
    <t>AUTHENTICATION_REQUIRED</t>
  </si>
  <si>
    <t>Bearer JWT hết hạn</t>
  </si>
  <si>
    <t>Authorization: Bearer {expiredJWT}</t>
  </si>
  <si>
    <t>Không trả dữ liệu nghiệp vụ</t>
  </si>
  <si>
    <t xml:space="preserve">  ▶  Template Row — copy khi thêm case mới</t>
  </si>
  <si>
    <t>L3-XX-[NN]</t>
  </si>
  <si>
    <t>[Input-Domain-Happy | Input-Domain-Error | BVA | Idempotency | Workflow]</t>
  </si>
  <si>
    <t>[FT-xx AC/NAC/BV-xx; BR-xxx; NFR-xxx]</t>
  </si>
  <si>
    <t>[FT-xx]</t>
  </si>
  <si>
    <t>[VERB /api/...]</t>
  </si>
  <si>
    <t>[None | Bearer JWT (role)]</t>
  </si>
  <si>
    <t>[Params / Body / Headers]</t>
  </si>
  <si>
    <t>[2xx | 4xx]</t>
  </si>
  <si>
    <t>[thân phản hồi + trạng thái DB mong đợi]</t>
  </si>
  <si>
    <t>[ERROR_CODE | None]</t>
  </si>
  <si>
    <t>L3-OrderPaymentAPI  |  OrderController · CartController · PaymentsController · SePayController  |  FT-01; FT-02; FT-03</t>
  </si>
  <si>
    <t xml:space="preserve">  ▶  Block: POST /api/orders (checkout)  |  Dimensions: cart state, price snapshot age, stock, subtotal tier</t>
  </si>
  <si>
    <t>POST /api/orders</t>
  </si>
  <si>
    <t>Body: {addressId, paymentMethod: COD}  ·  Giỏ hợp lệ, snapshot &lt; 24h</t>
  </si>
  <si>
    <t>{ orderId, orderCode, status }  ·  DB: Order + OrderItem + snapshot bất biến; reservation COD 35 phút</t>
  </si>
  <si>
    <t>PriceSnapshot tạo lúc NOW-24:00:01</t>
  </si>
  <si>
    <t>{ errorCode: PRICE_SNAPSHOT_EXPIRED_OR_STOCK_CHANGED }</t>
  </si>
  <si>
    <t>PRICE_SNAPSHOT_EXPIRED_OR_STOCK_CHANGED</t>
  </si>
  <si>
    <t>[Theory] snapshot age = 23:59:59 / 24:00:00</t>
  </si>
  <si>
    <t>200 (23:59:59) · 409 (24:00:00)</t>
  </si>
  <si>
    <t>Biên chính xác theo BV-01</t>
  </si>
  <si>
    <t>POST /api/Cart/items</t>
  </si>
  <si>
    <t>Body: {skuId của sản phẩm DISCONTINUED}</t>
  </si>
  <si>
    <t>{ errorCode: PRODUCT_NOT_ORDERABLE }</t>
  </si>
  <si>
    <t>PRODUCT_NOT_ORDERABLE</t>
  </si>
  <si>
    <t>FT-02</t>
  </si>
  <si>
    <t>Body chứa subtotal/discount do client tự tính (lệch server)</t>
  </si>
  <si>
    <t>{ errorCode: CLIENT_PRICE_MISMATCH }  ·  Không tạo Order</t>
  </si>
  <si>
    <t>CLIENT_PRICE_MISMATCH</t>
  </si>
  <si>
    <t>GET /api/orders/checkout-summary</t>
  </si>
  <si>
    <t>[Theory] subtotal = 9,999,999 / 10,000,000 / 99,999,999 / 100,000,000 VND</t>
  </si>
  <si>
    <t>pricingSource = LIST / TIER / TIER / QUOTATION_REQUIRED tương ứng</t>
  </si>
  <si>
    <t>POST /api/Quotation</t>
  </si>
  <si>
    <t>Giỏ = 80,000,000 VND</t>
  </si>
  <si>
    <t>{ errorCode: QUOTATION_NOT_ELIGIBLE }</t>
  </si>
  <si>
    <t>QUOTATION_NOT_ELIGIBLE</t>
  </si>
  <si>
    <t>GET /api/orders/{id}</t>
  </si>
  <si>
    <t>Bearer JWT (Customer B)</t>
  </si>
  <si>
    <t>{id} là đơn của Customer A</t>
  </si>
  <si>
    <t>403</t>
  </si>
  <si>
    <t>{ errorCode: RESOURCE_FORBIDDEN }  ·  Không lộ dữ liệu</t>
  </si>
  <si>
    <t>RESOURCE_FORBIDDEN</t>
  </si>
  <si>
    <t xml:space="preserve">  ▶  Block: POST /api/webhooks/sepay  |  Dimensions: signature, amount, idempotency, reservation age</t>
  </si>
  <si>
    <t>FT-03</t>
  </si>
  <si>
    <t>Chữ ký/API key của SePay</t>
  </si>
  <si>
    <t>Body hợp lệ, amount == order total, trong 15 phút</t>
  </si>
  <si>
    <t>Payment = PAID; Order = CONFIRMED; 1 PaymentTransaction; ack &lt; 3s (NFR-P05)</t>
  </si>
  <si>
    <t>Chữ ký SAI</t>
  </si>
  <si>
    <t>Header Authorization/signature không hợp lệ</t>
  </si>
  <si>
    <t>{ errorCode: SEPAY_SIGNATURE_INVALID }  ·  Ghi SepayWebhookLog</t>
  </si>
  <si>
    <t>SEPAY_SIGNATURE_INVALID</t>
  </si>
  <si>
    <t>Chữ ký hợp lệ</t>
  </si>
  <si>
    <t>[Theory] amount = total-1 / total / total+1 VND</t>
  </si>
  <si>
    <t>400 (±1) · 200 (total)</t>
  </si>
  <si>
    <t>Khớp CHÍNH XÁC mới chấp nhận</t>
  </si>
  <si>
    <t>SEPAY_WEBHOOK_INVALID</t>
  </si>
  <si>
    <t>Idempotency</t>
  </si>
  <si>
    <t>Gửi lại NGUYÊN payload đã xử lý (cùng transaction id)</t>
  </si>
  <si>
    <t>{ errorCode: PAYMENT_EVENT_ALREADY_PROCESSED }  ·  Vẫn đúng 1 PaymentTransaction</t>
  </si>
  <si>
    <t>PAYMENT_EVENT_ALREADY_PROCESSED</t>
  </si>
  <si>
    <t>Reservation age = 14:59 và 15:00</t>
  </si>
  <si>
    <t>200 (14:59) · 409 (15:00)</t>
  </si>
  <si>
    <t>15:00: Payment vẫn PAID, Order = PAID_REVIEW_REQUIRED, tạo task cho Sales Manager</t>
  </si>
  <si>
    <t>PAID_REVIEW_REQUIRED</t>
  </si>
  <si>
    <t xml:space="preserve">  ▶  Block: POST /api/orders/{id}/manual-confirm  ·  COD SLA  |  Dimensions: role, evidence, SLA minute</t>
  </si>
  <si>
    <t>POST /api/orders/{id}/manual-confirm</t>
  </si>
  <si>
    <t>Bearer JWT (Sales Staff)</t>
  </si>
  <si>
    <t>Role KHÔNG phải Sales Manager</t>
  </si>
  <si>
    <t>{ errorCode: MANUAL_CONFIRM_FORBIDDEN }</t>
  </si>
  <si>
    <t>MANUAL_CONFIRM_FORBIDDEN</t>
  </si>
  <si>
    <t>Bearer JWT (Sales Manager)</t>
  </si>
  <si>
    <t>Body thiếu evidence/reason</t>
  </si>
  <si>
    <t>{ errorCode: PAYMENT_EVIDENCE_REQUIRED }</t>
  </si>
  <si>
    <t>PAYMENT_EVIDENCE_REQUIRED</t>
  </si>
  <si>
    <t>POST /api/orders/{id}/confirm (COD)</t>
  </si>
  <si>
    <t>[Theory] thời điểm 24:59 / 25:00 / 29:59 / 30:00 / 34:59 / 35:00 kể từ khi tạo đơn</t>
  </si>
  <si>
    <t>200 (&lt;35:00) · 409 (35:00)</t>
  </si>
  <si>
    <t>25:00 cảnh báo Sales; 30:00 escalate Sales Manager; 35:00 reservation hết hạn</t>
  </si>
  <si>
    <t>Gửi lại CÙNG business key đã xác nhận thủ công trước đó</t>
  </si>
  <si>
    <t>Trả về kết quả gốc; KHÔNG tạo thêm PaymentTransaction / allocation / fulfilment</t>
  </si>
  <si>
    <t xml:space="preserve">  ▶  Block: Hồ sơ khách hàng, địa chỉ &amp; đơn tạo tay  |  FT-01 AC-03/BV-03/NAC-05; FT-03 NAC-05; BR-028; BR-030</t>
  </si>
  <si>
    <t>POST /api/orders  →  PUT /api/customers/me</t>
  </si>
  <si>
    <t>Tạo đơn, sau đó sửa địa chỉ và thông tin VAT trong hồ sơ</t>
  </si>
  <si>
    <t>Snapshot địa chỉ giao và thông tin VAT trên đơn GIỮ NGUYÊN sau khi hồ sơ thay đổi</t>
  </si>
  <si>
    <t>POST /api/customers/me/addresses</t>
  </si>
  <si>
    <t>[Theory] khách đang có 0 / 1 địa chỉ mặc định, thêm địa chỉ mới isDefault = true</t>
  </si>
  <si>
    <t>Luôn đúng 0 hoặc 1 địa chỉ mặc định; không bao giờ tồn tại 2 (địa chỉ cũ tự bỏ mặc định)</t>
  </si>
  <si>
    <t>DELETE /api/customers/me/addresses/{id}</t>
  </si>
  <si>
    <t>Địa chỉ đã được tham chiếu bởi đơn hàng lịch sử</t>
  </si>
  <si>
    <t>{ errorCode: HISTORICAL_ADDRESS_IMMUTABLE }  ·  Chỉ cho phép soft-deactivate, đơn cũ vẫn tra cứu được</t>
  </si>
  <si>
    <t>HISTORICAL_ADDRESS_IMMUTABLE</t>
  </si>
  <si>
    <t>POST /api/orders (đơn tạo tay)</t>
  </si>
  <si>
    <t>Đơn đầu tiên của khách, chưa xác thực OTP số điện thoại</t>
  </si>
  <si>
    <t>{ errorCode: FIRST_ORDER_OTP_REQUIRED }  ·  Không tạo Order, không tạo reservation</t>
  </si>
  <si>
    <t>FIRST_ORDER_OTP_REQUIRED</t>
  </si>
  <si>
    <t>Giỏ ≥ 100.000.000 VND nhưng KHÔNG kèm báo giá đã duyệt</t>
  </si>
  <si>
    <t>{ errorCode: ORDER_RULE_BYPASS_REJECTED }  ·  Không tạo đơn, không cấp phát tồn kho</t>
  </si>
  <si>
    <t>ORDER_RULE_BYPASS_REJECTED</t>
  </si>
  <si>
    <t>L3-QuotationAPI  |  QuotationController  |  Dimensions: state, role, version freshness  |  FT-02; BR-007/020/026/027</t>
  </si>
  <si>
    <t xml:space="preserve">  ▶  Block: Vòng đời báo giá qua HTTP  |  Sales -&gt; Sales Manager -&gt; CEO -&gt; Customer</t>
  </si>
  <si>
    <t>Giỏ &gt;= 100,000,000 VND, chưa có quotation được chấp nhận</t>
  </si>
  <si>
    <t>Tạo 1 QuotationRequest + 1 ChatRoom, gán Sales Staff phụ trách</t>
  </si>
  <si>
    <t>POST /api/Quotation/{id}/versions</t>
  </si>
  <si>
    <t>Bearer JWT (Sales Staff được gán)</t>
  </si>
  <si>
    <t>Body: các dòng đề xuất giá</t>
  </si>
  <si>
    <t>Version mới ở trạng thái chờ Sales Manager duyệt</t>
  </si>
  <si>
    <t>POST /api/Quotation/{id}/ceo-review</t>
  </si>
  <si>
    <t>Sai vai trò duyệt</t>
  </si>
  <si>
    <t>{ errorCode: QUOTATION_ACTION_FORBIDDEN }</t>
  </si>
  <si>
    <t>QUOTATION_ACTION_FORBIDDEN</t>
  </si>
  <si>
    <t>POST /api/Quotation/{id}/customer-decision</t>
  </si>
  <si>
    <t>Chấp nhận version CHƯA qua đủ 2 cấp duyệt</t>
  </si>
  <si>
    <t>{ errorCode: QUOTATION_STATE_INVALID }</t>
  </si>
  <si>
    <t>QUOTATION_STATE_INVALID</t>
  </si>
  <si>
    <t>POST /api/orders (sau khi chấp nhận báo giá)</t>
  </si>
  <si>
    <t>[Theory] giỏ khác version đã duyệt: quantity +1 / -1 / đổi SKU / đổi UOM / đổi ngày giao</t>
  </si>
  <si>
    <t>{ errorCode: QUOTATION_VERSION_STALE }  ·  Bắt buộc tạo version mới + duyệt lại</t>
  </si>
  <si>
    <t>QUOTATION_VERSION_STALE</t>
  </si>
  <si>
    <t>PUT /api/Quotation/{id}/messages/{msgId}</t>
  </si>
  <si>
    <t>Sửa nội dung tin nhắn đã gửi</t>
  </si>
  <si>
    <t>403 / 409</t>
  </si>
  <si>
    <t>Tin nhắn báo giá bất biến (BR-020)</t>
  </si>
  <si>
    <t>GET /api/Quotation/{id}/messages</t>
  </si>
  <si>
    <t>Bearer JWT (Customer khác)</t>
  </si>
  <si>
    <t>Không phải chủ sở hữu / không phải Sales được gán</t>
  </si>
  <si>
    <t>Không trả nội dung đàm phán</t>
  </si>
  <si>
    <t>POST /api/Quotation/{id}/customer-decision (accept)</t>
  </si>
  <si>
    <t>[Theory] tuổi PriceSnapshot = 23:59:59 / 24:00:00; xen giữa có thay đổi cấu hình DiscountTier</t>
  </si>
  <si>
    <t>{ errorCode: PRICE_SNAPSHOT_EXPIRED } tại 24:00:00  ·  Thay đổi cấu hình giá KHÔNG sửa snapshot đang hiệu lực</t>
  </si>
  <si>
    <t>PRICE_SNAPSHOT_EXPIRED</t>
  </si>
  <si>
    <t>L3-FulfilmentDeliveryAPI  |  WarehouseController · GoodsIssueController · HandoverController · DeliveryController · WarehouseShiftController  |  FT-05; FT-07</t>
  </si>
  <si>
    <t xml:space="preserve">  ▶  Block: Fulfilment: allocation -&gt; pick -&gt; handover -&gt; goods issue  |  FT-05</t>
  </si>
  <si>
    <t>FT-05</t>
  </si>
  <si>
    <t>GET /api/warehouse/orders/fulfillment-orders</t>
  </si>
  <si>
    <t>Bearer JWT (Warehouse Staff)</t>
  </si>
  <si>
    <t>Có đơn vừa CONFIRMED</t>
  </si>
  <si>
    <t>Trả FulfillmentOrder + PickTask; CHƯA có SALES GoodsIssue</t>
  </si>
  <si>
    <t>POST /api/goods-issues/{id}/post</t>
  </si>
  <si>
    <t>Post ngay sau CONFIRMED, chưa consolidation/handover</t>
  </si>
  <si>
    <t>{ errorCode: GOODS_ISSUE_PREREQUISITE_NOT_MET }  ·  Tồn kho không đổi</t>
  </si>
  <si>
    <t>GOODS_ISSUE_PREREQUISITE_NOT_MET</t>
  </si>
  <si>
    <t>POST /api/warehouse/orders/pick-tasks/{id}/complete</t>
  </si>
  <si>
    <t>[Theory] picked = 1 / allocation-1 / allocation / allocation+1</t>
  </si>
  <si>
    <t>200 (&lt;=alloc) · 422 (alloc+1)</t>
  </si>
  <si>
    <t>{ errorCode: PICK_OR_HANDOVER_DISCREPANCY } khi vượt allocation</t>
  </si>
  <si>
    <t>PICK_OR_HANDOVER_DISCREPANCY</t>
  </si>
  <si>
    <t>POST /api/handover-records/{id}/confirm</t>
  </si>
  <si>
    <t>Bearer JWT (Kho + Sales)</t>
  </si>
  <si>
    <t>[Theory] số kiện Kho/Sales = N/N · N/(N-1) · N/(N+1) · 0/0</t>
  </si>
  <si>
    <t>200 (N/N) · 422 (còn lại)</t>
  </si>
  <si>
    <t>Chỉ khớp tuyệt đối mới cho phép post GoodsIssue</t>
  </si>
  <si>
    <t>Gọi lần 2 với cùng idempotency key</t>
  </si>
  <si>
    <t>200 (kết quả gốc) hoặc 409</t>
  </si>
  <si>
    <t>Tồn kho KHÔNG bị trừ lần 2</t>
  </si>
  <si>
    <t>POSTED_DOCUMENT_IMMUTABLE</t>
  </si>
  <si>
    <t>Một dòng vượt tồn kho khả dụng</t>
  </si>
  <si>
    <t>{ errorCode: INVENTORY_INVARIANT_VIOLATION }  ·  Rollback TOÀN BỘ, không trừ một phần</t>
  </si>
  <si>
    <t>INVENTORY_INVARIANT_VIOLATION</t>
  </si>
  <si>
    <t>Bearer JWT (Warehouse Staff kho khác)</t>
  </si>
  <si>
    <t>Thao tác ngoài phạm vi kho được gán</t>
  </si>
  <si>
    <t>{ errorCode: WAREHOUSE_ACTION_FORBIDDEN }</t>
  </si>
  <si>
    <t>WAREHOUSE_ACTION_FORBIDDEN</t>
  </si>
  <si>
    <t>POST /api/warehouse/orders/multi-pick</t>
  </si>
  <si>
    <t>Multi-pick CHƯA được Sales Manager duyệt</t>
  </si>
  <si>
    <t>{ errorCode: FULFILMENT_PLAN_CONFLICT }</t>
  </si>
  <si>
    <t>FULFILMENT_PLAN_CONFLICT</t>
  </si>
  <si>
    <t>Workflow</t>
  </si>
  <si>
    <t>POST /api/orders/{id}/confirm  →  GET /api/inventory/{skuId}</t>
  </si>
  <si>
    <t>Chuyển reservation ACTIVE → ALLOCATED, sau đó kích hoạt job hết hạn reservation</t>
  </si>
  <si>
    <t>Mọi InventoryBalance cập nhật nguyên tử; Available ≥ 0; job KHÔNG giải phóng phần đã ALLOCATED</t>
  </si>
  <si>
    <t xml:space="preserve">  ▶  Block: Delivery: lập chuyến -&gt; POD -&gt; thu COD  |  FT-07</t>
  </si>
  <si>
    <t>FT-07</t>
  </si>
  <si>
    <t>POST /api/delivery/trips</t>
  </si>
  <si>
    <t>[Theory] vehicle 1..5 + shift Morning/Noon/Afternoon; lần gán thứ 2 cùng xe/ngày/ca</t>
  </si>
  <si>
    <t>200 (lần 1) · 409 (lần 2)</t>
  </si>
  <si>
    <t>{ errorCode: VEHICLE_SHIFT_CONFLICT } cho lần trùng</t>
  </si>
  <si>
    <t>VEHICLE_SHIFT_CONFLICT</t>
  </si>
  <si>
    <t>Xe đang bảo trì / inactive</t>
  </si>
  <si>
    <t>{ errorCode: VEHICLE_NOT_AVAILABLE }</t>
  </si>
  <si>
    <t>VEHICLE_NOT_AVAILABLE</t>
  </si>
  <si>
    <t>POST /api/delivery/trips/{id}/start</t>
  </si>
  <si>
    <t>Chưa có HandoverRecord hợp lệ</t>
  </si>
  <si>
    <t>{ errorCode: HANDOVER_NOT_READY }  ·  Trip không chuyển IN_DELIVERY</t>
  </si>
  <si>
    <t>HANDOVER_NOT_READY</t>
  </si>
  <si>
    <t>POST /api/delivery/attempts</t>
  </si>
  <si>
    <t>Đánh dấu DELIVERED nhưng thiếu ảnh / chữ ký / timestamp</t>
  </si>
  <si>
    <t>422</t>
  </si>
  <si>
    <t>{ errorCode: POD_INCOMPLETE_OR_INVALID }</t>
  </si>
  <si>
    <t>POD_INCOMPLETE_OR_INVALID</t>
  </si>
  <si>
    <t>POST /api/delivery/collections</t>
  </si>
  <si>
    <t>[Theory] số tiền thu = -1 / 0 / remaining-1 / remaining / remaining+1</t>
  </si>
  <si>
    <t>400 (-1, +1) · 200 (0..remaining)</t>
  </si>
  <si>
    <t>Thu thiếu -&gt; tạo/ cập nhật DebtRecord phần còn lại</t>
  </si>
  <si>
    <t>COD_AMOUNT_INVALID</t>
  </si>
  <si>
    <t>Đơn đã PAID qua SePay</t>
  </si>
  <si>
    <t>{ errorCode: COD_NOT_ALLOWED_FOR_PAID_ORDER }</t>
  </si>
  <si>
    <t>COD_NOT_ALLOWED_FOR_PAID_ORDER</t>
  </si>
  <si>
    <t>[Theory] lần giao hỏng thứ 1, 2, 3, 4</t>
  </si>
  <si>
    <t>200 (1-3) · 409 (4)</t>
  </si>
  <si>
    <t>Lần 3 tạo escalation Sales Manager; lần 4 bị chặn nếu chưa có quyết định</t>
  </si>
  <si>
    <t>DELIVERY_ESCALATION_REQUIRED</t>
  </si>
  <si>
    <t>POST /api/handover-records/{id}/confirm  →  POST /api/delivery/trips/{id}/start</t>
  </si>
  <si>
    <t>Số kiện hai bên khớp + đủ bằng chứng</t>
  </si>
  <si>
    <t>Ghi HandoverRecord với CẢ HAI danh tính + timestamp; trip được phép chuyển IN_DELIVERY</t>
  </si>
  <si>
    <t>GET /api/delivery/trips/{id}</t>
  </si>
  <si>
    <t>Bearer JWT (Sales Staff S2)</t>
  </si>
  <si>
    <t>Chuyến giao thuộc Sales Staff S1</t>
  </si>
  <si>
    <t>{ errorCode: DELIVERY_SCOPE_FORBIDDEN }  ·  Không trả dữ liệu chuyến của S1</t>
  </si>
  <si>
    <t>DELIVERY_SCOPE_FORBIDDEN</t>
  </si>
  <si>
    <t>L3-PurchasingInventoryAPI  |  PurchaseOrderController · StockTransferController · InventoryController · MaterialController · SuppliersController  |  FT-06; FT-11; FT-12</t>
  </si>
  <si>
    <t xml:space="preserve">  ▶  Block: Purchase Order &amp; Goods Receipt  |  FT-06</t>
  </si>
  <si>
    <t>FT-06</t>
  </si>
  <si>
    <t>POST /api/purchase-orders  →  POST /{id}/issue</t>
  </si>
  <si>
    <t>Bearer JWT (CEO)</t>
  </si>
  <si>
    <t>Body hợp lệ: supplier + kho nhận + dòng SKU + ngày dự kiến</t>
  </si>
  <si>
    <t>PO Draft -&gt; Issued; version phát hành BẤT BIẾN</t>
  </si>
  <si>
    <t>POST /api/purchase-orders/{id}/issue</t>
  </si>
  <si>
    <t>Sai vai trò phát hành PO</t>
  </si>
  <si>
    <t>{ errorCode: PURCHASING_ACTION_FORBIDDEN }</t>
  </si>
  <si>
    <t>PURCHASING_ACTION_FORBIDDEN</t>
  </si>
  <si>
    <t>POST /api/inventory/post-from-po</t>
  </si>
  <si>
    <t>Cố tăng tồn kho thẳng từ PO, không qua GoodsReceipt</t>
  </si>
  <si>
    <t>{ errorCode: GOODS_RECEIPT_REQUIRED }  ·  Tồn kho không đổi</t>
  </si>
  <si>
    <t>GOODS_RECEIPT_REQUIRED</t>
  </si>
  <si>
    <t>POST /api/purchase-orders/import-excel</t>
  </si>
  <si>
    <t>[Theory] file 0 dòng / 1 dòng / kích thước limit-1B, limit, limit+1B / định dạng không hỗ trợ</t>
  </si>
  <si>
    <t>200 (hợp lệ) · 400/413/415</t>
  </si>
  <si>
    <t>{ errorCode: IMPORT_VALIDATION_FAILED }  ·  ImportBatch giữ DRAFT, KHÔNG issue PO</t>
  </si>
  <si>
    <t>IMPORT_VALIDATION_FAILED</t>
  </si>
  <si>
    <t>POST /api/goods-receipts/{id}/post</t>
  </si>
  <si>
    <t>[Theory] luỹ kế accepted = ordered-1 / ordered / ordered+1</t>
  </si>
  <si>
    <t>200 (&lt;=ordered) · 422 (ordered+1)</t>
  </si>
  <si>
    <t>ordered-1 -&gt; PO PARTIALLY_RECEIVED; vượt ordered cần quyết định discrepancy</t>
  </si>
  <si>
    <t>RECEIPT_RECONCILIATION_FAILED</t>
  </si>
  <si>
    <t>PUT /api/goods-receipts/{id}</t>
  </si>
  <si>
    <t>Sửa receipt đã POSTED</t>
  </si>
  <si>
    <t>{ errorCode: POSTED_DOCUMENT_IMMUTABLE }</t>
  </si>
  <si>
    <t>Post lần 2 cùng idempotency key</t>
  </si>
  <si>
    <t>200 (kết quả gốc) / 409</t>
  </si>
  <si>
    <t>Tồn kho KHÔNG tăng lần 2</t>
  </si>
  <si>
    <t>POSTING_CONFLICT</t>
  </si>
  <si>
    <t>[Theory] phân loại accepted/short/damaged = -1 / 0 / 1; tổng phân loại = thực nhận -1 / = / +1</t>
  </si>
  <si>
    <t>400 (âm) · 422 (lệch)</t>
  </si>
  <si>
    <t>{ errorCode: RECEIPT_RECONCILIATION_FAILED }  ·  Rollback TOÀN BỘ, không post một phần dòng nào</t>
  </si>
  <si>
    <t xml:space="preserve">  ▶  Block: Stock Transfer  |  FT-11</t>
  </si>
  <si>
    <t>FT-11</t>
  </si>
  <si>
    <t>POST /api/stock-transfers</t>
  </si>
  <si>
    <t>Body: source == destination</t>
  </si>
  <si>
    <t>{ errorCode: TRANSFER_VALIDATION_FAILED }</t>
  </si>
  <si>
    <t>TRANSFER_VALIDATION_FAILED</t>
  </si>
  <si>
    <t>POST /api/stock-transfers/{id}/post</t>
  </si>
  <si>
    <t>[Theory] qty = 0 / 1 / Available-1 / Available / Available+1</t>
  </si>
  <si>
    <t>200 (1..Available) · 400/409 (0, +1)</t>
  </si>
  <si>
    <t>{ errorCode: INSUFFICIENT_AVAILABLE } khi vượt tồn khả dụng</t>
  </si>
  <si>
    <t>INSUFFICIENT_AVAILABLE</t>
  </si>
  <si>
    <t>POST /api/stock-transfers/{id}/receive</t>
  </si>
  <si>
    <t>Bearer JWT (Warehouse Staff kho nhận)</t>
  </si>
  <si>
    <t>[Theory] accepted+short+damaged = shipped-1 / shipped / shipped+1</t>
  </si>
  <si>
    <t>200 (== shipped) · 422 (lệch)</t>
  </si>
  <si>
    <t>{ errorCode: TRANSFER_RECEIPT_DISCREPANCY }  ·  Hàng hỏng KHÔNG vào tồn bán được</t>
  </si>
  <si>
    <t>TRANSFER_RECEIPT_DISCREPANCY</t>
  </si>
  <si>
    <t>Bearer JWT (kho KHÔNG phải destination)</t>
  </si>
  <si>
    <t>Nhận ở kho sai</t>
  </si>
  <si>
    <t>{ errorCode: WAREHOUSE_SCOPE_FORBIDDEN }</t>
  </si>
  <si>
    <t>WAREHOUSE_SCOPE_FORBIDDEN</t>
  </si>
  <si>
    <t>POST /api/stock-transfers/{id}/post  ·  /receive</t>
  </si>
  <si>
    <t>Gửi lại lệnh post và lệnh receive với CÙNG business key</t>
  </si>
  <si>
    <t>Tồn kho KHÔNG dịch chuyển lần 2; InTransit không bị cộng đúp</t>
  </si>
  <si>
    <t>POSTED_TRANSFER_IMMUTABLE</t>
  </si>
  <si>
    <t>2 request đồng thời trên cùng dòng tồn (xung đột row-version)</t>
  </si>
  <si>
    <t>{ errorCode: INVENTORY_CONCURRENCY_CONFLICT | INSUFFICIENT_AVAILABLE }  ·  Rollback MỌI dòng, không tạo InTransit một phần</t>
  </si>
  <si>
    <t>INVENTORY_CONCURRENCY_CONFLICT</t>
  </si>
  <si>
    <t>POST /api/stock-transfers  (song song với multi-pick đã duyệt)</t>
  </si>
  <si>
    <t>Cùng một allocation vừa nằm trong transfer hợp nhất về WH-PROD vừa nằm trong multi-pick</t>
  </si>
  <si>
    <t>{ errorCode: DUPLICATE_STOCK_MOVEMENT_PLAN }  ·  Một allocation chỉ đi theo ĐÚNG MỘT đường</t>
  </si>
  <si>
    <t>DUPLICATE_STOCK_MOVEMENT_PLAN</t>
  </si>
  <si>
    <t xml:space="preserve">  ▶  Block: Stock Count / Adjustment / Material Issue  |  FT-12</t>
  </si>
  <si>
    <t>FT-12</t>
  </si>
  <si>
    <t>PUT /api/inventory/count-sessions/{id}/theoretical</t>
  </si>
  <si>
    <t>Sửa snapshot lý thuyết đã chốt</t>
  </si>
  <si>
    <t>{ errorCode: COUNT_SNAPSHOT_OR_ADJUSTMENT_STATE_INVALID }</t>
  </si>
  <si>
    <t>COUNT_SNAPSHOT_OR_ADJUSTMENT_STATE_INVALID</t>
  </si>
  <si>
    <t>POST /api/inventory/count-sessions/{id}/lines</t>
  </si>
  <si>
    <t>[Theory] actual = -1 / 0 / theoretical-1 / theoretical / theoretical+1</t>
  </si>
  <si>
    <t>400 (-1) · 200 (&gt;=0)</t>
  </si>
  <si>
    <t>{ errorCode: COUNT_LINE_INVALID } khi âm; InventoryBalance CHƯA đổi</t>
  </si>
  <si>
    <t>COUNT_LINE_INVALID</t>
  </si>
  <si>
    <t>POST /api/inventory/adjustments/{id}/post</t>
  </si>
  <si>
    <t>[Theory] giá trị điều chỉnh = T-1 / T / T+1 so với ngưỡng cấu hình</t>
  </si>
  <si>
    <t>200 (&lt;=T) · 409 (T+1 chưa có CEO duyệt)</t>
  </si>
  <si>
    <t>{ errorCode: CEO_APPROVAL_REQUIRED } khi vượt ngưỡng</t>
  </si>
  <si>
    <t>CEO_APPROVAL_REQUIRED</t>
  </si>
  <si>
    <t>PUT /api/inventory/{id}</t>
  </si>
  <si>
    <t>Điều chỉnh làm Available &lt; 0</t>
  </si>
  <si>
    <t>{ errorCode: INSUFFICIENT_AVAILABLE_OR_CONCURRENCY_CONFLICT }</t>
  </si>
  <si>
    <t>INSUFFICIENT_AVAILABLE_OR_CONCURRENCY_CONFLICT</t>
  </si>
  <si>
    <t>POST /api/materials/production-issues</t>
  </si>
  <si>
    <t>Thiếu người nhận / số phiếu / ảnh ký</t>
  </si>
  <si>
    <t>{ errorCode: PRODUCTION_ISSUE_EVIDENCE_REQUIRED }  ·  Không trừ kho</t>
  </si>
  <si>
    <t>PRODUCTION_ISSUE_EVIDENCE_REQUIRED</t>
  </si>
  <si>
    <t>GET /api/inventory/low-stock-alerts</t>
  </si>
  <si>
    <t>[Theory] tồn kho sau biến động = threshold+1 / threshold / threshold-1</t>
  </si>
  <si>
    <t>threshold+1: không alert  ·  ≤ threshold: ĐÚNG 1 LowStockAlert active kèm số lượng, ngưỡng, kho, hành động tiếp theo</t>
  </si>
  <si>
    <t>[Theory] số lượng xuất = 0 / 1 / Available / Available+1</t>
  </si>
  <si>
    <t>400 (0) · 200 (1..Available) · 409 (+1)</t>
  </si>
  <si>
    <t>{ errorCode: INSUFFICIENT_AVAILABLE_OR_CONCURRENCY_CONFLICT } khi vượt Available; Available không âm</t>
  </si>
  <si>
    <t>L3-AfterSalesAdminAPI  |  SalesController · SalesChangeRequestsController · NotificationsController  |  FT-04; FT-08; FT-09</t>
  </si>
  <si>
    <t xml:space="preserve">  ▶  Block: Customer assignment &amp; sales change  |  FT-04</t>
  </si>
  <si>
    <t>FT-04</t>
  </si>
  <si>
    <t>POST /api/auth/register (khách mới, không referral)</t>
  </si>
  <si>
    <t>Con trỏ round-robin đang ở staff N</t>
  </si>
  <si>
    <t>Gán staff N; con trỏ wrap về 1; SalesAssignmentHistory ghi source = ROUND_ROBIN</t>
  </si>
  <si>
    <t>Referral code không hợp lệ / trùng nhiều staff</t>
  </si>
  <si>
    <t>{ errorCode: REFERRAL_INVALID_OR_AMBIGUOUS }</t>
  </si>
  <si>
    <t>REFERRAL_INVALID_OR_AMBIGUOUS</t>
  </si>
  <si>
    <t>POST /api/sales-change-requests</t>
  </si>
  <si>
    <t>[Theory] khách đang có 0 / 1 request chưa kết thúc</t>
  </si>
  <si>
    <t>200 (0) · 409 (1)</t>
  </si>
  <si>
    <t>Tối đa 1 request mở tại một thời điểm</t>
  </si>
  <si>
    <t>POST /api/sales-change-requests/{id}/approve</t>
  </si>
  <si>
    <t>Sales Staff tự duyệt yêu cầu đổi Sales</t>
  </si>
  <si>
    <t>{ errorCode: SALES_CHANGE_ACTION_FORBIDDEN }</t>
  </si>
  <si>
    <t>SALES_CHANGE_ACTION_FORBIDDEN</t>
  </si>
  <si>
    <t>Khách đã có đơn hoàn tất</t>
  </si>
  <si>
    <t>Ownership hiện tại đổi; snapshot AssignedSalesStaffId trên đơn CŨ giữ nguyên</t>
  </si>
  <si>
    <t>[Theory] kết quả số chủ sở hữu active sau lệnh = 0 / 1 / 2</t>
  </si>
  <si>
    <t>200 (1) · 409 (0, 2)</t>
  </si>
  <si>
    <t>{ errorCode: SALES_OWNER_CARDINALITY_CONFLICT }  ·  Chủ sở hữu cũ giữ nguyên, không commit lịch sử một phần</t>
  </si>
  <si>
    <t>SALES_OWNER_CARDINALITY_CONFLICT</t>
  </si>
  <si>
    <t>PUT /api/orders/{id}/assigned-sales</t>
  </si>
  <si>
    <t>Ghi đè snapshot Sales trên đơn đã hoàn tất / xoá dòng SalesAssignmentHistory</t>
  </si>
  <si>
    <t>{ errorCode: HISTORICAL_OWNERSHIP_IMMUTABLE }  ·  Snapshot và lịch sử không bị sửa/xoá</t>
  </si>
  <si>
    <t>HISTORICAL_OWNERSHIP_IMMUTABLE</t>
  </si>
  <si>
    <t xml:space="preserve">  ▶  Block: Paid cancellation / credit / exchange  |  FT-08</t>
  </si>
  <si>
    <t>FT-08</t>
  </si>
  <si>
    <t>POST /api/orders/{id}/refund</t>
  </si>
  <si>
    <t>Yêu cầu hoàn tiền mặt / chuyển khoản</t>
  </si>
  <si>
    <t>{ errorCode: REFUND_NOT_SUPPORTED }  ·  Payment vẫn PAID</t>
  </si>
  <si>
    <t>REFUND_NOT_SUPPORTED</t>
  </si>
  <si>
    <t>POST /api/payment-reallocations</t>
  </si>
  <si>
    <t>[Theory] phân bổ = 1 / remaining-1 / remaining / remaining+1 VND</t>
  </si>
  <si>
    <t>200 (&lt;=remaining) · 409 (+1)</t>
  </si>
  <si>
    <t>{ errorCode: REALLOCATION_VALUE_CONFLICT }  ·  Tổng phân bổ + credit == giá trị nguồn</t>
  </si>
  <si>
    <t>REALLOCATION_VALUE_CONFLICT</t>
  </si>
  <si>
    <t>POST /api/orders (dùng credit)</t>
  </si>
  <si>
    <t>Dùng credit của Customer A</t>
  </si>
  <si>
    <t>{ errorCode: CREDIT_OWNERSHIP_FORBIDDEN }</t>
  </si>
  <si>
    <t>CREDIT_OWNERSHIP_FORBIDDEN</t>
  </si>
  <si>
    <t>[Theory] dùng = 1 / available-1 / available / available+1</t>
  </si>
  <si>
    <t>200 (&lt;=available) · 409 (+1)</t>
  </si>
  <si>
    <t>{ errorCode: CREDIT_BALANCE_INSUFFICIENT }</t>
  </si>
  <si>
    <t>CREDIT_BALANCE_INSUFFICIENT</t>
  </si>
  <si>
    <t>POST /api/warehouse/orders/quality-returns/{id}/release</t>
  </si>
  <si>
    <t>Đưa hàng trả về vị trí bán được khi CHƯA kiểm định</t>
  </si>
  <si>
    <t>{ errorCode: QUARANTINE_REQUIRED }  ·  Available không tăng</t>
  </si>
  <si>
    <t>QUARANTINE_REQUIRED</t>
  </si>
  <si>
    <t>Dùng credit ≤ số dư AVAILABLE của chính khách đó</t>
  </si>
  <si>
    <t>Credit chuyển sang RESERVED/USED đúng số dùng, liên kết với đơn; chủ sở hữu Sales KHÔNG đổi</t>
  </si>
  <si>
    <t>Phân bổ CÙNG một số tiền hai lần, hoặc phân bổ sang khách hàng KHÁC</t>
  </si>
  <si>
    <t>{ errorCode: REALLOCATION_VALUE_CONFLICT }  ·  Rollback toàn bộ, không đổi một phần số dư credit</t>
  </si>
  <si>
    <t>POST /api/orders/{id}/replacement</t>
  </si>
  <si>
    <t>[Theory] chênh lệch giá trị đơn thay thế = -1 / 0 / +1 VND</t>
  </si>
  <si>
    <t>-1 → sinh credit  ·  0 → KHÔNG tạo bản ghi chênh lệch  ·  +1 → tạo khoản phải thu thêm; không hoàn tiền mặt</t>
  </si>
  <si>
    <t xml:space="preserve">  ▶  Block: Administration, audit &amp; alerts  |  FT-09</t>
  </si>
  <si>
    <t>FT-09</t>
  </si>
  <si>
    <t>GET /api/dashboards/sales-manager</t>
  </si>
  <si>
    <t>Truy cập dashboard ngoài phạm vi vai trò</t>
  </si>
  <si>
    <t>{ errorCode: REPORT_SCOPE_FORBIDDEN }  ·  Không trả dòng dữ liệu nào</t>
  </si>
  <si>
    <t>REPORT_SCOPE_FORBIDDEN</t>
  </si>
  <si>
    <t>Bearer JWT (Admin)</t>
  </si>
  <si>
    <t>Admin cố duyệt nghiệp vụ (gọi API trực tiếp)</t>
  </si>
  <si>
    <t>{ errorCode: BUSINESS_APPROVAL_FORBIDDEN_FOR_ADMIN }</t>
  </si>
  <si>
    <t>BUSINESS_APPROVAL_FORBIDDEN_FOR_ADMIN</t>
  </si>
  <si>
    <t>DELETE /api/admin/audit-logs/{id}</t>
  </si>
  <si>
    <t>Xoá bản ghi audit</t>
  </si>
  <si>
    <t>{ errorCode: AUDIT_LOG_IMMUTABLE }</t>
  </si>
  <si>
    <t>AUDIT_LOG_IMMUTABLE</t>
  </si>
  <si>
    <t>PUT /api/admin/configurations/discount-tier</t>
  </si>
  <si>
    <t>[Theory] bản ghi tạo tại T-1s / T / T+1s so với thời điểm hiệu lực</t>
  </si>
  <si>
    <t>Cấu hình mới KHÔNG ghi đè PriceSnapshot đang hoạt động / đơn đã hoàn tất</t>
  </si>
  <si>
    <t>CONFIGURATION_RETROACTIVE_CHANGE_FORBIDDEN</t>
  </si>
  <si>
    <t>GET /api/Notifications</t>
  </si>
  <si>
    <t>Có cảnh báo COD SLA đang mở</t>
  </si>
  <si>
    <t>Alert chứa nguồn, trạng thái, vai trò chịu trách nhiệm, hành động tiếp theo</t>
  </si>
  <si>
    <t>L3-APIFlows  |  Chuỗi nghiệp vụ nhiều bước qua HTTP thật  |  Kiểm tra state sau TỪNG bước</t>
  </si>
  <si>
    <t>Flow Steps (HTTP Calls in order)</t>
  </si>
  <si>
    <t>Expected State After Each Step</t>
  </si>
  <si>
    <t xml:space="preserve">  ▶  Block: Luồng đầu-cuối qua API</t>
  </si>
  <si>
    <t>FT-01, FT-03, FT-05</t>
  </si>
  <si>
    <t>1. POST /api/auth/login (Customer)
2. POST /api/Cart/items
3. GET /api/orders/checkout-summary
4. POST /api/orders (SePay)
5. POST /api/webhooks/sepay (hợp lệ)
6. GET /api/warehouse/orders/fulfillment-orders (Warehouse)</t>
  </si>
  <si>
    <t>B2: giỏ có 1 dòng + PriceSnapshot 24h
B3: pricingSource đúng bậc
B4: Order PENDING_PAYMENT + reservation 15 phút
B5: Payment PAID, Order CONFIRMED, tạo FulfillmentOrder + PickTask
B6: đơn xuất hiện trong hàng đợi kho</t>
  </si>
  <si>
    <t>1. POST /api/Quotation (giỏ 120M)
2. POST /{id}/pickup (Sales)
3. POST /{id}/versions (Sales)
4. POST /{id}/manager-review (Sales Manager, approve)
5. POST /{id}/ceo-review (CEO, approve)
6. POST /{id}/customer-decision (Customer, accept)
7. POST /api/orders</t>
  </si>
  <si>
    <t>Sau mỗi bước GET /{id} trả đúng trạng thái kế tiếp
B6: version bị khoá + gắn với giỏ
B7: đơn tạo theo giá đã duyệt, KHÔNG cần báo giá mới</t>
  </si>
  <si>
    <t>FT-05, FT-11</t>
  </si>
  <si>
    <t>1. Đơn CONFIRMED có hàng ở WH-TRADE
2. POST /api/stock-transfers (WH-TRADE -&gt; WH-PROD)
3. POST /{id}/post
4. POST /{id}/receive (WH-PROD)
5. POST /api/handover-records/{id}/confirm (Kho + Sales)
6. POST /api/goods-issues/{id}/post</t>
  </si>
  <si>
    <t>B3: source giảm, InTransit tăng
B4: InTransit giảm, WH-PROD tăng phần accepted
B5: dual confirm khớp số kiện
B6: SALES GoodsIssue post đúng 1 lần</t>
  </si>
  <si>
    <t>1. POST /api/delivery/trips (xe 1, ca Morning)
2. POST /{id}/start (sau handover)
3. POST /api/delivery/attempts (POD đủ)
4. POST /api/delivery/collections (thu thiếu)</t>
  </si>
  <si>
    <t>B1: Order SCHEDULED
B2: trip IN_DELIVERY
B3: ProofOfDelivery lưu, attempt DELIVERED
B4: ghi đúng số tiền thu + tạo DebtRecord phần còn lại</t>
  </si>
  <si>
    <t>1. POST /api/orders/{id}/cancel-request (đơn đã PAID)
2. POST /{id}/approve (Sales Manager)
3. POST /api/payment-reallocations (đơn thay thế)
4. GET /api/customers/{id}/credits</t>
  </si>
  <si>
    <t>B2: Payment vẫn PAID, KHÔNG có giao dịch hoàn tiền
B3: tổng phân bổ &lt;= giá trị nguồn
B4: phần dư thành CustomerOrderCredit AVAILABLE; tổng bảo toàn tuyệt đối</t>
  </si>
  <si>
    <t>FT-06, FT-01</t>
  </si>
  <si>
    <t>1. POST /api/purchase-orders + /issue (CEO)
2. POST /{id}/send-to-warehouse
3. POST /api/goods-receipts/from-po
4. POST /{id}/post
5. GET /api/products/{sku} (Customer)</t>
  </si>
  <si>
    <t>B1-2: tồn kho KHÔNG đổi
B4: tồn kho tăng đúng phần accepted
B5: SKU hiển thị mua được trên storefront</t>
  </si>
  <si>
    <t>FT-10</t>
  </si>
  <si>
    <t>1) SMS/AI/Facebook sandbox cấu hình timeout  2) Gọi luồng phụ thuộc nhà cung cấp  3) Kiểm tra trạng thái nội bộ  4) Chạy tiếp luồng đặt hàng không liên quan</t>
  </si>
  <si>
    <t>Lỗi/timeout của nhà cung cấp ngoài KHÔNG làm hỏng trạng thái nội bộ và KHÔNG chặn luồng khác; có bản ghi lỗi + retry/fallback theo cấu hình</t>
  </si>
  <si>
    <t>L3-Performance  |  k6  |  Ngưỡng lấy từ RTW Sheet 7 (NFR-P01..P07, S01, S02)</t>
  </si>
  <si>
    <t>HOW TO USE:  (1) Chạy k6 trên staging  (2) Ghi Baseline lần đầu  (3) Điền Actual Result  (4) Cập nhật Status</t>
  </si>
  <si>
    <t>Test Type</t>
  </si>
  <si>
    <t>Endpoint(s) Under Test</t>
  </si>
  <si>
    <t>k6 Config (VUs / Duration / Ramp)</t>
  </si>
  <si>
    <t>Auth Setup</t>
  </si>
  <si>
    <t>Expected Threshold (k6 assertion)</t>
  </si>
  <si>
    <t>Baseline (previous run)</t>
  </si>
  <si>
    <t>Actual Result</t>
  </si>
  <si>
    <t xml:space="preserve">  ▶  Block: API response time</t>
  </si>
  <si>
    <t>Load</t>
  </si>
  <si>
    <t>GET /api/products (catalogue)</t>
  </si>
  <si>
    <t>20 VUs · 5 phút · ramp 30s</t>
  </si>
  <si>
    <t>Không cần token</t>
  </si>
  <si>
    <t>http_req_duration p(95) &lt; 500ms</t>
  </si>
  <si>
    <t>—</t>
  </si>
  <si>
    <t>GET /api/products?search=&amp;category=&amp;page=</t>
  </si>
  <si>
    <t>20 VUs · 5 phút</t>
  </si>
  <si>
    <t>http_req_duration p(95) &lt; 800ms</t>
  </si>
  <si>
    <t>POST /api/Cart/items  →  GET /checkout-summary</t>
  </si>
  <si>
    <t>10 VUs · 3 phút</t>
  </si>
  <si>
    <t>http_req_duration p(95) &lt; 1s</t>
  </si>
  <si>
    <t>SignalR ChatHub — gửi tin nhắn báo giá</t>
  </si>
  <si>
    <t>2 client kết nối · 100 tin</t>
  </si>
  <si>
    <t>SignalR + JWT</t>
  </si>
  <si>
    <t>Độ trễ end-to-end &lt; 2s</t>
  </si>
  <si>
    <t>30 VUs · 2 phút</t>
  </si>
  <si>
    <t>Chữ ký SePay hợp lệ</t>
  </si>
  <si>
    <t>Thời gian ACK &lt; 3s (xử lý nặng chạy nền)</t>
  </si>
  <si>
    <t>GET /api/dashboards/{role}</t>
  </si>
  <si>
    <t>10 VUs · 3 phút · phạm vi ngày/tuần/tháng</t>
  </si>
  <si>
    <t>Bearer JWT theo từng role</t>
  </si>
  <si>
    <t>http_req_duration p(95) &lt; 3s</t>
  </si>
  <si>
    <t>POST /api/marketing-posts  ·  POST /api/marketing-posts/{id}/publish</t>
  </si>
  <si>
    <t>5 VUs · 2 phút</t>
  </si>
  <si>
    <t>Phản hồi đầu tiên &lt; 1s + có endpoint tra trạng thái</t>
  </si>
  <si>
    <t>Stress</t>
  </si>
  <si>
    <t>Hỗn hợp: browse + cart + order + warehouse + dashboard</t>
  </si>
  <si>
    <t>100 VUs · 10 phút · ramp 2 phút</t>
  </si>
  <si>
    <t>Trộn nhiều role</t>
  </si>
  <si>
    <t>Suy giảm &lt; 20% so với baseline; error rate &lt; 1%</t>
  </si>
  <si>
    <t>GET /api/orders/history?from=&amp;to= (5 năm dữ liệu)</t>
  </si>
  <si>
    <t>10 VUs · 5 phút</t>
  </si>
  <si>
    <t>Truy vấn vận hành chính &lt; 3s trên ~1 triệu dòng</t>
  </si>
  <si>
    <t>L3-Security  |  OWASP Top 10 + NFR-SEC01..SEC08 (RTW Sheet 7)  |  OWASP ZAP + Postman/xUnit</t>
  </si>
  <si>
    <t>HOW TO USE:  (1) Chạy ZAP baseline scan  (2) Chạy các case thủ công bằng Postman  (3) Cập nhật Status  (4) Mọi Fail đều là defect P1</t>
  </si>
  <si>
    <t>OWASP Category</t>
  </si>
  <si>
    <t>Attack Vector / Test Description</t>
  </si>
  <si>
    <t>Tool</t>
  </si>
  <si>
    <t>Request / Payload</t>
  </si>
  <si>
    <t>Expected Safe Response</t>
  </si>
  <si>
    <t xml:space="preserve">  ▶  Block: Broken Access Control (A01)</t>
  </si>
  <si>
    <t>A01 Broken Access Control</t>
  </si>
  <si>
    <t>IDOR: đổi {orderId} sang đơn của khách khác</t>
  </si>
  <si>
    <t>Postman</t>
  </si>
  <si>
    <t>GET /api/orders/{orderIdCủaKháchKhác} với JWT khách hiện tại</t>
  </si>
  <si>
    <t>403 RESOURCE_FORBIDDEN; không lộ trường nào của đơn kia</t>
  </si>
  <si>
    <t>Vertical escalation: Admin gọi API duyệt nghiệp vụ</t>
  </si>
  <si>
    <t>POST /api/Quotation/{id}/ceo-review với JWT Admin</t>
  </si>
  <si>
    <t>403 BUSINESS_APPROVAL_FORBIDDEN_FOR_ADMIN</t>
  </si>
  <si>
    <t>Warehouse Staff thao tác kho không được gán</t>
  </si>
  <si>
    <t>POST /api/warehouse/orders/pick-tasks/{id}/complete (kho khác)</t>
  </si>
  <si>
    <t>403 WAREHOUSE_ACTION_FORBIDDEN</t>
  </si>
  <si>
    <t>Gọi API nội bộ khi chưa đăng nhập</t>
  </si>
  <si>
    <t>ZAP + Postman</t>
  </si>
  <si>
    <t>Quét toàn bộ endpoint, bỏ header Authorization</t>
  </si>
  <si>
    <t>100% endpoint được bảo vệ trả 401; không endpoint nào rò dữ liệu</t>
  </si>
  <si>
    <t xml:space="preserve">  ▶  Block: Cryptographic / Auth failures (A02, A07)</t>
  </si>
  <si>
    <t>A02 Cryptographic Failures</t>
  </si>
  <si>
    <t>Ép dùng HTTP thay vì HTTPS</t>
  </si>
  <si>
    <t>SSL test / ZAP</t>
  </si>
  <si>
    <t>GET http://&lt;host&gt;/api/products</t>
  </si>
  <si>
    <t>Redirect 301/308 sang HTTPS hoặc từ chối; TLS &gt;= 1.2</t>
  </si>
  <si>
    <t>Kiểm tra mật khẩu lưu dạng hash</t>
  </si>
  <si>
    <t>SQL / code review</t>
  </si>
  <si>
    <t>SELECT PasswordHash FROM Users</t>
  </si>
  <si>
    <t>Không có plaintext; thuật toán salted hash (BCrypt/Identity)</t>
  </si>
  <si>
    <t>A07 Auth Failures</t>
  </si>
  <si>
    <t>Dùng lại refresh token đã rotate</t>
  </si>
  <si>
    <t>POST /api/auth/refresh với RT cũ</t>
  </si>
  <si>
    <t>401; token cũ bị vô hiệu hoá</t>
  </si>
  <si>
    <t>Brute-force OTP</t>
  </si>
  <si>
    <t>Postman (script lặp)</t>
  </si>
  <si>
    <t>POST /api/auth/verify-otp sai 6 lần liên tiếp</t>
  </si>
  <si>
    <t>409 OTP_ATTEMPT_LIMIT_REACHED sau 5 lần; OTP không xuất hiện trong log</t>
  </si>
  <si>
    <t>Ký JWT bằng khoá khác (token giả)</t>
  </si>
  <si>
    <t>Gửi JWT tự ký bằng khoá của attacker</t>
  </si>
  <si>
    <t>401; không chấp nhận chữ ký sai</t>
  </si>
  <si>
    <t xml:space="preserve">  ▶  Block: Injection &amp; integrity (A03, A08)</t>
  </si>
  <si>
    <t>A03 Injection</t>
  </si>
  <si>
    <t>SQL Injection qua tham số tìm kiếm</t>
  </si>
  <si>
    <t>GET /api/products?search=' OR 1=1--</t>
  </si>
  <si>
    <t>Không trả toàn bộ bảng; không lộ lỗi SQL; EF tham số hoá</t>
  </si>
  <si>
    <t>XSS qua trường nhập (tên khách, ghi chú, tin nhắn báo giá)</t>
  </si>
  <si>
    <t>ZAP</t>
  </si>
  <si>
    <t>POST nội dung &lt;script&gt;alert(1)&lt;/script&gt;</t>
  </si>
  <si>
    <t>Nội dung được escape khi hiển thị; không thực thi script</t>
  </si>
  <si>
    <t>A08 Data Integrity</t>
  </si>
  <si>
    <t>Giả mạo webhook SePay không có chữ ký hợp lệ</t>
  </si>
  <si>
    <t>POST /api/webhooks/sepay, body hợp lệ nhưng chữ ký sai</t>
  </si>
  <si>
    <t>401 SEPAY_SIGNATURE_INVALID; không đổi trạng thái thanh toán; ghi security alert</t>
  </si>
  <si>
    <t>Sửa/xoá bản ghi AuditLog</t>
  </si>
  <si>
    <t>SQL + Postman</t>
  </si>
  <si>
    <t>UPDATE/DELETE trên bảng AuditLog bằng tài khoản ứng dụng</t>
  </si>
  <si>
    <t>Bị từ chối ở mức DB (INSERT-only); ghi security event</t>
  </si>
  <si>
    <t>Upload file ngoài allowlist / vượt kích thước</t>
  </si>
  <si>
    <t>POST /api/.../upload với .exe và file &gt; giới hạn</t>
  </si>
  <si>
    <t>415 / 413; file không được lưu; URL lưu trữ là private</t>
  </si>
  <si>
    <t>A04 Insecure Design</t>
  </si>
  <si>
    <t>Race condition: 2 request đồng thời mua đơn vị tồn cuối cùng</t>
  </si>
  <si>
    <t>k6 / Postman Runner (song song)</t>
  </si>
  <si>
    <t>2 × POST /api/orders cùng SKU, Available = 1</t>
  </si>
  <si>
    <t>Chỉ 1 request thành công; request còn lại 409; Available không bao giờ âm (kiểm tra biểu thức thô, không dùng thuộc tính đã floor về 0)</t>
  </si>
  <si>
    <t>Sửa/xoá chứng từ đã post, tin nhắn báo giá đã gửi, reallocation đã hoàn tất</t>
  </si>
  <si>
    <t>PUT/DELETE trên GoodsIssue đã POSTED, QuotationMessage đã gửi, PaymentReallocation đã COMPLETED</t>
  </si>
  <si>
    <t>403/409 cho mọi trường hợp; chỉ chấp nhận bản ghi bù trừ mới, không update/delete trực tiếp</t>
  </si>
  <si>
    <t xml:space="preserve">  ▶  Block: Exposure &amp; config (A04, A05, A09)</t>
  </si>
  <si>
    <t>A05 Security Misconfiguration</t>
  </si>
  <si>
    <t>Kiểm tra security headers</t>
  </si>
  <si>
    <t>GET / (trang chủ)</t>
  </si>
  <si>
    <t>Có HSTS, X-Content-Type-Options, X-Frame-Options; không lộ banner phiên bản</t>
  </si>
  <si>
    <t>A09 Logging Failures</t>
  </si>
  <si>
    <t>PII trong log và response</t>
  </si>
  <si>
    <t>grep log + Postman</t>
  </si>
  <si>
    <t>Tìm số điện thoại / MST / token trong log ứng dụng</t>
  </si>
  <si>
    <t>PII được mask (0912***678); token/secret không bao giờ vào log</t>
  </si>
  <si>
    <t>Bỏ qua giá server: gửi total tự tính</t>
  </si>
  <si>
    <t>POST /api/orders với subtotal thấp hơn thực tế</t>
  </si>
  <si>
    <t>400 CLIENT_PRICE_MISMATCH; ghi pricing validation log</t>
  </si>
  <si>
    <t>L3-AdminConfigAPI  |  MỚI v2.1  |  AdminUser · SystemConfig · AuditLog · Vehicle · DiscountTier · Dashboard/KPI · WebhookLog  |  FT-09; FT-07; FT-02</t>
  </si>
  <si>
    <t>HOW TO USE:  (1) Đối chiếu endpoint với Swagger  (2) Chạy Postman/Newman hoặc xUnit + WebApplicationFactory  (3) Cập nhật Status  (4) Ghi Defect ID khi Fail</t>
  </si>
  <si>
    <t xml:space="preserve">  ▶  Block: Quản trị người dùng &amp; cấu hình  |  FT-09 AC-03/AC-04; BR-050</t>
  </si>
  <si>
    <t>POST /api/admin/users</t>
  </si>
  <si>
    <t>Body: {email mới, role:'SalesStaff'}</t>
  </si>
  <si>
    <t>Tài khoản tạo đúng vai trò; DB PasswordHash != plaintext; có AuditLog</t>
  </si>
  <si>
    <t>Sai vai trò tạo tài khoản</t>
  </si>
  <si>
    <t>{ errorCode: RESOURCE_FORBIDDEN }</t>
  </si>
  <si>
    <t>PUT /api/admin/users/{id}/role</t>
  </si>
  <si>
    <t>Hạ vai trò Sales đang phụ trách 5 khách</t>
  </si>
  <si>
    <t>Yêu cầu bàn giao khách trước; vai trò không đổi</t>
  </si>
  <si>
    <t>PUT /api/admin/system-configs/{key}</t>
  </si>
  <si>
    <t>Body: {value, effectiveFrom: tương lai}</t>
  </si>
  <si>
    <t>Tạo phiên bản mới; GET history trả cả bản cũ và mới</t>
  </si>
  <si>
    <t>GET /api/admin/system-configs/{key}/effective?at=</t>
  </si>
  <si>
    <t>[Theory] at = T-1s / T / T+1s</t>
  </si>
  <si>
    <t>T-1s trả giá trị CŨ; T và T+1s trả giá trị MỚI</t>
  </si>
  <si>
    <t>effectiveFrom trong QUÁ KHỨ</t>
  </si>
  <si>
    <t>{ errorCode: CONFIGURATION_RETROACTIVE_CHANGE_FORBIDDEN }</t>
  </si>
  <si>
    <t xml:space="preserve">  ▶  Block: Audit · Vehicle · DiscountTier · Dashboard  |  FT-09; FT-07; FT-02</t>
  </si>
  <si>
    <t>GET /api/admin/audit-logs/export?entity=&amp;from=&amp;to=</t>
  </si>
  <si>
    <t>Bản ghi có dấu phẩy/ngoặc kép trong lý do</t>
  </si>
  <si>
    <t>CSV hợp lệ, không vỡ cột; PII đã mask</t>
  </si>
  <si>
    <t>GET /api/vehicles?active=true</t>
  </si>
  <si>
    <t>5 xe: 4 hoạt động, 1 bảo trì</t>
  </si>
  <si>
    <t>Chỉ trả 4 xe khả dụng để xếp lịch</t>
  </si>
  <si>
    <t>POST /api/vehicles</t>
  </si>
  <si>
    <t>Biển số trùng xe đã có</t>
  </si>
  <si>
    <t>Từ chối; không tạo bản ghi thứ 2</t>
  </si>
  <si>
    <t>GET /api/admin/discount-tiers/applicable?subtotal=</t>
  </si>
  <si>
    <t>[Theory] 9.999.999 / 10.000.000 / 99.999.999 / 100.000.000</t>
  </si>
  <si>
    <t>0% / bậc 1 / bậc cao nhất / 0% (cần báo giá)</t>
  </si>
  <si>
    <t>POST /api/admin/discount-tiers</t>
  </si>
  <si>
    <t>Khoảng giá trị chồng lấn bậc đã có</t>
  </si>
  <si>
    <t>400 / 409</t>
  </si>
  <si>
    <t>Từ chối; bảng bậc không đổi</t>
  </si>
  <si>
    <t>GET /api/dashboards/sales-staff?staffId=</t>
  </si>
  <si>
    <t>Bearer JWT (Sales Staff S1)</t>
  </si>
  <si>
    <t>staffId = S2 (người khác)</t>
  </si>
  <si>
    <t>Không trả dữ liệu của S2</t>
  </si>
  <si>
    <t>GET /api/admin/system-health/jobs</t>
  </si>
  <si>
    <t>JobA thành công, JobB thất bại, JobC chưa chạy</t>
  </si>
  <si>
    <t>JobB không khoẻ; JobC hiển thị 'chưa chạy' chứ KHÔNG báo khoẻ</t>
  </si>
  <si>
    <t>POST /api/admin/system-health/webhook-logs/{id}/retry</t>
  </si>
  <si>
    <t>Log đã Processed, đơn đã Paid</t>
  </si>
  <si>
    <t>Trả kết quả gốc; vẫn đúng 1 PaymentTransaction</t>
  </si>
  <si>
    <t>[Theory] số lần retry của một job = 0 / 1 / max-1 / max / max+1</t>
  </si>
  <si>
    <t>Tại max+1: job ở trạng thái thất bại cuối, CÓ bản ghi failure log và cảnh báo — không im lặng</t>
  </si>
  <si>
    <t>GET /swagger/v1/swagger.json</t>
  </si>
  <si>
    <t>None (môi trường staging)</t>
  </si>
  <si>
    <t>Đối chiếu danh sách endpoint trong Swagger với toàn bộ route đã triển khai</t>
  </si>
  <si>
    <t>100% endpoint đã triển khai có mô tả request, response, yêu cầu phân quyền và lỗi chuẩn</t>
  </si>
  <si>
    <t>L3-MarketingReturnAPI  |  MỚI v2.1  |  MarketingPost (FT-10) · Return/Exchange &amp; Pickup (FT-08)</t>
  </si>
  <si>
    <t xml:space="preserve">  ▶  Block: Marketing: duyệt &amp; đăng  |  FT-10; BR-046; BR-003</t>
  </si>
  <si>
    <t>POST /api/marketing-posts</t>
  </si>
  <si>
    <t>Body: nội dung + ảnh</t>
  </si>
  <si>
    <t>Bài ở trạng thái nháp; chưa có tham chiếu bài Facebook</t>
  </si>
  <si>
    <t>POST /api/marketing-posts/{id}/approve</t>
  </si>
  <si>
    <t>Bearer JWT (Sales Staff — tác giả)</t>
  </si>
  <si>
    <t>Tự duyệt bài của mình</t>
  </si>
  <si>
    <t>Từ chối; trạng thái không đổi  ·  { errorCode: MARKETING_APPROVAL_FORBIDDEN }</t>
  </si>
  <si>
    <t>MARKETING_APPROVAL_FORBIDDEN</t>
  </si>
  <si>
    <t>POST /api/marketing-posts/{id}/publish</t>
  </si>
  <si>
    <t>Bài đang ở trạng thái nháp (chưa duyệt)</t>
  </si>
  <si>
    <t>Từ chối; KHÔNG gọi webhook đăng bài  ·  { errorCode: MARKETING_POST_NOT_APPROVED }</t>
  </si>
  <si>
    <t>MARKETING_POST_NOT_APPROVED</t>
  </si>
  <si>
    <t>Bài đã duyệt</t>
  </si>
  <si>
    <t>200 (&lt; 1s)</t>
  </si>
  <si>
    <t>Trả trạng thái đang xử lý; webhook được gọi bất đồng bộ đúng 1 lần</t>
  </si>
  <si>
    <t>POST /api/marketing-posts/{id}/make-callback</t>
  </si>
  <si>
    <t>Chữ ký/khoá của Make</t>
  </si>
  <si>
    <t>Gửi lại callback thành công đã xử lý</t>
  </si>
  <si>
    <t>Trả về FacebookPublishLog đã có; không tạo bản ghi đăng thứ 2; external post ID giữ nguyên</t>
  </si>
  <si>
    <t>PUBLISH_ALREADY_COMPLETED</t>
  </si>
  <si>
    <t>Callback báo lỗi từ Facebook</t>
  </si>
  <si>
    <t>Bài đánh dấu thất bại, giữ lịch sử, tạo cảnh báo</t>
  </si>
  <si>
    <t>[Theory] scheduledAt = now-1s / now / now+1s</t>
  </si>
  <si>
    <t>409 (now-1s, now) · 200 (now+1s)</t>
  </si>
  <si>
    <t>{ errorCode: SCHEDULE_TIME_INVALID }  ·  Không tạo lịch mới, lịch cũ không đổi</t>
  </si>
  <si>
    <t>SCHEDULE_TIME_INVALID</t>
  </si>
  <si>
    <t>[Theory] hàng đợi đang có 29 / 30 / 31 bài SCHEDULED</t>
  </si>
  <si>
    <t>200 (29, 30) · 409 (31)</t>
  </si>
  <si>
    <t>{ errorCode: SCHEDULE_QUEUE_LIMIT_REACHED }  ·  Ghi log số lượng hàng đợi và giới hạn cấu hình</t>
  </si>
  <si>
    <t>SCHEDULE_QUEUE_LIMIT_REACHED</t>
  </si>
  <si>
    <t>POST /api/marketing-posts/{id}/media</t>
  </si>
  <si>
    <t>File sai MIME / sai phần mở rộng (ví dụ .exe đổi đuôi .png)</t>
  </si>
  <si>
    <t>415</t>
  </si>
  <si>
    <t>{ errorCode: MEDIA_TYPE_UNSUPPORTED }  ·  File không được gắn vào bài, không upload lên Facebook</t>
  </si>
  <si>
    <t>MEDIA_TYPE_UNSUPPORTED</t>
  </si>
  <si>
    <t>[Theory] kích thước = limit-1B / limit / limit+1B; số file = limit / limit+1</t>
  </si>
  <si>
    <t>200 (≤ limit) · 413 (+1)</t>
  </si>
  <si>
    <t>{ errorCode: MEDIA_TOO_LARGE | MEDIA_VALIDATION_FAILED }  ·  URL lưu trữ là private</t>
  </si>
  <si>
    <t>MEDIA_TOO_LARGE</t>
  </si>
  <si>
    <t>GET /api/marketing-posts/{id}/metrics</t>
  </si>
  <si>
    <t>Bearer JWT (Admin / CEO)</t>
  </si>
  <si>
    <t>Bài đã PUBLISHED, provider trả về reach/reaction/comment/share</t>
  </si>
  <si>
    <t>Số liệu gắn đúng bài đã đăng; CustomerAssignment / chủ sở hữu Sales KHÔNG thay đổi</t>
  </si>
  <si>
    <t xml:space="preserve">  ▶  Block: Đổi/trả &amp; thu hồi  |  FT-08 AC-05; BV-03</t>
  </si>
  <si>
    <t>POST /api/orders/{id}/return-exchange</t>
  </si>
  <si>
    <t>Đơn đã giao; kèm bằng chứng</t>
  </si>
  <si>
    <t>Yêu cầu ở trạng thái chờ duyệt; tồn kho KHÔNG đổi</t>
  </si>
  <si>
    <t>[Theory] qty = 0 / đã giao / đã giao + 1</t>
  </si>
  <si>
    <t>400 (0, +1) · 200 (đã giao)</t>
  </si>
  <si>
    <t>Không tạo yêu cầu cho case bị từ chối</t>
  </si>
  <si>
    <t>POST /api/orders/return-exchanges/{id}/process</t>
  </si>
  <si>
    <t>Sales Staff tự duyệt</t>
  </si>
  <si>
    <t>Trạng thái không đổi</t>
  </si>
  <si>
    <t>POST /api/orders/{id}/cancel-paid</t>
  </si>
  <si>
    <t>Đơn đang In Delivery</t>
  </si>
  <si>
    <t>Không tạo yêu cầu huỷ</t>
  </si>
  <si>
    <t>POST /api/orders/return-exchanges/{id}/confirm-pickup</t>
  </si>
  <si>
    <t>Yêu cầu đã lên lịch thu hồi</t>
  </si>
  <si>
    <t>Ghi nhận số lượng thu hồi; tồn KHẢ DỤNG không tăng (hàng vào khu cách ly)</t>
  </si>
  <si>
    <t>Chưa lên lịch thu hồi</t>
  </si>
  <si>
    <t>Từ chối theo state guard; tồn kho không đổi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</si>
</sst>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9"/>
      <color rgb="FF595959"/>
      <name val="Arial"/>
      <charset val="1"/>
    </font>
    <font>
      <b/>
      <sz val="10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2E75B6"/>
      <name val="Arial"/>
      <charset val="1"/>
    </font>
    <font>
      <b/>
      <sz val="9"/>
      <color rgb="FFFFFFFF"/>
      <name val="Arial"/>
      <charset val="1"/>
    </font>
    <font>
      <b/>
      <sz val="9"/>
      <color rgb="FF595959"/>
      <name val="Arial"/>
      <charset val="1"/>
    </font>
    <font>
      <b/>
      <sz val="9"/>
      <color rgb="FF375623"/>
      <name val="Arial"/>
      <charset val="1"/>
    </font>
    <font>
      <b/>
      <sz val="9"/>
      <color rgb="FFC00000"/>
      <name val="Arial"/>
      <charset val="1"/>
    </font>
    <font>
      <b/>
      <sz val="9"/>
      <color rgb="FF7F6000"/>
      <name val="Arial"/>
      <charset val="1"/>
    </font>
    <font>
      <b/>
      <sz val="9"/>
      <color rgb="FF5C3292"/>
      <name val="Arial"/>
      <charset val="1"/>
    </font>
    <font>
      <b/>
      <sz val="12"/>
      <color rgb="FFFFFFFF"/>
      <name val="Arial"/>
      <charset val="1"/>
    </font>
    <font>
      <b/>
      <sz val="10"/>
      <color rgb="FF000000"/>
      <name val="Arial"/>
      <charset val="1"/>
    </font>
    <font>
      <sz val="9"/>
      <color rgb="FF2E7D32"/>
      <name val="Arial"/>
      <charset val="1"/>
    </font>
    <font>
      <sz val="9"/>
      <color rgb="FF2E75B6"/>
      <name val="Arial"/>
      <charset val="1"/>
    </font>
    <font>
      <sz val="9"/>
      <color rgb="FF595959"/>
      <name val="Arial"/>
      <charset val="1"/>
    </font>
    <font>
      <sz val="9"/>
      <color rgb="FFC00000"/>
      <name val="Arial"/>
      <charset val="1"/>
    </font>
  </fonts>
  <fills count="17">
    <fill>
      <patternFill patternType="none"/>
    </fill>
    <fill>
      <patternFill patternType="gray125"/>
    </fill>
    <fill>
      <patternFill patternType="solid">
        <fgColor rgb="FF2E75B6"/>
        <bgColor rgb="FF1F6B75"/>
      </patternFill>
    </fill>
    <fill>
      <patternFill patternType="solid">
        <fgColor rgb="FFF2F2F2"/>
        <bgColor rgb="FFF7F7F7"/>
      </patternFill>
    </fill>
    <fill>
      <patternFill patternType="solid">
        <fgColor rgb="FFDEEAF1"/>
        <bgColor rgb="FFDEEAF6"/>
      </patternFill>
    </fill>
    <fill>
      <patternFill patternType="solid">
        <fgColor rgb="FF1F6B75"/>
        <bgColor rgb="FF008080"/>
      </patternFill>
    </fill>
    <fill>
      <patternFill patternType="solid">
        <fgColor rgb="FFD6EEF0"/>
        <bgColor rgb="FFDEEAF1"/>
      </patternFill>
    </fill>
    <fill>
      <patternFill patternType="solid">
        <fgColor rgb="FFFFFFFF"/>
        <bgColor rgb="FFF7F7F7"/>
      </patternFill>
    </fill>
    <fill>
      <patternFill patternType="solid">
        <fgColor rgb="FF1F3864"/>
        <bgColor rgb="FF375623"/>
      </patternFill>
    </fill>
    <fill>
      <patternFill patternType="solid">
        <fgColor rgb="FFC00000"/>
        <bgColor rgb="FF800000"/>
      </patternFill>
    </fill>
    <fill>
      <patternFill patternType="solid">
        <fgColor rgb="FF7F6000"/>
        <bgColor rgb="FF595959"/>
      </patternFill>
    </fill>
    <fill>
      <patternFill patternType="solid">
        <fgColor rgb="FFE2EFDA"/>
        <bgColor rgb="FFDEEAF1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BE2F5"/>
        <bgColor rgb="FFDEEAF6"/>
      </patternFill>
    </fill>
    <fill>
      <patternFill patternType="solid">
        <fgColor rgb="FFF7F7F7"/>
        <bgColor rgb="FFF2F2F2"/>
      </patternFill>
    </fill>
    <fill>
      <patternFill patternType="solid">
        <fgColor rgb="FFDEEAF6"/>
        <bgColor rgb="FFDEEAF1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2" fillId="2" borderId="0" xfId="0" applyFont="1" applyFill="1" applyAlignment="1">
      <alignment vertical="center" wrapText="1"/>
    </xf>
    <xf numFmtId="0" fontId="12" fillId="2" borderId="0" xfId="0" applyFont="1" applyFill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4" fillId="7" borderId="0" xfId="0" applyFont="1" applyFill="1" applyAlignment="1">
      <alignment horizontal="left" vertical="top" wrapText="1"/>
    </xf>
    <xf numFmtId="0" fontId="3" fillId="8" borderId="0" xfId="0" applyFont="1" applyFill="1" applyAlignment="1">
      <alignment horizontal="left" vertical="center"/>
    </xf>
    <xf numFmtId="0" fontId="4" fillId="3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4" fillId="6" borderId="0" xfId="0" applyFont="1" applyFill="1" applyAlignment="1">
      <alignment horizontal="left" vertical="top" wrapText="1"/>
    </xf>
    <xf numFmtId="0" fontId="3" fillId="5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5" fillId="4" borderId="1" xfId="0" applyFont="1" applyFill="1" applyBorder="1" applyAlignment="1">
      <alignment horizontal="left" vertical="top" wrapText="1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11" fillId="14" borderId="1" xfId="0" applyFont="1" applyFill="1" applyBorder="1" applyAlignment="1">
      <alignment horizontal="center" vertical="center"/>
    </xf>
    <xf numFmtId="0" fontId="5" fillId="3" borderId="1" xfId="0" applyFont="1" applyFill="1" applyBorder="1"/>
    <xf numFmtId="0" fontId="13" fillId="0" borderId="1" xfId="0" applyFont="1" applyBorder="1"/>
    <xf numFmtId="0" fontId="3" fillId="2" borderId="1" xfId="0" applyFont="1" applyFill="1" applyBorder="1" applyAlignment="1">
      <alignment vertical="center" wrapText="1"/>
    </xf>
    <xf numFmtId="0" fontId="5" fillId="15" borderId="1" xfId="0" applyFont="1" applyFill="1" applyBorder="1" applyAlignment="1">
      <alignment vertical="top" wrapText="1"/>
    </xf>
    <xf numFmtId="0" fontId="4" fillId="15" borderId="1" xfId="0" applyFont="1" applyFill="1" applyBorder="1" applyAlignment="1">
      <alignment vertical="top" wrapText="1"/>
    </xf>
    <xf numFmtId="0" fontId="9" fillId="12" borderId="1" xfId="0" applyFont="1" applyFill="1" applyBorder="1" applyAlignment="1">
      <alignment vertical="top" wrapText="1"/>
    </xf>
    <xf numFmtId="0" fontId="14" fillId="15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9" fillId="7" borderId="1" xfId="0" applyFont="1" applyFill="1" applyBorder="1" applyAlignment="1">
      <alignment vertical="top" wrapText="1"/>
    </xf>
    <xf numFmtId="0" fontId="14" fillId="7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center" wrapText="1"/>
    </xf>
    <xf numFmtId="0" fontId="5" fillId="16" borderId="2" xfId="0" applyFont="1" applyFill="1" applyBorder="1" applyAlignment="1">
      <alignment vertical="top" wrapText="1"/>
    </xf>
    <xf numFmtId="0" fontId="4" fillId="13" borderId="2" xfId="0" applyFont="1" applyFill="1" applyBorder="1" applyAlignment="1">
      <alignment vertical="top" wrapText="1"/>
    </xf>
    <xf numFmtId="0" fontId="4" fillId="16" borderId="2" xfId="0" applyFont="1" applyFill="1" applyBorder="1" applyAlignment="1">
      <alignment vertical="top" wrapText="1"/>
    </xf>
    <xf numFmtId="0" fontId="9" fillId="12" borderId="2" xfId="0" applyFont="1" applyFill="1" applyBorder="1" applyAlignment="1">
      <alignment vertical="top" wrapText="1"/>
    </xf>
    <xf numFmtId="0" fontId="16" fillId="3" borderId="2" xfId="0" applyFont="1" applyFill="1" applyBorder="1" applyAlignment="1">
      <alignment vertical="top" wrapText="1"/>
    </xf>
    <xf numFmtId="0" fontId="5" fillId="7" borderId="2" xfId="0" applyFont="1" applyFill="1" applyBorder="1" applyAlignment="1">
      <alignment vertical="top" wrapText="1"/>
    </xf>
    <xf numFmtId="0" fontId="4" fillId="7" borderId="2" xfId="0" applyFont="1" applyFill="1" applyBorder="1" applyAlignment="1">
      <alignment vertical="top" wrapText="1"/>
    </xf>
    <xf numFmtId="0" fontId="9" fillId="7" borderId="2" xfId="0" applyFont="1" applyFill="1" applyBorder="1" applyAlignment="1">
      <alignment vertical="top" wrapText="1"/>
    </xf>
    <xf numFmtId="0" fontId="17" fillId="16" borderId="2" xfId="0" applyFont="1" applyFill="1" applyBorder="1" applyAlignment="1">
      <alignment vertical="top" wrapText="1"/>
    </xf>
    <xf numFmtId="0" fontId="17" fillId="7" borderId="2" xfId="0" applyFont="1" applyFill="1" applyBorder="1" applyAlignment="1">
      <alignment vertical="top" wrapText="1"/>
    </xf>
    <xf numFmtId="0" fontId="9" fillId="16" borderId="2" xfId="0" applyFont="1" applyFill="1" applyBorder="1" applyAlignment="1">
      <alignment vertical="top" wrapText="1"/>
    </xf>
    <xf numFmtId="0" fontId="5" fillId="16" borderId="1" xfId="0" applyFont="1" applyFill="1" applyBorder="1" applyAlignment="1">
      <alignment vertical="top" wrapText="1"/>
    </xf>
    <xf numFmtId="0" fontId="4" fillId="13" borderId="1" xfId="0" applyFont="1" applyFill="1" applyBorder="1" applyAlignment="1">
      <alignment vertical="top" wrapText="1"/>
    </xf>
    <xf numFmtId="0" fontId="4" fillId="16" borderId="1" xfId="0" applyFont="1" applyFill="1" applyBorder="1" applyAlignment="1">
      <alignment vertical="top" wrapText="1"/>
    </xf>
    <xf numFmtId="0" fontId="16" fillId="3" borderId="1" xfId="0" applyFont="1" applyFill="1" applyBorder="1" applyAlignment="1">
      <alignment vertical="top" wrapText="1"/>
    </xf>
    <xf numFmtId="0" fontId="17" fillId="16" borderId="1" xfId="0" applyFont="1" applyFill="1" applyBorder="1" applyAlignment="1">
      <alignment vertical="top" wrapText="1"/>
    </xf>
    <xf numFmtId="0" fontId="17" fillId="7" borderId="1" xfId="0" applyFont="1" applyFill="1" applyBorder="1" applyAlignment="1">
      <alignment vertical="top" wrapText="1"/>
    </xf>
    <xf numFmtId="0" fontId="15" fillId="16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1F6B75"/>
      <rgbColor rgb="FFCCCCCC"/>
      <rgbColor rgb="FF808080"/>
      <rgbColor rgb="FF9999FF"/>
      <rgbColor rgb="FF993366"/>
      <rgbColor rgb="FFFFF2CC"/>
      <rgbColor rgb="FFD6EEF0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6"/>
      <rgbColor rgb="FFE2EFDA"/>
      <rgbColor rgb="FFF2F2F2"/>
      <rgbColor rgb="FFDEEAF1"/>
      <rgbColor rgb="FFF7F7F7"/>
      <rgbColor rgb="FFEBE2F5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2E7D32"/>
      <rgbColor rgb="FF003300"/>
      <rgbColor rgb="FF333300"/>
      <rgbColor rgb="FF993300"/>
      <rgbColor rgb="FF993366"/>
      <rgbColor rgb="FF5C3292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5B6"/>
  </sheetPr>
  <dimension ref="B1:D53"/>
  <sheetViews>
    <sheetView showGridLines="0" tabSelected="1" topLeftCell="A41" zoomScaleNormal="100" workbookViewId="0">
      <selection activeCell="E69" sqref="E69"/>
    </sheetView>
  </sheetViews>
  <sheetFormatPr defaultColWidth="8.7109375" defaultRowHeight="15" x14ac:dyDescent="0.25"/>
  <cols>
    <col min="1" max="1" width="2" customWidth="1"/>
    <col min="2" max="2" width="28" customWidth="1"/>
    <col min="3" max="3" width="60" customWidth="1"/>
    <col min="4" max="4" width="28" customWidth="1"/>
    <col min="5" max="5" width="2" customWidth="1"/>
  </cols>
  <sheetData>
    <row r="1" spans="2:4" ht="39.75" customHeight="1" x14ac:dyDescent="0.25">
      <c r="B1" s="13" t="s">
        <v>0</v>
      </c>
      <c r="C1" s="13"/>
      <c r="D1" s="13"/>
    </row>
    <row r="2" spans="2:4" ht="15.75" customHeight="1" x14ac:dyDescent="0.25">
      <c r="B2" s="12" t="s">
        <v>1</v>
      </c>
      <c r="C2" s="12"/>
      <c r="D2" s="12"/>
    </row>
    <row r="4" spans="2:4" ht="19.5" customHeight="1" x14ac:dyDescent="0.25">
      <c r="B4" s="11" t="s">
        <v>2</v>
      </c>
      <c r="C4" s="11"/>
      <c r="D4" s="11"/>
    </row>
    <row r="5" spans="2:4" ht="42" customHeight="1" x14ac:dyDescent="0.25">
      <c r="B5" s="10" t="s">
        <v>3</v>
      </c>
      <c r="C5" s="10"/>
      <c r="D5" s="10"/>
    </row>
    <row r="7" spans="2:4" ht="19.5" customHeight="1" x14ac:dyDescent="0.25">
      <c r="B7" s="11" t="s">
        <v>4</v>
      </c>
      <c r="C7" s="11"/>
      <c r="D7" s="11"/>
    </row>
    <row r="8" spans="2:4" ht="84" customHeight="1" x14ac:dyDescent="0.25">
      <c r="B8" s="10" t="s">
        <v>5</v>
      </c>
      <c r="C8" s="10"/>
      <c r="D8" s="10"/>
    </row>
    <row r="10" spans="2:4" ht="19.5" customHeight="1" x14ac:dyDescent="0.25">
      <c r="B10" s="11" t="s">
        <v>6</v>
      </c>
      <c r="C10" s="11"/>
      <c r="D10" s="11"/>
    </row>
    <row r="11" spans="2:4" ht="55.5" customHeight="1" x14ac:dyDescent="0.25">
      <c r="B11" s="10" t="s">
        <v>7</v>
      </c>
      <c r="C11" s="10"/>
      <c r="D11" s="10"/>
    </row>
    <row r="13" spans="2:4" ht="19.5" customHeight="1" x14ac:dyDescent="0.25">
      <c r="B13" s="11" t="s">
        <v>8</v>
      </c>
      <c r="C13" s="11"/>
      <c r="D13" s="11"/>
    </row>
    <row r="14" spans="2:4" ht="223.5" customHeight="1" x14ac:dyDescent="0.25">
      <c r="B14" s="10" t="s">
        <v>9</v>
      </c>
      <c r="C14" s="10"/>
      <c r="D14" s="10"/>
    </row>
    <row r="16" spans="2:4" ht="19.5" customHeight="1" x14ac:dyDescent="0.25">
      <c r="B16" s="9" t="s">
        <v>10</v>
      </c>
      <c r="C16" s="9"/>
      <c r="D16" s="9"/>
    </row>
    <row r="17" spans="2:4" ht="27.75" customHeight="1" x14ac:dyDescent="0.25">
      <c r="B17" s="8" t="s">
        <v>11</v>
      </c>
      <c r="C17" s="8"/>
      <c r="D17" s="8"/>
    </row>
    <row r="19" spans="2:4" ht="19.5" customHeight="1" x14ac:dyDescent="0.25">
      <c r="B19" s="11" t="s">
        <v>12</v>
      </c>
      <c r="C19" s="11"/>
      <c r="D19" s="11"/>
    </row>
    <row r="20" spans="2:4" ht="25.5" customHeight="1" x14ac:dyDescent="0.25">
      <c r="B20" s="14" t="s">
        <v>13</v>
      </c>
      <c r="C20" s="7" t="s">
        <v>14</v>
      </c>
      <c r="D20" s="7"/>
    </row>
    <row r="21" spans="2:4" ht="18" customHeight="1" x14ac:dyDescent="0.25">
      <c r="B21" s="14" t="s">
        <v>15</v>
      </c>
      <c r="C21" s="6" t="s">
        <v>16</v>
      </c>
      <c r="D21" s="6"/>
    </row>
    <row r="22" spans="2:4" ht="39" customHeight="1" x14ac:dyDescent="0.25">
      <c r="B22" s="14" t="s">
        <v>17</v>
      </c>
      <c r="C22" s="7" t="s">
        <v>18</v>
      </c>
      <c r="D22" s="7"/>
    </row>
    <row r="23" spans="2:4" ht="51.75" customHeight="1" x14ac:dyDescent="0.25">
      <c r="B23" s="14" t="s">
        <v>19</v>
      </c>
      <c r="C23" s="6" t="s">
        <v>20</v>
      </c>
      <c r="D23" s="6"/>
    </row>
    <row r="24" spans="2:4" ht="51.75" customHeight="1" x14ac:dyDescent="0.25">
      <c r="B24" s="14" t="s">
        <v>21</v>
      </c>
      <c r="C24" s="7" t="s">
        <v>22</v>
      </c>
      <c r="D24" s="7"/>
    </row>
    <row r="25" spans="2:4" ht="25.5" customHeight="1" x14ac:dyDescent="0.25">
      <c r="B25" s="14" t="s">
        <v>23</v>
      </c>
      <c r="C25" s="6" t="s">
        <v>24</v>
      </c>
      <c r="D25" s="6"/>
    </row>
    <row r="26" spans="2:4" ht="39" customHeight="1" x14ac:dyDescent="0.25">
      <c r="B26" s="14" t="s">
        <v>25</v>
      </c>
      <c r="C26" s="7" t="s">
        <v>26</v>
      </c>
      <c r="D26" s="7"/>
    </row>
    <row r="27" spans="2:4" ht="39" customHeight="1" x14ac:dyDescent="0.25">
      <c r="B27" s="14" t="s">
        <v>27</v>
      </c>
      <c r="C27" s="6" t="s">
        <v>28</v>
      </c>
      <c r="D27" s="6"/>
    </row>
    <row r="28" spans="2:4" ht="18" customHeight="1" x14ac:dyDescent="0.25">
      <c r="B28" s="14" t="s">
        <v>29</v>
      </c>
      <c r="C28" s="7" t="s">
        <v>30</v>
      </c>
      <c r="D28" s="7"/>
    </row>
    <row r="29" spans="2:4" ht="18" customHeight="1" x14ac:dyDescent="0.25">
      <c r="B29" s="14" t="s">
        <v>31</v>
      </c>
      <c r="C29" s="6" t="s">
        <v>32</v>
      </c>
      <c r="D29" s="6"/>
    </row>
    <row r="30" spans="2:4" ht="18" customHeight="1" x14ac:dyDescent="0.25">
      <c r="B30" s="14" t="s">
        <v>33</v>
      </c>
      <c r="C30" s="7" t="s">
        <v>34</v>
      </c>
      <c r="D30" s="7"/>
    </row>
    <row r="31" spans="2:4" ht="18" customHeight="1" x14ac:dyDescent="0.25">
      <c r="B31" s="14" t="s">
        <v>35</v>
      </c>
      <c r="C31" s="6" t="s">
        <v>36</v>
      </c>
      <c r="D31" s="6"/>
    </row>
    <row r="33" spans="2:4" ht="19.5" customHeight="1" x14ac:dyDescent="0.25">
      <c r="B33" s="5" t="s">
        <v>37</v>
      </c>
      <c r="C33" s="5"/>
      <c r="D33" s="5"/>
    </row>
    <row r="34" spans="2:4" ht="15.75" customHeight="1" x14ac:dyDescent="0.25">
      <c r="B34" s="10" t="s">
        <v>38</v>
      </c>
      <c r="C34" s="10"/>
      <c r="D34" s="10"/>
    </row>
    <row r="35" spans="2:4" ht="15.75" customHeight="1" x14ac:dyDescent="0.25">
      <c r="B35" s="4" t="s">
        <v>39</v>
      </c>
      <c r="C35" s="4"/>
      <c r="D35" s="4"/>
    </row>
    <row r="36" spans="2:4" ht="15.75" customHeight="1" x14ac:dyDescent="0.25">
      <c r="B36" s="10" t="s">
        <v>40</v>
      </c>
      <c r="C36" s="10"/>
      <c r="D36" s="10"/>
    </row>
    <row r="37" spans="2:4" ht="15.75" customHeight="1" x14ac:dyDescent="0.25">
      <c r="B37" s="4" t="s">
        <v>41</v>
      </c>
      <c r="C37" s="4"/>
      <c r="D37" s="4"/>
    </row>
    <row r="38" spans="2:4" ht="15.75" customHeight="1" x14ac:dyDescent="0.25">
      <c r="B38" s="10" t="s">
        <v>42</v>
      </c>
      <c r="C38" s="10"/>
      <c r="D38" s="10"/>
    </row>
    <row r="39" spans="2:4" ht="15.75" customHeight="1" x14ac:dyDescent="0.25">
      <c r="B39" s="4" t="s">
        <v>43</v>
      </c>
      <c r="C39" s="4"/>
      <c r="D39" s="4"/>
    </row>
    <row r="40" spans="2:4" ht="15.75" customHeight="1" x14ac:dyDescent="0.25">
      <c r="B40" s="10" t="s">
        <v>44</v>
      </c>
      <c r="C40" s="10"/>
      <c r="D40" s="10"/>
    </row>
    <row r="41" spans="2:4" ht="15.75" customHeight="1" x14ac:dyDescent="0.25">
      <c r="B41" s="4" t="s">
        <v>45</v>
      </c>
      <c r="C41" s="4"/>
      <c r="D41" s="4"/>
    </row>
    <row r="42" spans="2:4" ht="15.75" customHeight="1" x14ac:dyDescent="0.25">
      <c r="B42" s="10" t="s">
        <v>46</v>
      </c>
      <c r="C42" s="10"/>
      <c r="D42" s="10"/>
    </row>
    <row r="44" spans="2:4" ht="18" customHeight="1" x14ac:dyDescent="0.25">
      <c r="B44" s="5" t="s">
        <v>47</v>
      </c>
      <c r="C44" s="5"/>
      <c r="D44" s="5"/>
    </row>
    <row r="45" spans="2:4" ht="18" customHeight="1" x14ac:dyDescent="0.25">
      <c r="B45" s="15" t="s">
        <v>48</v>
      </c>
      <c r="C45" s="3" t="s">
        <v>49</v>
      </c>
      <c r="D45" s="3"/>
    </row>
    <row r="46" spans="2:4" ht="18" customHeight="1" x14ac:dyDescent="0.25">
      <c r="B46" s="16" t="s">
        <v>50</v>
      </c>
      <c r="C46" s="3" t="s">
        <v>51</v>
      </c>
      <c r="D46" s="3"/>
    </row>
    <row r="47" spans="2:4" ht="18" customHeight="1" x14ac:dyDescent="0.25">
      <c r="B47" s="17" t="s">
        <v>52</v>
      </c>
      <c r="C47" s="3" t="s">
        <v>53</v>
      </c>
      <c r="D47" s="3"/>
    </row>
    <row r="49" spans="2:2" ht="18" customHeight="1" x14ac:dyDescent="0.25">
      <c r="B49" s="18" t="s">
        <v>54</v>
      </c>
    </row>
    <row r="50" spans="2:2" ht="18" customHeight="1" x14ac:dyDescent="0.25">
      <c r="B50" s="19" t="s">
        <v>55</v>
      </c>
    </row>
    <row r="51" spans="2:2" ht="18" customHeight="1" x14ac:dyDescent="0.25">
      <c r="B51" s="20" t="s">
        <v>56</v>
      </c>
    </row>
    <row r="52" spans="2:2" ht="18" customHeight="1" x14ac:dyDescent="0.25">
      <c r="B52" s="21" t="s">
        <v>57</v>
      </c>
    </row>
    <row r="53" spans="2:2" ht="18" customHeight="1" x14ac:dyDescent="0.25">
      <c r="B53" s="22" t="s">
        <v>58</v>
      </c>
    </row>
  </sheetData>
  <mergeCells count="39">
    <mergeCell ref="B44:D44"/>
    <mergeCell ref="C45:D45"/>
    <mergeCell ref="C46:D46"/>
    <mergeCell ref="C47:D47"/>
    <mergeCell ref="B38:D38"/>
    <mergeCell ref="B39:D39"/>
    <mergeCell ref="B40:D40"/>
    <mergeCell ref="B41:D41"/>
    <mergeCell ref="B42:D42"/>
    <mergeCell ref="B33:D33"/>
    <mergeCell ref="B34:D34"/>
    <mergeCell ref="B35:D35"/>
    <mergeCell ref="B36:D36"/>
    <mergeCell ref="B37:D37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B16:D16"/>
    <mergeCell ref="B17:D17"/>
    <mergeCell ref="B19:D19"/>
    <mergeCell ref="C20:D20"/>
    <mergeCell ref="C21:D21"/>
    <mergeCell ref="B8:D8"/>
    <mergeCell ref="B10:D10"/>
    <mergeCell ref="B11:D11"/>
    <mergeCell ref="B13:D13"/>
    <mergeCell ref="B14:D14"/>
    <mergeCell ref="B1:D1"/>
    <mergeCell ref="B2:D2"/>
    <mergeCell ref="B4:D4"/>
    <mergeCell ref="B5:D5"/>
    <mergeCell ref="B7:D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8"/>
  <sheetViews>
    <sheetView showGridLines="0" zoomScaleNormal="100" workbookViewId="0">
      <pane ySplit="6" topLeftCell="A7" activePane="bottomLeft" state="frozen"/>
      <selection pane="bottomLeft" activeCell="H4" sqref="H4"/>
    </sheetView>
  </sheetViews>
  <sheetFormatPr defaultColWidth="8.7109375" defaultRowHeight="15" x14ac:dyDescent="0.25"/>
  <cols>
    <col min="1" max="1" width="12" customWidth="1"/>
    <col min="2" max="2" width="26" customWidth="1"/>
    <col min="3" max="3" width="34" customWidth="1"/>
    <col min="4" max="4" width="28" customWidth="1"/>
    <col min="5" max="5" width="9" customWidth="1"/>
    <col min="6" max="6" width="10" customWidth="1"/>
    <col min="7" max="8" width="14" customWidth="1"/>
  </cols>
  <sheetData>
    <row r="1" spans="1:8" ht="24" customHeight="1" x14ac:dyDescent="0.25">
      <c r="A1" s="2" t="s">
        <v>59</v>
      </c>
      <c r="B1" s="2"/>
      <c r="C1" s="2"/>
      <c r="D1" s="2"/>
      <c r="E1" s="2"/>
      <c r="F1" s="2"/>
      <c r="G1" s="2"/>
      <c r="H1" s="2"/>
    </row>
    <row r="3" spans="1:8" ht="15" customHeight="1" x14ac:dyDescent="0.25">
      <c r="A3" s="23" t="s">
        <v>60</v>
      </c>
      <c r="B3" s="24">
        <f>COUNTA(A7:A798)</f>
        <v>172</v>
      </c>
      <c r="C3" s="23" t="s">
        <v>61</v>
      </c>
      <c r="D3" s="24">
        <f>COUNTIF(E7:E798,"P1")</f>
        <v>154</v>
      </c>
      <c r="E3" s="23" t="s">
        <v>62</v>
      </c>
      <c r="F3" s="24">
        <f>COUNTIF(E7:E798,"P2")</f>
        <v>18</v>
      </c>
      <c r="G3" s="23" t="s">
        <v>63</v>
      </c>
      <c r="H3" s="24">
        <f>COUNTIF(E7:E798,"P3")</f>
        <v>0</v>
      </c>
    </row>
    <row r="4" spans="1:8" ht="15" customHeight="1" x14ac:dyDescent="0.25">
      <c r="A4" s="23" t="s">
        <v>64</v>
      </c>
      <c r="B4" s="24">
        <f>COUNTIF(F7:F798,"Yes")</f>
        <v>117</v>
      </c>
      <c r="C4" s="23" t="s">
        <v>55</v>
      </c>
      <c r="D4" s="24">
        <f>COUNTIF(G7:G798,"Pass")</f>
        <v>0</v>
      </c>
      <c r="E4" s="23" t="s">
        <v>56</v>
      </c>
      <c r="F4" s="24">
        <f>COUNTIF(G7:G798,"Fail")</f>
        <v>0</v>
      </c>
      <c r="G4" s="23" t="s">
        <v>54</v>
      </c>
      <c r="H4" s="24">
        <f>COUNTIF(G7:G798,"Not Run")</f>
        <v>172</v>
      </c>
    </row>
    <row r="5" spans="1:8" ht="14.25" customHeight="1" x14ac:dyDescent="0.25"/>
    <row r="6" spans="1:8" ht="23.25" customHeight="1" x14ac:dyDescent="0.25">
      <c r="A6" s="25" t="s">
        <v>13</v>
      </c>
      <c r="B6" s="25" t="s">
        <v>65</v>
      </c>
      <c r="C6" s="25" t="s">
        <v>66</v>
      </c>
      <c r="D6" s="25" t="s">
        <v>67</v>
      </c>
      <c r="E6" s="25" t="s">
        <v>68</v>
      </c>
      <c r="F6" s="25" t="s">
        <v>29</v>
      </c>
      <c r="G6" s="25" t="s">
        <v>69</v>
      </c>
      <c r="H6" s="25" t="s">
        <v>70</v>
      </c>
    </row>
    <row r="7" spans="1:8" ht="21.75" customHeight="1" x14ac:dyDescent="0.25">
      <c r="A7" s="26" t="s">
        <v>71</v>
      </c>
      <c r="B7" s="27" t="s">
        <v>72</v>
      </c>
      <c r="C7" s="27" t="s">
        <v>73</v>
      </c>
      <c r="D7" s="27" t="s">
        <v>74</v>
      </c>
      <c r="E7" s="28" t="s">
        <v>61</v>
      </c>
      <c r="F7" s="27" t="s">
        <v>75</v>
      </c>
      <c r="G7" s="29" t="str">
        <f>'L3-AuthAPI'!M6</f>
        <v>Not Run</v>
      </c>
      <c r="H7" s="29">
        <f>'L3-AuthAPI'!N6</f>
        <v>0</v>
      </c>
    </row>
    <row r="8" spans="1:8" ht="21.75" customHeight="1" x14ac:dyDescent="0.25">
      <c r="A8" s="30" t="s">
        <v>76</v>
      </c>
      <c r="B8" s="31" t="s">
        <v>72</v>
      </c>
      <c r="C8" s="31" t="s">
        <v>73</v>
      </c>
      <c r="D8" s="31" t="s">
        <v>77</v>
      </c>
      <c r="E8" s="28" t="s">
        <v>61</v>
      </c>
      <c r="F8" s="32" t="s">
        <v>78</v>
      </c>
      <c r="G8" s="33" t="str">
        <f>'L3-AuthAPI'!M7</f>
        <v>Not Run</v>
      </c>
      <c r="H8" s="33">
        <f>'L3-AuthAPI'!N7</f>
        <v>0</v>
      </c>
    </row>
    <row r="9" spans="1:8" ht="21.75" customHeight="1" x14ac:dyDescent="0.25">
      <c r="A9" s="26" t="s">
        <v>79</v>
      </c>
      <c r="B9" s="27" t="s">
        <v>72</v>
      </c>
      <c r="C9" s="27" t="s">
        <v>73</v>
      </c>
      <c r="D9" s="27" t="s">
        <v>77</v>
      </c>
      <c r="E9" s="28" t="s">
        <v>61</v>
      </c>
      <c r="F9" s="27" t="s">
        <v>78</v>
      </c>
      <c r="G9" s="29" t="str">
        <f>'L3-AuthAPI'!M8</f>
        <v>Not Run</v>
      </c>
      <c r="H9" s="29">
        <f>'L3-AuthAPI'!N8</f>
        <v>0</v>
      </c>
    </row>
    <row r="10" spans="1:8" ht="21.75" customHeight="1" x14ac:dyDescent="0.25">
      <c r="A10" s="30" t="s">
        <v>80</v>
      </c>
      <c r="B10" s="31" t="s">
        <v>72</v>
      </c>
      <c r="C10" s="31" t="s">
        <v>73</v>
      </c>
      <c r="D10" s="31" t="s">
        <v>81</v>
      </c>
      <c r="E10" s="28" t="s">
        <v>61</v>
      </c>
      <c r="F10" s="32" t="s">
        <v>78</v>
      </c>
      <c r="G10" s="33" t="str">
        <f>'L3-AuthAPI'!M9</f>
        <v>Not Run</v>
      </c>
      <c r="H10" s="33">
        <f>'L3-AuthAPI'!N9</f>
        <v>0</v>
      </c>
    </row>
    <row r="11" spans="1:8" ht="21.75" customHeight="1" x14ac:dyDescent="0.25">
      <c r="A11" s="26" t="s">
        <v>82</v>
      </c>
      <c r="B11" s="27" t="s">
        <v>72</v>
      </c>
      <c r="C11" s="27" t="s">
        <v>73</v>
      </c>
      <c r="D11" s="27" t="s">
        <v>83</v>
      </c>
      <c r="E11" s="28" t="s">
        <v>61</v>
      </c>
      <c r="F11" s="27" t="s">
        <v>78</v>
      </c>
      <c r="G11" s="29" t="str">
        <f>'L3-AuthAPI'!M10</f>
        <v>Not Run</v>
      </c>
      <c r="H11" s="29">
        <f>'L3-AuthAPI'!N10</f>
        <v>0</v>
      </c>
    </row>
    <row r="12" spans="1:8" ht="21.75" customHeight="1" x14ac:dyDescent="0.25">
      <c r="A12" s="30" t="s">
        <v>84</v>
      </c>
      <c r="B12" s="31" t="s">
        <v>72</v>
      </c>
      <c r="C12" s="31" t="s">
        <v>73</v>
      </c>
      <c r="D12" s="31" t="s">
        <v>83</v>
      </c>
      <c r="E12" s="28" t="s">
        <v>61</v>
      </c>
      <c r="F12" s="32" t="s">
        <v>78</v>
      </c>
      <c r="G12" s="33" t="str">
        <f>'L3-AuthAPI'!M11</f>
        <v>Not Run</v>
      </c>
      <c r="H12" s="33">
        <f>'L3-AuthAPI'!N11</f>
        <v>0</v>
      </c>
    </row>
    <row r="13" spans="1:8" ht="21.75" customHeight="1" x14ac:dyDescent="0.25">
      <c r="A13" s="26" t="s">
        <v>85</v>
      </c>
      <c r="B13" s="27" t="s">
        <v>72</v>
      </c>
      <c r="C13" s="27" t="s">
        <v>73</v>
      </c>
      <c r="D13" s="27" t="s">
        <v>83</v>
      </c>
      <c r="E13" s="28" t="s">
        <v>62</v>
      </c>
      <c r="F13" s="27" t="s">
        <v>78</v>
      </c>
      <c r="G13" s="29" t="str">
        <f>'L3-AuthAPI'!M12</f>
        <v>Not Run</v>
      </c>
      <c r="H13" s="29">
        <f>'L3-AuthAPI'!N12</f>
        <v>0</v>
      </c>
    </row>
    <row r="14" spans="1:8" ht="21.75" customHeight="1" x14ac:dyDescent="0.25">
      <c r="A14" s="30" t="s">
        <v>86</v>
      </c>
      <c r="B14" s="31" t="s">
        <v>72</v>
      </c>
      <c r="C14" s="31" t="s">
        <v>87</v>
      </c>
      <c r="D14" s="31" t="s">
        <v>88</v>
      </c>
      <c r="E14" s="28" t="s">
        <v>61</v>
      </c>
      <c r="F14" s="32" t="s">
        <v>75</v>
      </c>
      <c r="G14" s="33" t="str">
        <f>'L3-AuthAPI'!M14</f>
        <v>Not Run</v>
      </c>
      <c r="H14" s="33">
        <f>'L3-AuthAPI'!N14</f>
        <v>0</v>
      </c>
    </row>
    <row r="15" spans="1:8" ht="21.75" customHeight="1" x14ac:dyDescent="0.25">
      <c r="A15" s="26" t="s">
        <v>89</v>
      </c>
      <c r="B15" s="27" t="s">
        <v>72</v>
      </c>
      <c r="C15" s="27" t="s">
        <v>87</v>
      </c>
      <c r="D15" s="27" t="s">
        <v>90</v>
      </c>
      <c r="E15" s="28" t="s">
        <v>61</v>
      </c>
      <c r="F15" s="27" t="s">
        <v>78</v>
      </c>
      <c r="G15" s="29" t="str">
        <f>'L3-AuthAPI'!M15</f>
        <v>Not Run</v>
      </c>
      <c r="H15" s="29">
        <f>'L3-AuthAPI'!N15</f>
        <v>0</v>
      </c>
    </row>
    <row r="16" spans="1:8" ht="21.75" customHeight="1" x14ac:dyDescent="0.25">
      <c r="A16" s="30" t="s">
        <v>91</v>
      </c>
      <c r="B16" s="31" t="s">
        <v>72</v>
      </c>
      <c r="C16" s="31" t="s">
        <v>87</v>
      </c>
      <c r="D16" s="31" t="s">
        <v>90</v>
      </c>
      <c r="E16" s="28" t="s">
        <v>61</v>
      </c>
      <c r="F16" s="32" t="s">
        <v>75</v>
      </c>
      <c r="G16" s="33" t="str">
        <f>'L3-AuthAPI'!M16</f>
        <v>Not Run</v>
      </c>
      <c r="H16" s="33">
        <f>'L3-AuthAPI'!N16</f>
        <v>0</v>
      </c>
    </row>
    <row r="17" spans="1:8" ht="21.75" customHeight="1" x14ac:dyDescent="0.25">
      <c r="A17" s="26" t="s">
        <v>92</v>
      </c>
      <c r="B17" s="27" t="s">
        <v>72</v>
      </c>
      <c r="C17" s="27" t="s">
        <v>87</v>
      </c>
      <c r="D17" s="27" t="s">
        <v>90</v>
      </c>
      <c r="E17" s="28" t="s">
        <v>61</v>
      </c>
      <c r="F17" s="27" t="s">
        <v>78</v>
      </c>
      <c r="G17" s="29" t="str">
        <f>'L3-AuthAPI'!M17</f>
        <v>Not Run</v>
      </c>
      <c r="H17" s="29">
        <f>'L3-AuthAPI'!N17</f>
        <v>0</v>
      </c>
    </row>
    <row r="18" spans="1:8" ht="21.75" customHeight="1" x14ac:dyDescent="0.25">
      <c r="A18" s="30" t="s">
        <v>93</v>
      </c>
      <c r="B18" s="31" t="s">
        <v>72</v>
      </c>
      <c r="C18" s="31" t="s">
        <v>87</v>
      </c>
      <c r="D18" s="31" t="s">
        <v>94</v>
      </c>
      <c r="E18" s="28" t="s">
        <v>61</v>
      </c>
      <c r="F18" s="32" t="s">
        <v>78</v>
      </c>
      <c r="G18" s="33" t="str">
        <f>'L3-AuthAPI'!M18</f>
        <v>Not Run</v>
      </c>
      <c r="H18" s="33">
        <f>'L3-AuthAPI'!N18</f>
        <v>0</v>
      </c>
    </row>
    <row r="19" spans="1:8" ht="21.75" customHeight="1" x14ac:dyDescent="0.25">
      <c r="A19" s="26" t="s">
        <v>95</v>
      </c>
      <c r="B19" s="27" t="s">
        <v>72</v>
      </c>
      <c r="C19" s="27" t="s">
        <v>87</v>
      </c>
      <c r="D19" s="27" t="s">
        <v>94</v>
      </c>
      <c r="E19" s="28" t="s">
        <v>61</v>
      </c>
      <c r="F19" s="27" t="s">
        <v>78</v>
      </c>
      <c r="G19" s="29" t="str">
        <f>'L3-AuthAPI'!M19</f>
        <v>Not Run</v>
      </c>
      <c r="H19" s="29">
        <f>'L3-AuthAPI'!N19</f>
        <v>0</v>
      </c>
    </row>
    <row r="20" spans="1:8" ht="21.75" customHeight="1" x14ac:dyDescent="0.25">
      <c r="A20" s="30" t="s">
        <v>96</v>
      </c>
      <c r="B20" s="31" t="s">
        <v>97</v>
      </c>
      <c r="C20" s="31" t="s">
        <v>98</v>
      </c>
      <c r="D20" s="31" t="s">
        <v>99</v>
      </c>
      <c r="E20" s="28" t="s">
        <v>61</v>
      </c>
      <c r="F20" s="32" t="s">
        <v>75</v>
      </c>
      <c r="G20" s="33" t="str">
        <f>'L3-OrderPaymentAPI'!M6</f>
        <v>Not Run</v>
      </c>
      <c r="H20" s="33">
        <f>'L3-OrderPaymentAPI'!N6</f>
        <v>0</v>
      </c>
    </row>
    <row r="21" spans="1:8" ht="21.75" customHeight="1" x14ac:dyDescent="0.25">
      <c r="A21" s="26" t="s">
        <v>100</v>
      </c>
      <c r="B21" s="27" t="s">
        <v>97</v>
      </c>
      <c r="C21" s="27" t="s">
        <v>98</v>
      </c>
      <c r="D21" s="27" t="s">
        <v>101</v>
      </c>
      <c r="E21" s="28" t="s">
        <v>61</v>
      </c>
      <c r="F21" s="27" t="s">
        <v>78</v>
      </c>
      <c r="G21" s="29" t="str">
        <f>'L3-OrderPaymentAPI'!M7</f>
        <v>Not Run</v>
      </c>
      <c r="H21" s="29">
        <f>'L3-OrderPaymentAPI'!N7</f>
        <v>0</v>
      </c>
    </row>
    <row r="22" spans="1:8" ht="21.75" customHeight="1" x14ac:dyDescent="0.25">
      <c r="A22" s="30" t="s">
        <v>102</v>
      </c>
      <c r="B22" s="31" t="s">
        <v>97</v>
      </c>
      <c r="C22" s="31" t="s">
        <v>98</v>
      </c>
      <c r="D22" s="31" t="s">
        <v>103</v>
      </c>
      <c r="E22" s="28" t="s">
        <v>61</v>
      </c>
      <c r="F22" s="32" t="s">
        <v>78</v>
      </c>
      <c r="G22" s="33" t="str">
        <f>'L3-OrderPaymentAPI'!M8</f>
        <v>Not Run</v>
      </c>
      <c r="H22" s="33">
        <f>'L3-OrderPaymentAPI'!N8</f>
        <v>0</v>
      </c>
    </row>
    <row r="23" spans="1:8" ht="21.75" customHeight="1" x14ac:dyDescent="0.25">
      <c r="A23" s="26" t="s">
        <v>104</v>
      </c>
      <c r="B23" s="27" t="s">
        <v>97</v>
      </c>
      <c r="C23" s="27" t="s">
        <v>98</v>
      </c>
      <c r="D23" s="27" t="s">
        <v>105</v>
      </c>
      <c r="E23" s="28" t="s">
        <v>61</v>
      </c>
      <c r="F23" s="27" t="s">
        <v>78</v>
      </c>
      <c r="G23" s="29" t="str">
        <f>'L3-OrderPaymentAPI'!M9</f>
        <v>Not Run</v>
      </c>
      <c r="H23" s="29">
        <f>'L3-OrderPaymentAPI'!N9</f>
        <v>0</v>
      </c>
    </row>
    <row r="24" spans="1:8" ht="21.75" customHeight="1" x14ac:dyDescent="0.25">
      <c r="A24" s="30" t="s">
        <v>106</v>
      </c>
      <c r="B24" s="31" t="s">
        <v>97</v>
      </c>
      <c r="C24" s="31" t="s">
        <v>98</v>
      </c>
      <c r="D24" s="31" t="s">
        <v>107</v>
      </c>
      <c r="E24" s="28" t="s">
        <v>61</v>
      </c>
      <c r="F24" s="32" t="s">
        <v>78</v>
      </c>
      <c r="G24" s="33" t="str">
        <f>'L3-OrderPaymentAPI'!M10</f>
        <v>Not Run</v>
      </c>
      <c r="H24" s="33">
        <f>'L3-OrderPaymentAPI'!N10</f>
        <v>0</v>
      </c>
    </row>
    <row r="25" spans="1:8" ht="21.75" customHeight="1" x14ac:dyDescent="0.25">
      <c r="A25" s="26" t="s">
        <v>108</v>
      </c>
      <c r="B25" s="27" t="s">
        <v>97</v>
      </c>
      <c r="C25" s="27" t="s">
        <v>98</v>
      </c>
      <c r="D25" s="27" t="s">
        <v>109</v>
      </c>
      <c r="E25" s="28" t="s">
        <v>61</v>
      </c>
      <c r="F25" s="27" t="s">
        <v>75</v>
      </c>
      <c r="G25" s="29" t="str">
        <f>'L3-OrderPaymentAPI'!M11</f>
        <v>Not Run</v>
      </c>
      <c r="H25" s="29">
        <f>'L3-OrderPaymentAPI'!N11</f>
        <v>0</v>
      </c>
    </row>
    <row r="26" spans="1:8" ht="21.75" customHeight="1" x14ac:dyDescent="0.25">
      <c r="A26" s="30" t="s">
        <v>110</v>
      </c>
      <c r="B26" s="31" t="s">
        <v>97</v>
      </c>
      <c r="C26" s="31" t="s">
        <v>98</v>
      </c>
      <c r="D26" s="31" t="s">
        <v>111</v>
      </c>
      <c r="E26" s="28" t="s">
        <v>61</v>
      </c>
      <c r="F26" s="32" t="s">
        <v>78</v>
      </c>
      <c r="G26" s="33" t="str">
        <f>'L3-OrderPaymentAPI'!M12</f>
        <v>Not Run</v>
      </c>
      <c r="H26" s="33">
        <f>'L3-OrderPaymentAPI'!N12</f>
        <v>0</v>
      </c>
    </row>
    <row r="27" spans="1:8" ht="21.75" customHeight="1" x14ac:dyDescent="0.25">
      <c r="A27" s="26" t="s">
        <v>112</v>
      </c>
      <c r="B27" s="27" t="s">
        <v>97</v>
      </c>
      <c r="C27" s="27" t="s">
        <v>98</v>
      </c>
      <c r="D27" s="27" t="s">
        <v>113</v>
      </c>
      <c r="E27" s="28" t="s">
        <v>61</v>
      </c>
      <c r="F27" s="27" t="s">
        <v>78</v>
      </c>
      <c r="G27" s="29" t="str">
        <f>'L3-OrderPaymentAPI'!M13</f>
        <v>Not Run</v>
      </c>
      <c r="H27" s="29">
        <f>'L3-OrderPaymentAPI'!N13</f>
        <v>0</v>
      </c>
    </row>
    <row r="28" spans="1:8" ht="21.75" customHeight="1" x14ac:dyDescent="0.25">
      <c r="A28" s="30" t="s">
        <v>114</v>
      </c>
      <c r="B28" s="31" t="s">
        <v>97</v>
      </c>
      <c r="C28" s="31" t="s">
        <v>115</v>
      </c>
      <c r="D28" s="31" t="s">
        <v>116</v>
      </c>
      <c r="E28" s="28" t="s">
        <v>61</v>
      </c>
      <c r="F28" s="32" t="s">
        <v>75</v>
      </c>
      <c r="G28" s="33" t="str">
        <f>'L3-OrderPaymentAPI'!M15</f>
        <v>Not Run</v>
      </c>
      <c r="H28" s="33">
        <f>'L3-OrderPaymentAPI'!N15</f>
        <v>0</v>
      </c>
    </row>
    <row r="29" spans="1:8" ht="21.75" customHeight="1" x14ac:dyDescent="0.25">
      <c r="A29" s="26" t="s">
        <v>117</v>
      </c>
      <c r="B29" s="27" t="s">
        <v>97</v>
      </c>
      <c r="C29" s="27" t="s">
        <v>115</v>
      </c>
      <c r="D29" s="27" t="s">
        <v>118</v>
      </c>
      <c r="E29" s="28" t="s">
        <v>61</v>
      </c>
      <c r="F29" s="27" t="s">
        <v>78</v>
      </c>
      <c r="G29" s="29" t="str">
        <f>'L3-OrderPaymentAPI'!M16</f>
        <v>Not Run</v>
      </c>
      <c r="H29" s="29">
        <f>'L3-OrderPaymentAPI'!N16</f>
        <v>0</v>
      </c>
    </row>
    <row r="30" spans="1:8" ht="21.75" customHeight="1" x14ac:dyDescent="0.25">
      <c r="A30" s="30" t="s">
        <v>119</v>
      </c>
      <c r="B30" s="31" t="s">
        <v>97</v>
      </c>
      <c r="C30" s="31" t="s">
        <v>115</v>
      </c>
      <c r="D30" s="31" t="s">
        <v>120</v>
      </c>
      <c r="E30" s="28" t="s">
        <v>61</v>
      </c>
      <c r="F30" s="32" t="s">
        <v>78</v>
      </c>
      <c r="G30" s="33" t="str">
        <f>'L3-OrderPaymentAPI'!M17</f>
        <v>Not Run</v>
      </c>
      <c r="H30" s="33">
        <f>'L3-OrderPaymentAPI'!N17</f>
        <v>0</v>
      </c>
    </row>
    <row r="31" spans="1:8" ht="21.75" customHeight="1" x14ac:dyDescent="0.25">
      <c r="A31" s="26" t="s">
        <v>121</v>
      </c>
      <c r="B31" s="27" t="s">
        <v>97</v>
      </c>
      <c r="C31" s="27" t="s">
        <v>115</v>
      </c>
      <c r="D31" s="27" t="s">
        <v>122</v>
      </c>
      <c r="E31" s="28" t="s">
        <v>61</v>
      </c>
      <c r="F31" s="27" t="s">
        <v>75</v>
      </c>
      <c r="G31" s="29" t="str">
        <f>'L3-OrderPaymentAPI'!M18</f>
        <v>Not Run</v>
      </c>
      <c r="H31" s="29">
        <f>'L3-OrderPaymentAPI'!N18</f>
        <v>0</v>
      </c>
    </row>
    <row r="32" spans="1:8" ht="21.75" customHeight="1" x14ac:dyDescent="0.25">
      <c r="A32" s="30" t="s">
        <v>123</v>
      </c>
      <c r="B32" s="31" t="s">
        <v>97</v>
      </c>
      <c r="C32" s="31" t="s">
        <v>115</v>
      </c>
      <c r="D32" s="31" t="s">
        <v>124</v>
      </c>
      <c r="E32" s="28" t="s">
        <v>61</v>
      </c>
      <c r="F32" s="32" t="s">
        <v>78</v>
      </c>
      <c r="G32" s="33" t="str">
        <f>'L3-OrderPaymentAPI'!M19</f>
        <v>Not Run</v>
      </c>
      <c r="H32" s="33">
        <f>'L3-OrderPaymentAPI'!N19</f>
        <v>0</v>
      </c>
    </row>
    <row r="33" spans="1:8" ht="21.75" customHeight="1" x14ac:dyDescent="0.25">
      <c r="A33" s="26" t="s">
        <v>125</v>
      </c>
      <c r="B33" s="27" t="s">
        <v>97</v>
      </c>
      <c r="C33" s="27" t="s">
        <v>126</v>
      </c>
      <c r="D33" s="27" t="s">
        <v>127</v>
      </c>
      <c r="E33" s="28" t="s">
        <v>61</v>
      </c>
      <c r="F33" s="27" t="s">
        <v>78</v>
      </c>
      <c r="G33" s="29" t="str">
        <f>'L3-OrderPaymentAPI'!M21</f>
        <v>Not Run</v>
      </c>
      <c r="H33" s="29">
        <f>'L3-OrderPaymentAPI'!N21</f>
        <v>0</v>
      </c>
    </row>
    <row r="34" spans="1:8" ht="21.75" customHeight="1" x14ac:dyDescent="0.25">
      <c r="A34" s="30" t="s">
        <v>128</v>
      </c>
      <c r="B34" s="31" t="s">
        <v>97</v>
      </c>
      <c r="C34" s="31" t="s">
        <v>126</v>
      </c>
      <c r="D34" s="31" t="s">
        <v>127</v>
      </c>
      <c r="E34" s="28" t="s">
        <v>61</v>
      </c>
      <c r="F34" s="32" t="s">
        <v>78</v>
      </c>
      <c r="G34" s="33" t="str">
        <f>'L3-OrderPaymentAPI'!M22</f>
        <v>Not Run</v>
      </c>
      <c r="H34" s="33">
        <f>'L3-OrderPaymentAPI'!N22</f>
        <v>0</v>
      </c>
    </row>
    <row r="35" spans="1:8" ht="21.75" customHeight="1" x14ac:dyDescent="0.25">
      <c r="A35" s="26" t="s">
        <v>129</v>
      </c>
      <c r="B35" s="27" t="s">
        <v>97</v>
      </c>
      <c r="C35" s="27" t="s">
        <v>126</v>
      </c>
      <c r="D35" s="27" t="s">
        <v>130</v>
      </c>
      <c r="E35" s="28" t="s">
        <v>61</v>
      </c>
      <c r="F35" s="27" t="s">
        <v>78</v>
      </c>
      <c r="G35" s="29" t="str">
        <f>'L3-OrderPaymentAPI'!M23</f>
        <v>Not Run</v>
      </c>
      <c r="H35" s="29">
        <f>'L3-OrderPaymentAPI'!N23</f>
        <v>0</v>
      </c>
    </row>
    <row r="36" spans="1:8" ht="21.75" customHeight="1" x14ac:dyDescent="0.25">
      <c r="A36" s="30" t="s">
        <v>131</v>
      </c>
      <c r="B36" s="31" t="s">
        <v>97</v>
      </c>
      <c r="C36" s="31" t="s">
        <v>126</v>
      </c>
      <c r="D36" s="31" t="s">
        <v>132</v>
      </c>
      <c r="E36" s="28" t="s">
        <v>61</v>
      </c>
      <c r="F36" s="32" t="s">
        <v>75</v>
      </c>
      <c r="G36" s="33" t="str">
        <f>'L3-OrderPaymentAPI'!M24</f>
        <v>Not Run</v>
      </c>
      <c r="H36" s="33">
        <f>'L3-OrderPaymentAPI'!N24</f>
        <v>0</v>
      </c>
    </row>
    <row r="37" spans="1:8" ht="21.75" customHeight="1" x14ac:dyDescent="0.25">
      <c r="A37" s="26" t="s">
        <v>133</v>
      </c>
      <c r="B37" s="27" t="s">
        <v>97</v>
      </c>
      <c r="C37" s="27" t="s">
        <v>134</v>
      </c>
      <c r="D37" s="27" t="s">
        <v>135</v>
      </c>
      <c r="E37" s="28" t="s">
        <v>61</v>
      </c>
      <c r="F37" s="27" t="s">
        <v>75</v>
      </c>
      <c r="G37" s="29" t="str">
        <f>'L3-OrderPaymentAPI'!M26</f>
        <v>Not Run</v>
      </c>
      <c r="H37" s="29">
        <f>'L3-OrderPaymentAPI'!N26</f>
        <v>0</v>
      </c>
    </row>
    <row r="38" spans="1:8" ht="21.75" customHeight="1" x14ac:dyDescent="0.25">
      <c r="A38" s="30" t="s">
        <v>136</v>
      </c>
      <c r="B38" s="31" t="s">
        <v>97</v>
      </c>
      <c r="C38" s="31" t="s">
        <v>134</v>
      </c>
      <c r="D38" s="31" t="s">
        <v>137</v>
      </c>
      <c r="E38" s="28" t="s">
        <v>61</v>
      </c>
      <c r="F38" s="32" t="s">
        <v>75</v>
      </c>
      <c r="G38" s="33" t="str">
        <f>'L3-OrderPaymentAPI'!M27</f>
        <v>Not Run</v>
      </c>
      <c r="H38" s="33">
        <f>'L3-OrderPaymentAPI'!N27</f>
        <v>0</v>
      </c>
    </row>
    <row r="39" spans="1:8" ht="21.75" customHeight="1" x14ac:dyDescent="0.25">
      <c r="A39" s="26" t="s">
        <v>138</v>
      </c>
      <c r="B39" s="27" t="s">
        <v>97</v>
      </c>
      <c r="C39" s="27" t="s">
        <v>134</v>
      </c>
      <c r="D39" s="27" t="s">
        <v>139</v>
      </c>
      <c r="E39" s="28" t="s">
        <v>61</v>
      </c>
      <c r="F39" s="27" t="s">
        <v>78</v>
      </c>
      <c r="G39" s="29" t="str">
        <f>'L3-OrderPaymentAPI'!M28</f>
        <v>Not Run</v>
      </c>
      <c r="H39" s="29">
        <f>'L3-OrderPaymentAPI'!N28</f>
        <v>0</v>
      </c>
    </row>
    <row r="40" spans="1:8" ht="21.75" customHeight="1" x14ac:dyDescent="0.25">
      <c r="A40" s="30" t="s">
        <v>140</v>
      </c>
      <c r="B40" s="31" t="s">
        <v>97</v>
      </c>
      <c r="C40" s="31" t="s">
        <v>134</v>
      </c>
      <c r="D40" s="31" t="s">
        <v>141</v>
      </c>
      <c r="E40" s="28" t="s">
        <v>61</v>
      </c>
      <c r="F40" s="32" t="s">
        <v>78</v>
      </c>
      <c r="G40" s="33" t="str">
        <f>'L3-OrderPaymentAPI'!M29</f>
        <v>Not Run</v>
      </c>
      <c r="H40" s="33">
        <f>'L3-OrderPaymentAPI'!N29</f>
        <v>0</v>
      </c>
    </row>
    <row r="41" spans="1:8" ht="21.75" customHeight="1" x14ac:dyDescent="0.25">
      <c r="A41" s="26" t="s">
        <v>142</v>
      </c>
      <c r="B41" s="27" t="s">
        <v>97</v>
      </c>
      <c r="C41" s="27" t="s">
        <v>134</v>
      </c>
      <c r="D41" s="27" t="s">
        <v>143</v>
      </c>
      <c r="E41" s="28" t="s">
        <v>61</v>
      </c>
      <c r="F41" s="27" t="s">
        <v>78</v>
      </c>
      <c r="G41" s="29" t="str">
        <f>'L3-OrderPaymentAPI'!M30</f>
        <v>Not Run</v>
      </c>
      <c r="H41" s="29">
        <f>'L3-OrderPaymentAPI'!N30</f>
        <v>0</v>
      </c>
    </row>
    <row r="42" spans="1:8" ht="21.75" customHeight="1" x14ac:dyDescent="0.25">
      <c r="A42" s="30" t="s">
        <v>144</v>
      </c>
      <c r="B42" s="31" t="s">
        <v>145</v>
      </c>
      <c r="C42" s="31" t="s">
        <v>146</v>
      </c>
      <c r="D42" s="31" t="s">
        <v>147</v>
      </c>
      <c r="E42" s="28" t="s">
        <v>61</v>
      </c>
      <c r="F42" s="32" t="s">
        <v>75</v>
      </c>
      <c r="G42" s="33" t="str">
        <f>'L3-QuotationAPI'!M6</f>
        <v>Not Run</v>
      </c>
      <c r="H42" s="33">
        <f>'L3-QuotationAPI'!N6</f>
        <v>0</v>
      </c>
    </row>
    <row r="43" spans="1:8" ht="21.75" customHeight="1" x14ac:dyDescent="0.25">
      <c r="A43" s="26" t="s">
        <v>148</v>
      </c>
      <c r="B43" s="27" t="s">
        <v>145</v>
      </c>
      <c r="C43" s="27" t="s">
        <v>146</v>
      </c>
      <c r="D43" s="27" t="s">
        <v>149</v>
      </c>
      <c r="E43" s="28" t="s">
        <v>61</v>
      </c>
      <c r="F43" s="27" t="s">
        <v>75</v>
      </c>
      <c r="G43" s="29" t="str">
        <f>'L3-QuotationAPI'!M7</f>
        <v>Not Run</v>
      </c>
      <c r="H43" s="29">
        <f>'L3-QuotationAPI'!N7</f>
        <v>0</v>
      </c>
    </row>
    <row r="44" spans="1:8" ht="21.75" customHeight="1" x14ac:dyDescent="0.25">
      <c r="A44" s="30" t="s">
        <v>150</v>
      </c>
      <c r="B44" s="31" t="s">
        <v>145</v>
      </c>
      <c r="C44" s="31" t="s">
        <v>146</v>
      </c>
      <c r="D44" s="31" t="s">
        <v>151</v>
      </c>
      <c r="E44" s="28" t="s">
        <v>61</v>
      </c>
      <c r="F44" s="32" t="s">
        <v>78</v>
      </c>
      <c r="G44" s="33" t="str">
        <f>'L3-QuotationAPI'!M8</f>
        <v>Not Run</v>
      </c>
      <c r="H44" s="33">
        <f>'L3-QuotationAPI'!N8</f>
        <v>0</v>
      </c>
    </row>
    <row r="45" spans="1:8" ht="21.75" customHeight="1" x14ac:dyDescent="0.25">
      <c r="A45" s="26" t="s">
        <v>152</v>
      </c>
      <c r="B45" s="27" t="s">
        <v>145</v>
      </c>
      <c r="C45" s="27" t="s">
        <v>146</v>
      </c>
      <c r="D45" s="27" t="s">
        <v>153</v>
      </c>
      <c r="E45" s="28" t="s">
        <v>61</v>
      </c>
      <c r="F45" s="27" t="s">
        <v>78</v>
      </c>
      <c r="G45" s="29" t="str">
        <f>'L3-QuotationAPI'!M9</f>
        <v>Not Run</v>
      </c>
      <c r="H45" s="29">
        <f>'L3-QuotationAPI'!N9</f>
        <v>0</v>
      </c>
    </row>
    <row r="46" spans="1:8" ht="21.75" customHeight="1" x14ac:dyDescent="0.25">
      <c r="A46" s="30" t="s">
        <v>154</v>
      </c>
      <c r="B46" s="31" t="s">
        <v>145</v>
      </c>
      <c r="C46" s="31" t="s">
        <v>146</v>
      </c>
      <c r="D46" s="31" t="s">
        <v>155</v>
      </c>
      <c r="E46" s="28" t="s">
        <v>61</v>
      </c>
      <c r="F46" s="32" t="s">
        <v>78</v>
      </c>
      <c r="G46" s="33" t="str">
        <f>'L3-QuotationAPI'!M10</f>
        <v>Not Run</v>
      </c>
      <c r="H46" s="33">
        <f>'L3-QuotationAPI'!N10</f>
        <v>0</v>
      </c>
    </row>
    <row r="47" spans="1:8" ht="21.75" customHeight="1" x14ac:dyDescent="0.25">
      <c r="A47" s="26" t="s">
        <v>156</v>
      </c>
      <c r="B47" s="27" t="s">
        <v>145</v>
      </c>
      <c r="C47" s="27" t="s">
        <v>146</v>
      </c>
      <c r="D47" s="27" t="s">
        <v>157</v>
      </c>
      <c r="E47" s="28" t="s">
        <v>62</v>
      </c>
      <c r="F47" s="27" t="s">
        <v>78</v>
      </c>
      <c r="G47" s="29" t="str">
        <f>'L3-QuotationAPI'!M11</f>
        <v>Not Run</v>
      </c>
      <c r="H47" s="29">
        <f>'L3-QuotationAPI'!N11</f>
        <v>0</v>
      </c>
    </row>
    <row r="48" spans="1:8" ht="21.75" customHeight="1" x14ac:dyDescent="0.25">
      <c r="A48" s="30" t="s">
        <v>158</v>
      </c>
      <c r="B48" s="31" t="s">
        <v>145</v>
      </c>
      <c r="C48" s="31" t="s">
        <v>146</v>
      </c>
      <c r="D48" s="31" t="s">
        <v>159</v>
      </c>
      <c r="E48" s="28" t="s">
        <v>61</v>
      </c>
      <c r="F48" s="32" t="s">
        <v>78</v>
      </c>
      <c r="G48" s="33" t="str">
        <f>'L3-QuotationAPI'!M12</f>
        <v>Not Run</v>
      </c>
      <c r="H48" s="33">
        <f>'L3-QuotationAPI'!N12</f>
        <v>0</v>
      </c>
    </row>
    <row r="49" spans="1:8" ht="21.75" customHeight="1" x14ac:dyDescent="0.25">
      <c r="A49" s="26" t="s">
        <v>160</v>
      </c>
      <c r="B49" s="27" t="s">
        <v>145</v>
      </c>
      <c r="C49" s="27" t="s">
        <v>146</v>
      </c>
      <c r="D49" s="27" t="s">
        <v>161</v>
      </c>
      <c r="E49" s="28" t="s">
        <v>61</v>
      </c>
      <c r="F49" s="27" t="s">
        <v>78</v>
      </c>
      <c r="G49" s="29" t="str">
        <f>'L3-QuotationAPI'!M13</f>
        <v>Not Run</v>
      </c>
      <c r="H49" s="29">
        <f>'L3-QuotationAPI'!N13</f>
        <v>0</v>
      </c>
    </row>
    <row r="50" spans="1:8" ht="21.75" customHeight="1" x14ac:dyDescent="0.25">
      <c r="A50" s="30" t="s">
        <v>162</v>
      </c>
      <c r="B50" s="31" t="s">
        <v>163</v>
      </c>
      <c r="C50" s="31" t="s">
        <v>164</v>
      </c>
      <c r="D50" s="31" t="s">
        <v>165</v>
      </c>
      <c r="E50" s="28" t="s">
        <v>61</v>
      </c>
      <c r="F50" s="32" t="s">
        <v>75</v>
      </c>
      <c r="G50" s="33" t="str">
        <f>'L3-FulfilmentDeliveryAPI'!M6</f>
        <v>Not Run</v>
      </c>
      <c r="H50" s="33">
        <f>'L3-FulfilmentDeliveryAPI'!N6</f>
        <v>0</v>
      </c>
    </row>
    <row r="51" spans="1:8" ht="21.75" customHeight="1" x14ac:dyDescent="0.25">
      <c r="A51" s="26" t="s">
        <v>166</v>
      </c>
      <c r="B51" s="27" t="s">
        <v>163</v>
      </c>
      <c r="C51" s="27" t="s">
        <v>164</v>
      </c>
      <c r="D51" s="27" t="s">
        <v>167</v>
      </c>
      <c r="E51" s="28" t="s">
        <v>61</v>
      </c>
      <c r="F51" s="27" t="s">
        <v>78</v>
      </c>
      <c r="G51" s="29" t="str">
        <f>'L3-FulfilmentDeliveryAPI'!M7</f>
        <v>Not Run</v>
      </c>
      <c r="H51" s="29">
        <f>'L3-FulfilmentDeliveryAPI'!N7</f>
        <v>0</v>
      </c>
    </row>
    <row r="52" spans="1:8" ht="21.75" customHeight="1" x14ac:dyDescent="0.25">
      <c r="A52" s="30" t="s">
        <v>168</v>
      </c>
      <c r="B52" s="31" t="s">
        <v>163</v>
      </c>
      <c r="C52" s="31" t="s">
        <v>164</v>
      </c>
      <c r="D52" s="31" t="s">
        <v>169</v>
      </c>
      <c r="E52" s="28" t="s">
        <v>61</v>
      </c>
      <c r="F52" s="32" t="s">
        <v>78</v>
      </c>
      <c r="G52" s="33" t="str">
        <f>'L3-FulfilmentDeliveryAPI'!M8</f>
        <v>Not Run</v>
      </c>
      <c r="H52" s="33">
        <f>'L3-FulfilmentDeliveryAPI'!N8</f>
        <v>0</v>
      </c>
    </row>
    <row r="53" spans="1:8" ht="21.75" customHeight="1" x14ac:dyDescent="0.25">
      <c r="A53" s="26" t="s">
        <v>170</v>
      </c>
      <c r="B53" s="27" t="s">
        <v>163</v>
      </c>
      <c r="C53" s="27" t="s">
        <v>164</v>
      </c>
      <c r="D53" s="27" t="s">
        <v>171</v>
      </c>
      <c r="E53" s="28" t="s">
        <v>61</v>
      </c>
      <c r="F53" s="27" t="s">
        <v>78</v>
      </c>
      <c r="G53" s="29" t="str">
        <f>'L3-FulfilmentDeliveryAPI'!M9</f>
        <v>Not Run</v>
      </c>
      <c r="H53" s="29">
        <f>'L3-FulfilmentDeliveryAPI'!N9</f>
        <v>0</v>
      </c>
    </row>
    <row r="54" spans="1:8" ht="21.75" customHeight="1" x14ac:dyDescent="0.25">
      <c r="A54" s="30" t="s">
        <v>172</v>
      </c>
      <c r="B54" s="31" t="s">
        <v>163</v>
      </c>
      <c r="C54" s="31" t="s">
        <v>164</v>
      </c>
      <c r="D54" s="31" t="s">
        <v>173</v>
      </c>
      <c r="E54" s="28" t="s">
        <v>61</v>
      </c>
      <c r="F54" s="32" t="s">
        <v>75</v>
      </c>
      <c r="G54" s="33" t="str">
        <f>'L3-FulfilmentDeliveryAPI'!M10</f>
        <v>Not Run</v>
      </c>
      <c r="H54" s="33">
        <f>'L3-FulfilmentDeliveryAPI'!N10</f>
        <v>0</v>
      </c>
    </row>
    <row r="55" spans="1:8" ht="21.75" customHeight="1" x14ac:dyDescent="0.25">
      <c r="A55" s="26" t="s">
        <v>174</v>
      </c>
      <c r="B55" s="27" t="s">
        <v>163</v>
      </c>
      <c r="C55" s="27" t="s">
        <v>164</v>
      </c>
      <c r="D55" s="27" t="s">
        <v>175</v>
      </c>
      <c r="E55" s="28" t="s">
        <v>61</v>
      </c>
      <c r="F55" s="27" t="s">
        <v>78</v>
      </c>
      <c r="G55" s="29" t="str">
        <f>'L3-FulfilmentDeliveryAPI'!M11</f>
        <v>Not Run</v>
      </c>
      <c r="H55" s="29">
        <f>'L3-FulfilmentDeliveryAPI'!N11</f>
        <v>0</v>
      </c>
    </row>
    <row r="56" spans="1:8" ht="21.75" customHeight="1" x14ac:dyDescent="0.25">
      <c r="A56" s="30" t="s">
        <v>176</v>
      </c>
      <c r="B56" s="31" t="s">
        <v>163</v>
      </c>
      <c r="C56" s="31" t="s">
        <v>164</v>
      </c>
      <c r="D56" s="31" t="s">
        <v>177</v>
      </c>
      <c r="E56" s="28" t="s">
        <v>61</v>
      </c>
      <c r="F56" s="32" t="s">
        <v>78</v>
      </c>
      <c r="G56" s="33" t="str">
        <f>'L3-FulfilmentDeliveryAPI'!M12</f>
        <v>Not Run</v>
      </c>
      <c r="H56" s="33">
        <f>'L3-FulfilmentDeliveryAPI'!N12</f>
        <v>0</v>
      </c>
    </row>
    <row r="57" spans="1:8" ht="21.75" customHeight="1" x14ac:dyDescent="0.25">
      <c r="A57" s="26" t="s">
        <v>178</v>
      </c>
      <c r="B57" s="27" t="s">
        <v>163</v>
      </c>
      <c r="C57" s="27" t="s">
        <v>164</v>
      </c>
      <c r="D57" s="27" t="s">
        <v>179</v>
      </c>
      <c r="E57" s="28" t="s">
        <v>61</v>
      </c>
      <c r="F57" s="27" t="s">
        <v>78</v>
      </c>
      <c r="G57" s="29" t="str">
        <f>'L3-FulfilmentDeliveryAPI'!M13</f>
        <v>Not Run</v>
      </c>
      <c r="H57" s="29">
        <f>'L3-FulfilmentDeliveryAPI'!N13</f>
        <v>0</v>
      </c>
    </row>
    <row r="58" spans="1:8" ht="21.75" customHeight="1" x14ac:dyDescent="0.25">
      <c r="A58" s="30" t="s">
        <v>180</v>
      </c>
      <c r="B58" s="31" t="s">
        <v>163</v>
      </c>
      <c r="C58" s="31" t="s">
        <v>164</v>
      </c>
      <c r="D58" s="31" t="s">
        <v>181</v>
      </c>
      <c r="E58" s="28" t="s">
        <v>61</v>
      </c>
      <c r="F58" s="32" t="s">
        <v>75</v>
      </c>
      <c r="G58" s="33" t="str">
        <f>'L3-FulfilmentDeliveryAPI'!M14</f>
        <v>Not Run</v>
      </c>
      <c r="H58" s="33">
        <f>'L3-FulfilmentDeliveryAPI'!N14</f>
        <v>0</v>
      </c>
    </row>
    <row r="59" spans="1:8" ht="21.75" customHeight="1" x14ac:dyDescent="0.25">
      <c r="A59" s="26" t="s">
        <v>182</v>
      </c>
      <c r="B59" s="27" t="s">
        <v>163</v>
      </c>
      <c r="C59" s="27" t="s">
        <v>183</v>
      </c>
      <c r="D59" s="27" t="s">
        <v>184</v>
      </c>
      <c r="E59" s="28" t="s">
        <v>61</v>
      </c>
      <c r="F59" s="27" t="s">
        <v>78</v>
      </c>
      <c r="G59" s="29" t="str">
        <f>'L3-FulfilmentDeliveryAPI'!M16</f>
        <v>Not Run</v>
      </c>
      <c r="H59" s="29">
        <f>'L3-FulfilmentDeliveryAPI'!N16</f>
        <v>0</v>
      </c>
    </row>
    <row r="60" spans="1:8" ht="21.75" customHeight="1" x14ac:dyDescent="0.25">
      <c r="A60" s="30" t="s">
        <v>185</v>
      </c>
      <c r="B60" s="31" t="s">
        <v>163</v>
      </c>
      <c r="C60" s="31" t="s">
        <v>183</v>
      </c>
      <c r="D60" s="31" t="s">
        <v>186</v>
      </c>
      <c r="E60" s="28" t="s">
        <v>61</v>
      </c>
      <c r="F60" s="32" t="s">
        <v>78</v>
      </c>
      <c r="G60" s="33" t="str">
        <f>'L3-FulfilmentDeliveryAPI'!M17</f>
        <v>Not Run</v>
      </c>
      <c r="H60" s="33">
        <f>'L3-FulfilmentDeliveryAPI'!N17</f>
        <v>0</v>
      </c>
    </row>
    <row r="61" spans="1:8" ht="21.75" customHeight="1" x14ac:dyDescent="0.25">
      <c r="A61" s="26" t="s">
        <v>187</v>
      </c>
      <c r="B61" s="27" t="s">
        <v>163</v>
      </c>
      <c r="C61" s="27" t="s">
        <v>183</v>
      </c>
      <c r="D61" s="27" t="s">
        <v>188</v>
      </c>
      <c r="E61" s="28" t="s">
        <v>61</v>
      </c>
      <c r="F61" s="27" t="s">
        <v>78</v>
      </c>
      <c r="G61" s="29" t="str">
        <f>'L3-FulfilmentDeliveryAPI'!M18</f>
        <v>Not Run</v>
      </c>
      <c r="H61" s="29">
        <f>'L3-FulfilmentDeliveryAPI'!N18</f>
        <v>0</v>
      </c>
    </row>
    <row r="62" spans="1:8" ht="21.75" customHeight="1" x14ac:dyDescent="0.25">
      <c r="A62" s="30" t="s">
        <v>189</v>
      </c>
      <c r="B62" s="31" t="s">
        <v>163</v>
      </c>
      <c r="C62" s="31" t="s">
        <v>183</v>
      </c>
      <c r="D62" s="31" t="s">
        <v>190</v>
      </c>
      <c r="E62" s="28" t="s">
        <v>61</v>
      </c>
      <c r="F62" s="32" t="s">
        <v>78</v>
      </c>
      <c r="G62" s="33" t="str">
        <f>'L3-FulfilmentDeliveryAPI'!M19</f>
        <v>Not Run</v>
      </c>
      <c r="H62" s="33">
        <f>'L3-FulfilmentDeliveryAPI'!N19</f>
        <v>0</v>
      </c>
    </row>
    <row r="63" spans="1:8" ht="21.75" customHeight="1" x14ac:dyDescent="0.25">
      <c r="A63" s="26" t="s">
        <v>191</v>
      </c>
      <c r="B63" s="27" t="s">
        <v>163</v>
      </c>
      <c r="C63" s="27" t="s">
        <v>183</v>
      </c>
      <c r="D63" s="27" t="s">
        <v>192</v>
      </c>
      <c r="E63" s="28" t="s">
        <v>61</v>
      </c>
      <c r="F63" s="27" t="s">
        <v>78</v>
      </c>
      <c r="G63" s="29" t="str">
        <f>'L3-FulfilmentDeliveryAPI'!M20</f>
        <v>Not Run</v>
      </c>
      <c r="H63" s="29">
        <f>'L3-FulfilmentDeliveryAPI'!N20</f>
        <v>0</v>
      </c>
    </row>
    <row r="64" spans="1:8" ht="21.75" customHeight="1" x14ac:dyDescent="0.25">
      <c r="A64" s="30" t="s">
        <v>193</v>
      </c>
      <c r="B64" s="31" t="s">
        <v>163</v>
      </c>
      <c r="C64" s="31" t="s">
        <v>183</v>
      </c>
      <c r="D64" s="31" t="s">
        <v>194</v>
      </c>
      <c r="E64" s="28" t="s">
        <v>61</v>
      </c>
      <c r="F64" s="32" t="s">
        <v>78</v>
      </c>
      <c r="G64" s="33" t="str">
        <f>'L3-FulfilmentDeliveryAPI'!M21</f>
        <v>Not Run</v>
      </c>
      <c r="H64" s="33">
        <f>'L3-FulfilmentDeliveryAPI'!N21</f>
        <v>0</v>
      </c>
    </row>
    <row r="65" spans="1:8" ht="21.75" customHeight="1" x14ac:dyDescent="0.25">
      <c r="A65" s="26" t="s">
        <v>195</v>
      </c>
      <c r="B65" s="27" t="s">
        <v>163</v>
      </c>
      <c r="C65" s="27" t="s">
        <v>183</v>
      </c>
      <c r="D65" s="27" t="s">
        <v>196</v>
      </c>
      <c r="E65" s="28" t="s">
        <v>61</v>
      </c>
      <c r="F65" s="27" t="s">
        <v>78</v>
      </c>
      <c r="G65" s="29" t="str">
        <f>'L3-FulfilmentDeliveryAPI'!M22</f>
        <v>Not Run</v>
      </c>
      <c r="H65" s="29">
        <f>'L3-FulfilmentDeliveryAPI'!N22</f>
        <v>0</v>
      </c>
    </row>
    <row r="66" spans="1:8" ht="21.75" customHeight="1" x14ac:dyDescent="0.25">
      <c r="A66" s="30" t="s">
        <v>197</v>
      </c>
      <c r="B66" s="31" t="s">
        <v>163</v>
      </c>
      <c r="C66" s="31" t="s">
        <v>183</v>
      </c>
      <c r="D66" s="31" t="s">
        <v>198</v>
      </c>
      <c r="E66" s="28" t="s">
        <v>61</v>
      </c>
      <c r="F66" s="32" t="s">
        <v>75</v>
      </c>
      <c r="G66" s="33" t="str">
        <f>'L3-FulfilmentDeliveryAPI'!M23</f>
        <v>Not Run</v>
      </c>
      <c r="H66" s="33">
        <f>'L3-FulfilmentDeliveryAPI'!N23</f>
        <v>0</v>
      </c>
    </row>
    <row r="67" spans="1:8" ht="21.75" customHeight="1" x14ac:dyDescent="0.25">
      <c r="A67" s="26" t="s">
        <v>199</v>
      </c>
      <c r="B67" s="27" t="s">
        <v>163</v>
      </c>
      <c r="C67" s="27" t="s">
        <v>183</v>
      </c>
      <c r="D67" s="27" t="s">
        <v>200</v>
      </c>
      <c r="E67" s="28" t="s">
        <v>61</v>
      </c>
      <c r="F67" s="27" t="s">
        <v>78</v>
      </c>
      <c r="G67" s="29" t="str">
        <f>'L3-FulfilmentDeliveryAPI'!M24</f>
        <v>Not Run</v>
      </c>
      <c r="H67" s="29">
        <f>'L3-FulfilmentDeliveryAPI'!N24</f>
        <v>0</v>
      </c>
    </row>
    <row r="68" spans="1:8" ht="21.75" customHeight="1" x14ac:dyDescent="0.25">
      <c r="A68" s="30" t="s">
        <v>201</v>
      </c>
      <c r="B68" s="31" t="s">
        <v>202</v>
      </c>
      <c r="C68" s="31" t="s">
        <v>203</v>
      </c>
      <c r="D68" s="31" t="s">
        <v>204</v>
      </c>
      <c r="E68" s="28" t="s">
        <v>61</v>
      </c>
      <c r="F68" s="32" t="s">
        <v>75</v>
      </c>
      <c r="G68" s="33" t="str">
        <f>'L3-PurchasingInventoryAPI'!M6</f>
        <v>Not Run</v>
      </c>
      <c r="H68" s="33">
        <f>'L3-PurchasingInventoryAPI'!N6</f>
        <v>0</v>
      </c>
    </row>
    <row r="69" spans="1:8" ht="21.75" customHeight="1" x14ac:dyDescent="0.25">
      <c r="A69" s="26" t="s">
        <v>205</v>
      </c>
      <c r="B69" s="27" t="s">
        <v>202</v>
      </c>
      <c r="C69" s="27" t="s">
        <v>203</v>
      </c>
      <c r="D69" s="27" t="s">
        <v>206</v>
      </c>
      <c r="E69" s="28" t="s">
        <v>61</v>
      </c>
      <c r="F69" s="27" t="s">
        <v>78</v>
      </c>
      <c r="G69" s="29" t="str">
        <f>'L3-PurchasingInventoryAPI'!M7</f>
        <v>Not Run</v>
      </c>
      <c r="H69" s="29">
        <f>'L3-PurchasingInventoryAPI'!N7</f>
        <v>0</v>
      </c>
    </row>
    <row r="70" spans="1:8" ht="21.75" customHeight="1" x14ac:dyDescent="0.25">
      <c r="A70" s="30" t="s">
        <v>207</v>
      </c>
      <c r="B70" s="31" t="s">
        <v>202</v>
      </c>
      <c r="C70" s="31" t="s">
        <v>203</v>
      </c>
      <c r="D70" s="31" t="s">
        <v>208</v>
      </c>
      <c r="E70" s="28" t="s">
        <v>61</v>
      </c>
      <c r="F70" s="32" t="s">
        <v>78</v>
      </c>
      <c r="G70" s="33" t="str">
        <f>'L3-PurchasingInventoryAPI'!M8</f>
        <v>Not Run</v>
      </c>
      <c r="H70" s="33">
        <f>'L3-PurchasingInventoryAPI'!N8</f>
        <v>0</v>
      </c>
    </row>
    <row r="71" spans="1:8" ht="21.75" customHeight="1" x14ac:dyDescent="0.25">
      <c r="A71" s="26" t="s">
        <v>209</v>
      </c>
      <c r="B71" s="27" t="s">
        <v>202</v>
      </c>
      <c r="C71" s="27" t="s">
        <v>203</v>
      </c>
      <c r="D71" s="27" t="s">
        <v>210</v>
      </c>
      <c r="E71" s="28" t="s">
        <v>61</v>
      </c>
      <c r="F71" s="27" t="s">
        <v>78</v>
      </c>
      <c r="G71" s="29" t="str">
        <f>'L3-PurchasingInventoryAPI'!M9</f>
        <v>Not Run</v>
      </c>
      <c r="H71" s="29">
        <f>'L3-PurchasingInventoryAPI'!N9</f>
        <v>0</v>
      </c>
    </row>
    <row r="72" spans="1:8" ht="21.75" customHeight="1" x14ac:dyDescent="0.25">
      <c r="A72" s="30" t="s">
        <v>211</v>
      </c>
      <c r="B72" s="31" t="s">
        <v>202</v>
      </c>
      <c r="C72" s="31" t="s">
        <v>203</v>
      </c>
      <c r="D72" s="31" t="s">
        <v>212</v>
      </c>
      <c r="E72" s="28" t="s">
        <v>61</v>
      </c>
      <c r="F72" s="32" t="s">
        <v>78</v>
      </c>
      <c r="G72" s="33" t="str">
        <f>'L3-PurchasingInventoryAPI'!M10</f>
        <v>Not Run</v>
      </c>
      <c r="H72" s="33">
        <f>'L3-PurchasingInventoryAPI'!N10</f>
        <v>0</v>
      </c>
    </row>
    <row r="73" spans="1:8" ht="21.75" customHeight="1" x14ac:dyDescent="0.25">
      <c r="A73" s="26" t="s">
        <v>213</v>
      </c>
      <c r="B73" s="27" t="s">
        <v>202</v>
      </c>
      <c r="C73" s="27" t="s">
        <v>203</v>
      </c>
      <c r="D73" s="27" t="s">
        <v>214</v>
      </c>
      <c r="E73" s="28" t="s">
        <v>61</v>
      </c>
      <c r="F73" s="27" t="s">
        <v>78</v>
      </c>
      <c r="G73" s="29" t="str">
        <f>'L3-PurchasingInventoryAPI'!M11</f>
        <v>Not Run</v>
      </c>
      <c r="H73" s="29">
        <f>'L3-PurchasingInventoryAPI'!N11</f>
        <v>0</v>
      </c>
    </row>
    <row r="74" spans="1:8" ht="21.75" customHeight="1" x14ac:dyDescent="0.25">
      <c r="A74" s="30" t="s">
        <v>215</v>
      </c>
      <c r="B74" s="31" t="s">
        <v>202</v>
      </c>
      <c r="C74" s="31" t="s">
        <v>203</v>
      </c>
      <c r="D74" s="31" t="s">
        <v>216</v>
      </c>
      <c r="E74" s="28" t="s">
        <v>61</v>
      </c>
      <c r="F74" s="32" t="s">
        <v>75</v>
      </c>
      <c r="G74" s="33" t="str">
        <f>'L3-PurchasingInventoryAPI'!M12</f>
        <v>Not Run</v>
      </c>
      <c r="H74" s="33">
        <f>'L3-PurchasingInventoryAPI'!N12</f>
        <v>0</v>
      </c>
    </row>
    <row r="75" spans="1:8" ht="21.75" customHeight="1" x14ac:dyDescent="0.25">
      <c r="A75" s="26" t="s">
        <v>217</v>
      </c>
      <c r="B75" s="27" t="s">
        <v>202</v>
      </c>
      <c r="C75" s="27" t="s">
        <v>203</v>
      </c>
      <c r="D75" s="27" t="s">
        <v>218</v>
      </c>
      <c r="E75" s="28" t="s">
        <v>61</v>
      </c>
      <c r="F75" s="27" t="s">
        <v>78</v>
      </c>
      <c r="G75" s="29" t="str">
        <f>'L3-PurchasingInventoryAPI'!M13</f>
        <v>Not Run</v>
      </c>
      <c r="H75" s="29">
        <f>'L3-PurchasingInventoryAPI'!N13</f>
        <v>0</v>
      </c>
    </row>
    <row r="76" spans="1:8" ht="21.75" customHeight="1" x14ac:dyDescent="0.25">
      <c r="A76" s="30" t="s">
        <v>219</v>
      </c>
      <c r="B76" s="31" t="s">
        <v>202</v>
      </c>
      <c r="C76" s="31" t="s">
        <v>220</v>
      </c>
      <c r="D76" s="31" t="s">
        <v>221</v>
      </c>
      <c r="E76" s="28" t="s">
        <v>61</v>
      </c>
      <c r="F76" s="32" t="s">
        <v>78</v>
      </c>
      <c r="G76" s="33" t="str">
        <f>'L3-PurchasingInventoryAPI'!M15</f>
        <v>Not Run</v>
      </c>
      <c r="H76" s="33">
        <f>'L3-PurchasingInventoryAPI'!N15</f>
        <v>0</v>
      </c>
    </row>
    <row r="77" spans="1:8" ht="21.75" customHeight="1" x14ac:dyDescent="0.25">
      <c r="A77" s="26" t="s">
        <v>222</v>
      </c>
      <c r="B77" s="27" t="s">
        <v>202</v>
      </c>
      <c r="C77" s="27" t="s">
        <v>220</v>
      </c>
      <c r="D77" s="27" t="s">
        <v>223</v>
      </c>
      <c r="E77" s="28" t="s">
        <v>61</v>
      </c>
      <c r="F77" s="27" t="s">
        <v>78</v>
      </c>
      <c r="G77" s="29" t="str">
        <f>'L3-PurchasingInventoryAPI'!M16</f>
        <v>Not Run</v>
      </c>
      <c r="H77" s="29">
        <f>'L3-PurchasingInventoryAPI'!N16</f>
        <v>0</v>
      </c>
    </row>
    <row r="78" spans="1:8" ht="21.75" customHeight="1" x14ac:dyDescent="0.25">
      <c r="A78" s="30" t="s">
        <v>224</v>
      </c>
      <c r="B78" s="31" t="s">
        <v>202</v>
      </c>
      <c r="C78" s="31" t="s">
        <v>220</v>
      </c>
      <c r="D78" s="31" t="s">
        <v>225</v>
      </c>
      <c r="E78" s="28" t="s">
        <v>61</v>
      </c>
      <c r="F78" s="32" t="s">
        <v>78</v>
      </c>
      <c r="G78" s="33" t="str">
        <f>'L3-PurchasingInventoryAPI'!M17</f>
        <v>Not Run</v>
      </c>
      <c r="H78" s="33">
        <f>'L3-PurchasingInventoryAPI'!N17</f>
        <v>0</v>
      </c>
    </row>
    <row r="79" spans="1:8" ht="21.75" customHeight="1" x14ac:dyDescent="0.25">
      <c r="A79" s="26" t="s">
        <v>226</v>
      </c>
      <c r="B79" s="27" t="s">
        <v>202</v>
      </c>
      <c r="C79" s="27" t="s">
        <v>220</v>
      </c>
      <c r="D79" s="27" t="s">
        <v>227</v>
      </c>
      <c r="E79" s="28" t="s">
        <v>61</v>
      </c>
      <c r="F79" s="27" t="s">
        <v>78</v>
      </c>
      <c r="G79" s="29" t="str">
        <f>'L3-PurchasingInventoryAPI'!M18</f>
        <v>Not Run</v>
      </c>
      <c r="H79" s="29">
        <f>'L3-PurchasingInventoryAPI'!N18</f>
        <v>0</v>
      </c>
    </row>
    <row r="80" spans="1:8" ht="21.75" customHeight="1" x14ac:dyDescent="0.25">
      <c r="A80" s="30" t="s">
        <v>228</v>
      </c>
      <c r="B80" s="31" t="s">
        <v>202</v>
      </c>
      <c r="C80" s="31" t="s">
        <v>220</v>
      </c>
      <c r="D80" s="31" t="s">
        <v>229</v>
      </c>
      <c r="E80" s="28" t="s">
        <v>61</v>
      </c>
      <c r="F80" s="32" t="s">
        <v>75</v>
      </c>
      <c r="G80" s="33" t="str">
        <f>'L3-PurchasingInventoryAPI'!M19</f>
        <v>Not Run</v>
      </c>
      <c r="H80" s="33">
        <f>'L3-PurchasingInventoryAPI'!N19</f>
        <v>0</v>
      </c>
    </row>
    <row r="81" spans="1:8" ht="21.75" customHeight="1" x14ac:dyDescent="0.25">
      <c r="A81" s="26" t="s">
        <v>230</v>
      </c>
      <c r="B81" s="27" t="s">
        <v>202</v>
      </c>
      <c r="C81" s="27" t="s">
        <v>220</v>
      </c>
      <c r="D81" s="27" t="s">
        <v>231</v>
      </c>
      <c r="E81" s="28" t="s">
        <v>61</v>
      </c>
      <c r="F81" s="27" t="s">
        <v>78</v>
      </c>
      <c r="G81" s="29" t="str">
        <f>'L3-PurchasingInventoryAPI'!M20</f>
        <v>Not Run</v>
      </c>
      <c r="H81" s="29">
        <f>'L3-PurchasingInventoryAPI'!N20</f>
        <v>0</v>
      </c>
    </row>
    <row r="82" spans="1:8" ht="21.75" customHeight="1" x14ac:dyDescent="0.25">
      <c r="A82" s="30" t="s">
        <v>232</v>
      </c>
      <c r="B82" s="31" t="s">
        <v>202</v>
      </c>
      <c r="C82" s="31" t="s">
        <v>220</v>
      </c>
      <c r="D82" s="31" t="s">
        <v>233</v>
      </c>
      <c r="E82" s="28" t="s">
        <v>61</v>
      </c>
      <c r="F82" s="32" t="s">
        <v>78</v>
      </c>
      <c r="G82" s="33" t="str">
        <f>'L3-PurchasingInventoryAPI'!M21</f>
        <v>Not Run</v>
      </c>
      <c r="H82" s="33">
        <f>'L3-PurchasingInventoryAPI'!N21</f>
        <v>0</v>
      </c>
    </row>
    <row r="83" spans="1:8" ht="21.75" customHeight="1" x14ac:dyDescent="0.25">
      <c r="A83" s="26" t="s">
        <v>234</v>
      </c>
      <c r="B83" s="27" t="s">
        <v>202</v>
      </c>
      <c r="C83" s="27" t="s">
        <v>235</v>
      </c>
      <c r="D83" s="27" t="s">
        <v>236</v>
      </c>
      <c r="E83" s="28" t="s">
        <v>61</v>
      </c>
      <c r="F83" s="27" t="s">
        <v>78</v>
      </c>
      <c r="G83" s="29" t="str">
        <f>'L3-PurchasingInventoryAPI'!M23</f>
        <v>Not Run</v>
      </c>
      <c r="H83" s="29">
        <f>'L3-PurchasingInventoryAPI'!N23</f>
        <v>0</v>
      </c>
    </row>
    <row r="84" spans="1:8" ht="21.75" customHeight="1" x14ac:dyDescent="0.25">
      <c r="A84" s="30" t="s">
        <v>237</v>
      </c>
      <c r="B84" s="31" t="s">
        <v>202</v>
      </c>
      <c r="C84" s="31" t="s">
        <v>235</v>
      </c>
      <c r="D84" s="31" t="s">
        <v>238</v>
      </c>
      <c r="E84" s="28" t="s">
        <v>61</v>
      </c>
      <c r="F84" s="32" t="s">
        <v>78</v>
      </c>
      <c r="G84" s="33" t="str">
        <f>'L3-PurchasingInventoryAPI'!M24</f>
        <v>Not Run</v>
      </c>
      <c r="H84" s="33">
        <f>'L3-PurchasingInventoryAPI'!N24</f>
        <v>0</v>
      </c>
    </row>
    <row r="85" spans="1:8" ht="21.75" customHeight="1" x14ac:dyDescent="0.25">
      <c r="A85" s="26" t="s">
        <v>239</v>
      </c>
      <c r="B85" s="27" t="s">
        <v>202</v>
      </c>
      <c r="C85" s="27" t="s">
        <v>235</v>
      </c>
      <c r="D85" s="27" t="s">
        <v>240</v>
      </c>
      <c r="E85" s="28" t="s">
        <v>61</v>
      </c>
      <c r="F85" s="27" t="s">
        <v>78</v>
      </c>
      <c r="G85" s="29" t="str">
        <f>'L3-PurchasingInventoryAPI'!M25</f>
        <v>Not Run</v>
      </c>
      <c r="H85" s="29">
        <f>'L3-PurchasingInventoryAPI'!N25</f>
        <v>0</v>
      </c>
    </row>
    <row r="86" spans="1:8" ht="21.75" customHeight="1" x14ac:dyDescent="0.25">
      <c r="A86" s="30" t="s">
        <v>241</v>
      </c>
      <c r="B86" s="31" t="s">
        <v>202</v>
      </c>
      <c r="C86" s="31" t="s">
        <v>235</v>
      </c>
      <c r="D86" s="31" t="s">
        <v>242</v>
      </c>
      <c r="E86" s="28" t="s">
        <v>61</v>
      </c>
      <c r="F86" s="32" t="s">
        <v>78</v>
      </c>
      <c r="G86" s="33" t="str">
        <f>'L3-PurchasingInventoryAPI'!M26</f>
        <v>Not Run</v>
      </c>
      <c r="H86" s="33">
        <f>'L3-PurchasingInventoryAPI'!N26</f>
        <v>0</v>
      </c>
    </row>
    <row r="87" spans="1:8" ht="21.75" customHeight="1" x14ac:dyDescent="0.25">
      <c r="A87" s="26" t="s">
        <v>243</v>
      </c>
      <c r="B87" s="27" t="s">
        <v>202</v>
      </c>
      <c r="C87" s="27" t="s">
        <v>235</v>
      </c>
      <c r="D87" s="27" t="s">
        <v>244</v>
      </c>
      <c r="E87" s="28" t="s">
        <v>61</v>
      </c>
      <c r="F87" s="27" t="s">
        <v>78</v>
      </c>
      <c r="G87" s="29" t="str">
        <f>'L3-PurchasingInventoryAPI'!M27</f>
        <v>Not Run</v>
      </c>
      <c r="H87" s="29">
        <f>'L3-PurchasingInventoryAPI'!N27</f>
        <v>0</v>
      </c>
    </row>
    <row r="88" spans="1:8" ht="21.75" customHeight="1" x14ac:dyDescent="0.25">
      <c r="A88" s="30" t="s">
        <v>245</v>
      </c>
      <c r="B88" s="31" t="s">
        <v>202</v>
      </c>
      <c r="C88" s="31" t="s">
        <v>235</v>
      </c>
      <c r="D88" s="31" t="s">
        <v>246</v>
      </c>
      <c r="E88" s="28" t="s">
        <v>61</v>
      </c>
      <c r="F88" s="32" t="s">
        <v>75</v>
      </c>
      <c r="G88" s="33" t="str">
        <f>'L3-PurchasingInventoryAPI'!M28</f>
        <v>Not Run</v>
      </c>
      <c r="H88" s="33">
        <f>'L3-PurchasingInventoryAPI'!N28</f>
        <v>0</v>
      </c>
    </row>
    <row r="89" spans="1:8" ht="21.75" customHeight="1" x14ac:dyDescent="0.25">
      <c r="A89" s="26" t="s">
        <v>247</v>
      </c>
      <c r="B89" s="27" t="s">
        <v>202</v>
      </c>
      <c r="C89" s="27" t="s">
        <v>235</v>
      </c>
      <c r="D89" s="27" t="s">
        <v>248</v>
      </c>
      <c r="E89" s="28" t="s">
        <v>61</v>
      </c>
      <c r="F89" s="27" t="s">
        <v>78</v>
      </c>
      <c r="G89" s="29" t="str">
        <f>'L3-PurchasingInventoryAPI'!M29</f>
        <v>Not Run</v>
      </c>
      <c r="H89" s="29">
        <f>'L3-PurchasingInventoryAPI'!N29</f>
        <v>0</v>
      </c>
    </row>
    <row r="90" spans="1:8" ht="21.75" customHeight="1" x14ac:dyDescent="0.25">
      <c r="A90" s="30" t="s">
        <v>249</v>
      </c>
      <c r="B90" s="31" t="s">
        <v>250</v>
      </c>
      <c r="C90" s="31" t="s">
        <v>251</v>
      </c>
      <c r="D90" s="31" t="s">
        <v>252</v>
      </c>
      <c r="E90" s="28" t="s">
        <v>61</v>
      </c>
      <c r="F90" s="32" t="s">
        <v>75</v>
      </c>
      <c r="G90" s="33" t="str">
        <f>'L3-AfterSalesAdminAPI'!M6</f>
        <v>Not Run</v>
      </c>
      <c r="H90" s="33">
        <f>'L3-AfterSalesAdminAPI'!N6</f>
        <v>0</v>
      </c>
    </row>
    <row r="91" spans="1:8" ht="21.75" customHeight="1" x14ac:dyDescent="0.25">
      <c r="A91" s="26" t="s">
        <v>253</v>
      </c>
      <c r="B91" s="27" t="s">
        <v>250</v>
      </c>
      <c r="C91" s="27" t="s">
        <v>251</v>
      </c>
      <c r="D91" s="27" t="s">
        <v>254</v>
      </c>
      <c r="E91" s="28" t="s">
        <v>61</v>
      </c>
      <c r="F91" s="27" t="s">
        <v>78</v>
      </c>
      <c r="G91" s="29" t="str">
        <f>'L3-AfterSalesAdminAPI'!M7</f>
        <v>Not Run</v>
      </c>
      <c r="H91" s="29">
        <f>'L3-AfterSalesAdminAPI'!N7</f>
        <v>0</v>
      </c>
    </row>
    <row r="92" spans="1:8" ht="21.75" customHeight="1" x14ac:dyDescent="0.25">
      <c r="A92" s="30" t="s">
        <v>255</v>
      </c>
      <c r="B92" s="31" t="s">
        <v>250</v>
      </c>
      <c r="C92" s="31" t="s">
        <v>251</v>
      </c>
      <c r="D92" s="31" t="s">
        <v>256</v>
      </c>
      <c r="E92" s="28" t="s">
        <v>61</v>
      </c>
      <c r="F92" s="32" t="s">
        <v>78</v>
      </c>
      <c r="G92" s="33" t="str">
        <f>'L3-AfterSalesAdminAPI'!M8</f>
        <v>Not Run</v>
      </c>
      <c r="H92" s="33">
        <f>'L3-AfterSalesAdminAPI'!N8</f>
        <v>0</v>
      </c>
    </row>
    <row r="93" spans="1:8" ht="21.75" customHeight="1" x14ac:dyDescent="0.25">
      <c r="A93" s="26" t="s">
        <v>257</v>
      </c>
      <c r="B93" s="27" t="s">
        <v>250</v>
      </c>
      <c r="C93" s="27" t="s">
        <v>251</v>
      </c>
      <c r="D93" s="27" t="s">
        <v>258</v>
      </c>
      <c r="E93" s="28" t="s">
        <v>61</v>
      </c>
      <c r="F93" s="27" t="s">
        <v>78</v>
      </c>
      <c r="G93" s="29" t="str">
        <f>'L3-AfterSalesAdminAPI'!M9</f>
        <v>Not Run</v>
      </c>
      <c r="H93" s="29">
        <f>'L3-AfterSalesAdminAPI'!N9</f>
        <v>0</v>
      </c>
    </row>
    <row r="94" spans="1:8" ht="21.75" customHeight="1" x14ac:dyDescent="0.25">
      <c r="A94" s="30" t="s">
        <v>259</v>
      </c>
      <c r="B94" s="31" t="s">
        <v>250</v>
      </c>
      <c r="C94" s="31" t="s">
        <v>251</v>
      </c>
      <c r="D94" s="31" t="s">
        <v>260</v>
      </c>
      <c r="E94" s="28" t="s">
        <v>61</v>
      </c>
      <c r="F94" s="32" t="s">
        <v>75</v>
      </c>
      <c r="G94" s="33" t="str">
        <f>'L3-AfterSalesAdminAPI'!M10</f>
        <v>Not Run</v>
      </c>
      <c r="H94" s="33">
        <f>'L3-AfterSalesAdminAPI'!N10</f>
        <v>0</v>
      </c>
    </row>
    <row r="95" spans="1:8" ht="21.75" customHeight="1" x14ac:dyDescent="0.25">
      <c r="A95" s="26" t="s">
        <v>261</v>
      </c>
      <c r="B95" s="27" t="s">
        <v>250</v>
      </c>
      <c r="C95" s="27" t="s">
        <v>251</v>
      </c>
      <c r="D95" s="27" t="s">
        <v>262</v>
      </c>
      <c r="E95" s="28" t="s">
        <v>61</v>
      </c>
      <c r="F95" s="27" t="s">
        <v>78</v>
      </c>
      <c r="G95" s="29" t="str">
        <f>'L3-AfterSalesAdminAPI'!M11</f>
        <v>Not Run</v>
      </c>
      <c r="H95" s="29">
        <f>'L3-AfterSalesAdminAPI'!N11</f>
        <v>0</v>
      </c>
    </row>
    <row r="96" spans="1:8" ht="21.75" customHeight="1" x14ac:dyDescent="0.25">
      <c r="A96" s="30" t="s">
        <v>263</v>
      </c>
      <c r="B96" s="31" t="s">
        <v>250</v>
      </c>
      <c r="C96" s="31" t="s">
        <v>251</v>
      </c>
      <c r="D96" s="31" t="s">
        <v>264</v>
      </c>
      <c r="E96" s="28" t="s">
        <v>61</v>
      </c>
      <c r="F96" s="32" t="s">
        <v>78</v>
      </c>
      <c r="G96" s="33" t="str">
        <f>'L3-AfterSalesAdminAPI'!M12</f>
        <v>Not Run</v>
      </c>
      <c r="H96" s="33">
        <f>'L3-AfterSalesAdminAPI'!N12</f>
        <v>0</v>
      </c>
    </row>
    <row r="97" spans="1:8" ht="21.75" customHeight="1" x14ac:dyDescent="0.25">
      <c r="A97" s="26" t="s">
        <v>265</v>
      </c>
      <c r="B97" s="27" t="s">
        <v>250</v>
      </c>
      <c r="C97" s="27" t="s">
        <v>266</v>
      </c>
      <c r="D97" s="27" t="s">
        <v>267</v>
      </c>
      <c r="E97" s="28" t="s">
        <v>61</v>
      </c>
      <c r="F97" s="27" t="s">
        <v>78</v>
      </c>
      <c r="G97" s="29" t="str">
        <f>'L3-AfterSalesAdminAPI'!M14</f>
        <v>Not Run</v>
      </c>
      <c r="H97" s="29">
        <f>'L3-AfterSalesAdminAPI'!N14</f>
        <v>0</v>
      </c>
    </row>
    <row r="98" spans="1:8" ht="21.75" customHeight="1" x14ac:dyDescent="0.25">
      <c r="A98" s="30" t="s">
        <v>268</v>
      </c>
      <c r="B98" s="31" t="s">
        <v>250</v>
      </c>
      <c r="C98" s="31" t="s">
        <v>266</v>
      </c>
      <c r="D98" s="31" t="s">
        <v>269</v>
      </c>
      <c r="E98" s="28" t="s">
        <v>61</v>
      </c>
      <c r="F98" s="32" t="s">
        <v>78</v>
      </c>
      <c r="G98" s="33" t="str">
        <f>'L3-AfterSalesAdminAPI'!M15</f>
        <v>Not Run</v>
      </c>
      <c r="H98" s="33">
        <f>'L3-AfterSalesAdminAPI'!N15</f>
        <v>0</v>
      </c>
    </row>
    <row r="99" spans="1:8" ht="21.75" customHeight="1" x14ac:dyDescent="0.25">
      <c r="A99" s="26" t="s">
        <v>270</v>
      </c>
      <c r="B99" s="27" t="s">
        <v>250</v>
      </c>
      <c r="C99" s="27" t="s">
        <v>266</v>
      </c>
      <c r="D99" s="27" t="s">
        <v>271</v>
      </c>
      <c r="E99" s="28" t="s">
        <v>61</v>
      </c>
      <c r="F99" s="27" t="s">
        <v>78</v>
      </c>
      <c r="G99" s="29" t="str">
        <f>'L3-AfterSalesAdminAPI'!M16</f>
        <v>Not Run</v>
      </c>
      <c r="H99" s="29">
        <f>'L3-AfterSalesAdminAPI'!N16</f>
        <v>0</v>
      </c>
    </row>
    <row r="100" spans="1:8" ht="21.75" customHeight="1" x14ac:dyDescent="0.25">
      <c r="A100" s="30" t="s">
        <v>272</v>
      </c>
      <c r="B100" s="31" t="s">
        <v>250</v>
      </c>
      <c r="C100" s="31" t="s">
        <v>266</v>
      </c>
      <c r="D100" s="31" t="s">
        <v>273</v>
      </c>
      <c r="E100" s="28" t="s">
        <v>61</v>
      </c>
      <c r="F100" s="32" t="s">
        <v>78</v>
      </c>
      <c r="G100" s="33" t="str">
        <f>'L3-AfterSalesAdminAPI'!M17</f>
        <v>Not Run</v>
      </c>
      <c r="H100" s="33">
        <f>'L3-AfterSalesAdminAPI'!N17</f>
        <v>0</v>
      </c>
    </row>
    <row r="101" spans="1:8" ht="21.75" customHeight="1" x14ac:dyDescent="0.25">
      <c r="A101" s="26" t="s">
        <v>274</v>
      </c>
      <c r="B101" s="27" t="s">
        <v>250</v>
      </c>
      <c r="C101" s="27" t="s">
        <v>266</v>
      </c>
      <c r="D101" s="27" t="s">
        <v>275</v>
      </c>
      <c r="E101" s="28" t="s">
        <v>61</v>
      </c>
      <c r="F101" s="27" t="s">
        <v>78</v>
      </c>
      <c r="G101" s="29" t="str">
        <f>'L3-AfterSalesAdminAPI'!M18</f>
        <v>Not Run</v>
      </c>
      <c r="H101" s="29">
        <f>'L3-AfterSalesAdminAPI'!N18</f>
        <v>0</v>
      </c>
    </row>
    <row r="102" spans="1:8" ht="21.75" customHeight="1" x14ac:dyDescent="0.25">
      <c r="A102" s="30" t="s">
        <v>276</v>
      </c>
      <c r="B102" s="31" t="s">
        <v>250</v>
      </c>
      <c r="C102" s="31" t="s">
        <v>266</v>
      </c>
      <c r="D102" s="31" t="s">
        <v>277</v>
      </c>
      <c r="E102" s="28" t="s">
        <v>61</v>
      </c>
      <c r="F102" s="32" t="s">
        <v>75</v>
      </c>
      <c r="G102" s="33" t="str">
        <f>'L3-AfterSalesAdminAPI'!M19</f>
        <v>Not Run</v>
      </c>
      <c r="H102" s="33">
        <f>'L3-AfterSalesAdminAPI'!N19</f>
        <v>0</v>
      </c>
    </row>
    <row r="103" spans="1:8" ht="21.75" customHeight="1" x14ac:dyDescent="0.25">
      <c r="A103" s="26" t="s">
        <v>278</v>
      </c>
      <c r="B103" s="27" t="s">
        <v>250</v>
      </c>
      <c r="C103" s="27" t="s">
        <v>266</v>
      </c>
      <c r="D103" s="27" t="s">
        <v>279</v>
      </c>
      <c r="E103" s="28" t="s">
        <v>61</v>
      </c>
      <c r="F103" s="27" t="s">
        <v>78</v>
      </c>
      <c r="G103" s="29" t="str">
        <f>'L3-AfterSalesAdminAPI'!M20</f>
        <v>Not Run</v>
      </c>
      <c r="H103" s="29">
        <f>'L3-AfterSalesAdminAPI'!N20</f>
        <v>0</v>
      </c>
    </row>
    <row r="104" spans="1:8" ht="21.75" customHeight="1" x14ac:dyDescent="0.25">
      <c r="A104" s="30" t="s">
        <v>280</v>
      </c>
      <c r="B104" s="31" t="s">
        <v>250</v>
      </c>
      <c r="C104" s="31" t="s">
        <v>266</v>
      </c>
      <c r="D104" s="31" t="s">
        <v>281</v>
      </c>
      <c r="E104" s="28" t="s">
        <v>61</v>
      </c>
      <c r="F104" s="32" t="s">
        <v>75</v>
      </c>
      <c r="G104" s="33" t="str">
        <f>'L3-AfterSalesAdminAPI'!M21</f>
        <v>Not Run</v>
      </c>
      <c r="H104" s="33">
        <f>'L3-AfterSalesAdminAPI'!N21</f>
        <v>0</v>
      </c>
    </row>
    <row r="105" spans="1:8" ht="21.75" customHeight="1" x14ac:dyDescent="0.25">
      <c r="A105" s="26" t="s">
        <v>282</v>
      </c>
      <c r="B105" s="27" t="s">
        <v>250</v>
      </c>
      <c r="C105" s="27" t="s">
        <v>283</v>
      </c>
      <c r="D105" s="27" t="s">
        <v>284</v>
      </c>
      <c r="E105" s="28" t="s">
        <v>61</v>
      </c>
      <c r="F105" s="27" t="s">
        <v>78</v>
      </c>
      <c r="G105" s="29" t="str">
        <f>'L3-AfterSalesAdminAPI'!M23</f>
        <v>Not Run</v>
      </c>
      <c r="H105" s="29">
        <f>'L3-AfterSalesAdminAPI'!N23</f>
        <v>0</v>
      </c>
    </row>
    <row r="106" spans="1:8" ht="21.75" customHeight="1" x14ac:dyDescent="0.25">
      <c r="A106" s="30" t="s">
        <v>285</v>
      </c>
      <c r="B106" s="31" t="s">
        <v>250</v>
      </c>
      <c r="C106" s="31" t="s">
        <v>283</v>
      </c>
      <c r="D106" s="31" t="s">
        <v>286</v>
      </c>
      <c r="E106" s="28" t="s">
        <v>61</v>
      </c>
      <c r="F106" s="32" t="s">
        <v>78</v>
      </c>
      <c r="G106" s="33" t="str">
        <f>'L3-AfterSalesAdminAPI'!M24</f>
        <v>Not Run</v>
      </c>
      <c r="H106" s="33">
        <f>'L3-AfterSalesAdminAPI'!N24</f>
        <v>0</v>
      </c>
    </row>
    <row r="107" spans="1:8" ht="21.75" customHeight="1" x14ac:dyDescent="0.25">
      <c r="A107" s="26" t="s">
        <v>287</v>
      </c>
      <c r="B107" s="27" t="s">
        <v>250</v>
      </c>
      <c r="C107" s="27" t="s">
        <v>283</v>
      </c>
      <c r="D107" s="27" t="s">
        <v>288</v>
      </c>
      <c r="E107" s="28" t="s">
        <v>61</v>
      </c>
      <c r="F107" s="27" t="s">
        <v>78</v>
      </c>
      <c r="G107" s="29" t="str">
        <f>'L3-AfterSalesAdminAPI'!M25</f>
        <v>Not Run</v>
      </c>
      <c r="H107" s="29">
        <f>'L3-AfterSalesAdminAPI'!N25</f>
        <v>0</v>
      </c>
    </row>
    <row r="108" spans="1:8" ht="21.75" customHeight="1" x14ac:dyDescent="0.25">
      <c r="A108" s="30" t="s">
        <v>289</v>
      </c>
      <c r="B108" s="31" t="s">
        <v>250</v>
      </c>
      <c r="C108" s="31" t="s">
        <v>283</v>
      </c>
      <c r="D108" s="31" t="s">
        <v>290</v>
      </c>
      <c r="E108" s="28" t="s">
        <v>61</v>
      </c>
      <c r="F108" s="32" t="s">
        <v>78</v>
      </c>
      <c r="G108" s="33" t="str">
        <f>'L3-AfterSalesAdminAPI'!M26</f>
        <v>Not Run</v>
      </c>
      <c r="H108" s="33">
        <f>'L3-AfterSalesAdminAPI'!N26</f>
        <v>0</v>
      </c>
    </row>
    <row r="109" spans="1:8" ht="21.75" customHeight="1" x14ac:dyDescent="0.25">
      <c r="A109" s="26" t="s">
        <v>291</v>
      </c>
      <c r="B109" s="27" t="s">
        <v>250</v>
      </c>
      <c r="C109" s="27" t="s">
        <v>283</v>
      </c>
      <c r="D109" s="27" t="s">
        <v>292</v>
      </c>
      <c r="E109" s="28" t="s">
        <v>62</v>
      </c>
      <c r="F109" s="27" t="s">
        <v>75</v>
      </c>
      <c r="G109" s="29" t="str">
        <f>'L3-AfterSalesAdminAPI'!M27</f>
        <v>Not Run</v>
      </c>
      <c r="H109" s="29">
        <f>'L3-AfterSalesAdminAPI'!N27</f>
        <v>0</v>
      </c>
    </row>
    <row r="110" spans="1:8" ht="21.75" customHeight="1" x14ac:dyDescent="0.25">
      <c r="A110" s="30" t="s">
        <v>293</v>
      </c>
      <c r="B110" s="31" t="s">
        <v>294</v>
      </c>
      <c r="C110" s="31" t="s">
        <v>295</v>
      </c>
      <c r="D110" s="31" t="s">
        <v>296</v>
      </c>
      <c r="E110" s="28" t="s">
        <v>61</v>
      </c>
      <c r="F110" s="32" t="s">
        <v>75</v>
      </c>
      <c r="G110" s="33" t="str">
        <f>'L3-APIFlows'!I6</f>
        <v>Not Run</v>
      </c>
      <c r="H110" s="33">
        <f>'L3-APIFlows'!J6</f>
        <v>0</v>
      </c>
    </row>
    <row r="111" spans="1:8" ht="21.75" customHeight="1" x14ac:dyDescent="0.25">
      <c r="A111" s="26" t="s">
        <v>297</v>
      </c>
      <c r="B111" s="27" t="s">
        <v>294</v>
      </c>
      <c r="C111" s="27" t="s">
        <v>295</v>
      </c>
      <c r="D111" s="27" t="s">
        <v>298</v>
      </c>
      <c r="E111" s="28" t="s">
        <v>61</v>
      </c>
      <c r="F111" s="27" t="s">
        <v>75</v>
      </c>
      <c r="G111" s="29" t="str">
        <f>'L3-APIFlows'!I7</f>
        <v>Not Run</v>
      </c>
      <c r="H111" s="29">
        <f>'L3-APIFlows'!J7</f>
        <v>0</v>
      </c>
    </row>
    <row r="112" spans="1:8" ht="21.75" customHeight="1" x14ac:dyDescent="0.25">
      <c r="A112" s="30" t="s">
        <v>299</v>
      </c>
      <c r="B112" s="31" t="s">
        <v>294</v>
      </c>
      <c r="C112" s="31" t="s">
        <v>295</v>
      </c>
      <c r="D112" s="31" t="s">
        <v>300</v>
      </c>
      <c r="E112" s="28" t="s">
        <v>61</v>
      </c>
      <c r="F112" s="32" t="s">
        <v>75</v>
      </c>
      <c r="G112" s="33" t="str">
        <f>'L3-APIFlows'!I8</f>
        <v>Not Run</v>
      </c>
      <c r="H112" s="33">
        <f>'L3-APIFlows'!J8</f>
        <v>0</v>
      </c>
    </row>
    <row r="113" spans="1:8" ht="21.75" customHeight="1" x14ac:dyDescent="0.25">
      <c r="A113" s="26" t="s">
        <v>301</v>
      </c>
      <c r="B113" s="27" t="s">
        <v>294</v>
      </c>
      <c r="C113" s="27" t="s">
        <v>295</v>
      </c>
      <c r="D113" s="27" t="s">
        <v>302</v>
      </c>
      <c r="E113" s="28" t="s">
        <v>61</v>
      </c>
      <c r="F113" s="27" t="s">
        <v>75</v>
      </c>
      <c r="G113" s="29" t="str">
        <f>'L3-APIFlows'!I9</f>
        <v>Not Run</v>
      </c>
      <c r="H113" s="29">
        <f>'L3-APIFlows'!J9</f>
        <v>0</v>
      </c>
    </row>
    <row r="114" spans="1:8" ht="21.75" customHeight="1" x14ac:dyDescent="0.25">
      <c r="A114" s="30" t="s">
        <v>303</v>
      </c>
      <c r="B114" s="31" t="s">
        <v>294</v>
      </c>
      <c r="C114" s="31" t="s">
        <v>295</v>
      </c>
      <c r="D114" s="31" t="s">
        <v>304</v>
      </c>
      <c r="E114" s="28" t="s">
        <v>61</v>
      </c>
      <c r="F114" s="32" t="s">
        <v>75</v>
      </c>
      <c r="G114" s="33" t="str">
        <f>'L3-APIFlows'!I10</f>
        <v>Not Run</v>
      </c>
      <c r="H114" s="33">
        <f>'L3-APIFlows'!J10</f>
        <v>0</v>
      </c>
    </row>
    <row r="115" spans="1:8" ht="21.75" customHeight="1" x14ac:dyDescent="0.25">
      <c r="A115" s="26" t="s">
        <v>305</v>
      </c>
      <c r="B115" s="27" t="s">
        <v>294</v>
      </c>
      <c r="C115" s="27" t="s">
        <v>295</v>
      </c>
      <c r="D115" s="27" t="s">
        <v>306</v>
      </c>
      <c r="E115" s="28" t="s">
        <v>62</v>
      </c>
      <c r="F115" s="27" t="s">
        <v>75</v>
      </c>
      <c r="G115" s="29" t="str">
        <f>'L3-APIFlows'!I11</f>
        <v>Not Run</v>
      </c>
      <c r="H115" s="29">
        <f>'L3-APIFlows'!J11</f>
        <v>0</v>
      </c>
    </row>
    <row r="116" spans="1:8" ht="21.75" customHeight="1" x14ac:dyDescent="0.25">
      <c r="A116" s="30" t="s">
        <v>307</v>
      </c>
      <c r="B116" s="31" t="s">
        <v>294</v>
      </c>
      <c r="C116" s="31" t="s">
        <v>295</v>
      </c>
      <c r="D116" s="31" t="s">
        <v>308</v>
      </c>
      <c r="E116" s="28" t="s">
        <v>62</v>
      </c>
      <c r="F116" s="32" t="s">
        <v>75</v>
      </c>
      <c r="G116" s="33" t="str">
        <f>'L3-APIFlows'!I12</f>
        <v>Not Run</v>
      </c>
      <c r="H116" s="33">
        <f>'L3-APIFlows'!J12</f>
        <v>0</v>
      </c>
    </row>
    <row r="117" spans="1:8" ht="21.75" customHeight="1" x14ac:dyDescent="0.25">
      <c r="A117" s="26" t="s">
        <v>309</v>
      </c>
      <c r="B117" s="27" t="s">
        <v>310</v>
      </c>
      <c r="C117" s="27" t="s">
        <v>311</v>
      </c>
      <c r="D117" s="27" t="s">
        <v>312</v>
      </c>
      <c r="E117" s="28" t="s">
        <v>61</v>
      </c>
      <c r="F117" s="27" t="s">
        <v>75</v>
      </c>
      <c r="G117" s="29" t="str">
        <f>'L3-Performance'!K6</f>
        <v>Not Run</v>
      </c>
      <c r="H117" s="29">
        <f>'L3-Performance'!L6</f>
        <v>0</v>
      </c>
    </row>
    <row r="118" spans="1:8" ht="21.75" customHeight="1" x14ac:dyDescent="0.25">
      <c r="A118" s="30" t="s">
        <v>313</v>
      </c>
      <c r="B118" s="31" t="s">
        <v>310</v>
      </c>
      <c r="C118" s="31" t="s">
        <v>311</v>
      </c>
      <c r="D118" s="31" t="s">
        <v>314</v>
      </c>
      <c r="E118" s="28" t="s">
        <v>61</v>
      </c>
      <c r="F118" s="32" t="s">
        <v>75</v>
      </c>
      <c r="G118" s="33" t="str">
        <f>'L3-Performance'!K7</f>
        <v>Not Run</v>
      </c>
      <c r="H118" s="33">
        <f>'L3-Performance'!L7</f>
        <v>0</v>
      </c>
    </row>
    <row r="119" spans="1:8" ht="21.75" customHeight="1" x14ac:dyDescent="0.25">
      <c r="A119" s="26" t="s">
        <v>315</v>
      </c>
      <c r="B119" s="27" t="s">
        <v>310</v>
      </c>
      <c r="C119" s="27" t="s">
        <v>311</v>
      </c>
      <c r="D119" s="27" t="s">
        <v>316</v>
      </c>
      <c r="E119" s="28" t="s">
        <v>61</v>
      </c>
      <c r="F119" s="27" t="s">
        <v>75</v>
      </c>
      <c r="G119" s="29" t="str">
        <f>'L3-Performance'!K8</f>
        <v>Not Run</v>
      </c>
      <c r="H119" s="29">
        <f>'L3-Performance'!L8</f>
        <v>0</v>
      </c>
    </row>
    <row r="120" spans="1:8" ht="21.75" customHeight="1" x14ac:dyDescent="0.25">
      <c r="A120" s="30" t="s">
        <v>317</v>
      </c>
      <c r="B120" s="31" t="s">
        <v>310</v>
      </c>
      <c r="C120" s="31" t="s">
        <v>311</v>
      </c>
      <c r="D120" s="31" t="s">
        <v>318</v>
      </c>
      <c r="E120" s="28" t="s">
        <v>61</v>
      </c>
      <c r="F120" s="32" t="s">
        <v>75</v>
      </c>
      <c r="G120" s="33" t="str">
        <f>'L3-Performance'!K9</f>
        <v>Not Run</v>
      </c>
      <c r="H120" s="33">
        <f>'L3-Performance'!L9</f>
        <v>0</v>
      </c>
    </row>
    <row r="121" spans="1:8" ht="21.75" customHeight="1" x14ac:dyDescent="0.25">
      <c r="A121" s="26" t="s">
        <v>319</v>
      </c>
      <c r="B121" s="27" t="s">
        <v>310</v>
      </c>
      <c r="C121" s="27" t="s">
        <v>311</v>
      </c>
      <c r="D121" s="27" t="s">
        <v>320</v>
      </c>
      <c r="E121" s="28" t="s">
        <v>61</v>
      </c>
      <c r="F121" s="27" t="s">
        <v>75</v>
      </c>
      <c r="G121" s="29" t="str">
        <f>'L3-Performance'!K10</f>
        <v>Not Run</v>
      </c>
      <c r="H121" s="29">
        <f>'L3-Performance'!L10</f>
        <v>0</v>
      </c>
    </row>
    <row r="122" spans="1:8" ht="21.75" customHeight="1" x14ac:dyDescent="0.25">
      <c r="A122" s="30" t="s">
        <v>321</v>
      </c>
      <c r="B122" s="31" t="s">
        <v>310</v>
      </c>
      <c r="C122" s="31" t="s">
        <v>311</v>
      </c>
      <c r="D122" s="31" t="s">
        <v>322</v>
      </c>
      <c r="E122" s="28" t="s">
        <v>62</v>
      </c>
      <c r="F122" s="32" t="s">
        <v>75</v>
      </c>
      <c r="G122" s="33" t="str">
        <f>'L3-Performance'!K11</f>
        <v>Not Run</v>
      </c>
      <c r="H122" s="33">
        <f>'L3-Performance'!L11</f>
        <v>0</v>
      </c>
    </row>
    <row r="123" spans="1:8" ht="21.75" customHeight="1" x14ac:dyDescent="0.25">
      <c r="A123" s="26" t="s">
        <v>323</v>
      </c>
      <c r="B123" s="27" t="s">
        <v>310</v>
      </c>
      <c r="C123" s="27" t="s">
        <v>311</v>
      </c>
      <c r="D123" s="27" t="s">
        <v>324</v>
      </c>
      <c r="E123" s="28" t="s">
        <v>62</v>
      </c>
      <c r="F123" s="27" t="s">
        <v>75</v>
      </c>
      <c r="G123" s="29" t="str">
        <f>'L3-Performance'!K12</f>
        <v>Not Run</v>
      </c>
      <c r="H123" s="29">
        <f>'L3-Performance'!L12</f>
        <v>0</v>
      </c>
    </row>
    <row r="124" spans="1:8" ht="21.75" customHeight="1" x14ac:dyDescent="0.25">
      <c r="A124" s="30" t="s">
        <v>325</v>
      </c>
      <c r="B124" s="31" t="s">
        <v>310</v>
      </c>
      <c r="C124" s="31" t="s">
        <v>311</v>
      </c>
      <c r="D124" s="31" t="s">
        <v>326</v>
      </c>
      <c r="E124" s="28" t="s">
        <v>61</v>
      </c>
      <c r="F124" s="32" t="s">
        <v>75</v>
      </c>
      <c r="G124" s="33" t="str">
        <f>'L3-Performance'!K13</f>
        <v>Not Run</v>
      </c>
      <c r="H124" s="33">
        <f>'L3-Performance'!L13</f>
        <v>0</v>
      </c>
    </row>
    <row r="125" spans="1:8" ht="21.75" customHeight="1" x14ac:dyDescent="0.25">
      <c r="A125" s="26" t="s">
        <v>327</v>
      </c>
      <c r="B125" s="27" t="s">
        <v>310</v>
      </c>
      <c r="C125" s="27" t="s">
        <v>311</v>
      </c>
      <c r="D125" s="27" t="s">
        <v>328</v>
      </c>
      <c r="E125" s="28" t="s">
        <v>62</v>
      </c>
      <c r="F125" s="27" t="s">
        <v>75</v>
      </c>
      <c r="G125" s="29" t="str">
        <f>'L3-Performance'!K14</f>
        <v>Not Run</v>
      </c>
      <c r="H125" s="29">
        <f>'L3-Performance'!L14</f>
        <v>0</v>
      </c>
    </row>
    <row r="126" spans="1:8" ht="21.75" customHeight="1" x14ac:dyDescent="0.25">
      <c r="A126" s="30" t="s">
        <v>329</v>
      </c>
      <c r="B126" s="31" t="s">
        <v>330</v>
      </c>
      <c r="C126" s="31" t="s">
        <v>331</v>
      </c>
      <c r="D126" s="31" t="s">
        <v>332</v>
      </c>
      <c r="E126" s="28" t="s">
        <v>61</v>
      </c>
      <c r="F126" s="32" t="s">
        <v>78</v>
      </c>
      <c r="G126" s="33" t="str">
        <f>'L3-Security'!J6</f>
        <v>Not Run</v>
      </c>
      <c r="H126" s="33">
        <f>'L3-Security'!K6</f>
        <v>0</v>
      </c>
    </row>
    <row r="127" spans="1:8" ht="21.75" customHeight="1" x14ac:dyDescent="0.25">
      <c r="A127" s="26" t="s">
        <v>333</v>
      </c>
      <c r="B127" s="27" t="s">
        <v>330</v>
      </c>
      <c r="C127" s="27" t="s">
        <v>331</v>
      </c>
      <c r="D127" s="27" t="s">
        <v>334</v>
      </c>
      <c r="E127" s="28" t="s">
        <v>61</v>
      </c>
      <c r="F127" s="27" t="s">
        <v>78</v>
      </c>
      <c r="G127" s="29" t="str">
        <f>'L3-Security'!J7</f>
        <v>Not Run</v>
      </c>
      <c r="H127" s="29">
        <f>'L3-Security'!K7</f>
        <v>0</v>
      </c>
    </row>
    <row r="128" spans="1:8" ht="21.75" customHeight="1" x14ac:dyDescent="0.25">
      <c r="A128" s="30" t="s">
        <v>335</v>
      </c>
      <c r="B128" s="31" t="s">
        <v>330</v>
      </c>
      <c r="C128" s="31" t="s">
        <v>331</v>
      </c>
      <c r="D128" s="31" t="s">
        <v>336</v>
      </c>
      <c r="E128" s="28" t="s">
        <v>61</v>
      </c>
      <c r="F128" s="32" t="s">
        <v>78</v>
      </c>
      <c r="G128" s="33" t="str">
        <f>'L3-Security'!J8</f>
        <v>Not Run</v>
      </c>
      <c r="H128" s="33">
        <f>'L3-Security'!K8</f>
        <v>0</v>
      </c>
    </row>
    <row r="129" spans="1:8" ht="21.75" customHeight="1" x14ac:dyDescent="0.25">
      <c r="A129" s="26" t="s">
        <v>337</v>
      </c>
      <c r="B129" s="27" t="s">
        <v>330</v>
      </c>
      <c r="C129" s="27" t="s">
        <v>331</v>
      </c>
      <c r="D129" s="27" t="s">
        <v>94</v>
      </c>
      <c r="E129" s="28" t="s">
        <v>61</v>
      </c>
      <c r="F129" s="27" t="s">
        <v>78</v>
      </c>
      <c r="G129" s="29" t="str">
        <f>'L3-Security'!J9</f>
        <v>Not Run</v>
      </c>
      <c r="H129" s="29">
        <f>'L3-Security'!K9</f>
        <v>0</v>
      </c>
    </row>
    <row r="130" spans="1:8" ht="21.75" customHeight="1" x14ac:dyDescent="0.25">
      <c r="A130" s="30" t="s">
        <v>338</v>
      </c>
      <c r="B130" s="31" t="s">
        <v>330</v>
      </c>
      <c r="C130" s="31" t="s">
        <v>339</v>
      </c>
      <c r="D130" s="31" t="s">
        <v>340</v>
      </c>
      <c r="E130" s="28" t="s">
        <v>61</v>
      </c>
      <c r="F130" s="32" t="s">
        <v>78</v>
      </c>
      <c r="G130" s="33" t="str">
        <f>'L3-Security'!J11</f>
        <v>Not Run</v>
      </c>
      <c r="H130" s="33">
        <f>'L3-Security'!K11</f>
        <v>0</v>
      </c>
    </row>
    <row r="131" spans="1:8" ht="21.75" customHeight="1" x14ac:dyDescent="0.25">
      <c r="A131" s="26" t="s">
        <v>341</v>
      </c>
      <c r="B131" s="27" t="s">
        <v>330</v>
      </c>
      <c r="C131" s="27" t="s">
        <v>339</v>
      </c>
      <c r="D131" s="27" t="s">
        <v>90</v>
      </c>
      <c r="E131" s="28" t="s">
        <v>61</v>
      </c>
      <c r="F131" s="27" t="s">
        <v>78</v>
      </c>
      <c r="G131" s="29" t="str">
        <f>'L3-Security'!J12</f>
        <v>Not Run</v>
      </c>
      <c r="H131" s="29">
        <f>'L3-Security'!K12</f>
        <v>0</v>
      </c>
    </row>
    <row r="132" spans="1:8" ht="21.75" customHeight="1" x14ac:dyDescent="0.25">
      <c r="A132" s="30" t="s">
        <v>342</v>
      </c>
      <c r="B132" s="31" t="s">
        <v>330</v>
      </c>
      <c r="C132" s="31" t="s">
        <v>339</v>
      </c>
      <c r="D132" s="31" t="s">
        <v>90</v>
      </c>
      <c r="E132" s="28" t="s">
        <v>61</v>
      </c>
      <c r="F132" s="32" t="s">
        <v>78</v>
      </c>
      <c r="G132" s="33" t="str">
        <f>'L3-Security'!J13</f>
        <v>Not Run</v>
      </c>
      <c r="H132" s="33">
        <f>'L3-Security'!K13</f>
        <v>0</v>
      </c>
    </row>
    <row r="133" spans="1:8" ht="21.75" customHeight="1" x14ac:dyDescent="0.25">
      <c r="A133" s="26" t="s">
        <v>343</v>
      </c>
      <c r="B133" s="27" t="s">
        <v>330</v>
      </c>
      <c r="C133" s="27" t="s">
        <v>339</v>
      </c>
      <c r="D133" s="27" t="s">
        <v>344</v>
      </c>
      <c r="E133" s="28" t="s">
        <v>61</v>
      </c>
      <c r="F133" s="27" t="s">
        <v>78</v>
      </c>
      <c r="G133" s="29" t="str">
        <f>'L3-Security'!J14</f>
        <v>Not Run</v>
      </c>
      <c r="H133" s="29">
        <f>'L3-Security'!K14</f>
        <v>0</v>
      </c>
    </row>
    <row r="134" spans="1:8" ht="21.75" customHeight="1" x14ac:dyDescent="0.25">
      <c r="A134" s="30" t="s">
        <v>345</v>
      </c>
      <c r="B134" s="31" t="s">
        <v>330</v>
      </c>
      <c r="C134" s="31" t="s">
        <v>339</v>
      </c>
      <c r="D134" s="31" t="s">
        <v>90</v>
      </c>
      <c r="E134" s="28" t="s">
        <v>62</v>
      </c>
      <c r="F134" s="32" t="s">
        <v>78</v>
      </c>
      <c r="G134" s="33" t="str">
        <f>'L3-Security'!J15</f>
        <v>Not Run</v>
      </c>
      <c r="H134" s="33">
        <f>'L3-Security'!K15</f>
        <v>0</v>
      </c>
    </row>
    <row r="135" spans="1:8" ht="21.75" customHeight="1" x14ac:dyDescent="0.25">
      <c r="A135" s="26" t="s">
        <v>346</v>
      </c>
      <c r="B135" s="27" t="s">
        <v>330</v>
      </c>
      <c r="C135" s="27" t="s">
        <v>347</v>
      </c>
      <c r="D135" s="27" t="s">
        <v>94</v>
      </c>
      <c r="E135" s="28" t="s">
        <v>61</v>
      </c>
      <c r="F135" s="27" t="s">
        <v>78</v>
      </c>
      <c r="G135" s="29" t="str">
        <f>'L3-Security'!J17</f>
        <v>Not Run</v>
      </c>
      <c r="H135" s="29">
        <f>'L3-Security'!K17</f>
        <v>0</v>
      </c>
    </row>
    <row r="136" spans="1:8" ht="21.75" customHeight="1" x14ac:dyDescent="0.25">
      <c r="A136" s="30" t="s">
        <v>348</v>
      </c>
      <c r="B136" s="31" t="s">
        <v>330</v>
      </c>
      <c r="C136" s="31" t="s">
        <v>347</v>
      </c>
      <c r="D136" s="31" t="s">
        <v>349</v>
      </c>
      <c r="E136" s="28" t="s">
        <v>62</v>
      </c>
      <c r="F136" s="32" t="s">
        <v>78</v>
      </c>
      <c r="G136" s="33" t="str">
        <f>'L3-Security'!J18</f>
        <v>Not Run</v>
      </c>
      <c r="H136" s="33">
        <f>'L3-Security'!K18</f>
        <v>0</v>
      </c>
    </row>
    <row r="137" spans="1:8" ht="21.75" customHeight="1" x14ac:dyDescent="0.25">
      <c r="A137" s="26" t="s">
        <v>350</v>
      </c>
      <c r="B137" s="27" t="s">
        <v>330</v>
      </c>
      <c r="C137" s="27" t="s">
        <v>347</v>
      </c>
      <c r="D137" s="27" t="s">
        <v>351</v>
      </c>
      <c r="E137" s="28" t="s">
        <v>61</v>
      </c>
      <c r="F137" s="27" t="s">
        <v>78</v>
      </c>
      <c r="G137" s="29" t="str">
        <f>'L3-Security'!J19</f>
        <v>Not Run</v>
      </c>
      <c r="H137" s="29">
        <f>'L3-Security'!K19</f>
        <v>0</v>
      </c>
    </row>
    <row r="138" spans="1:8" ht="21.75" customHeight="1" x14ac:dyDescent="0.25">
      <c r="A138" s="30" t="s">
        <v>352</v>
      </c>
      <c r="B138" s="31" t="s">
        <v>330</v>
      </c>
      <c r="C138" s="31" t="s">
        <v>347</v>
      </c>
      <c r="D138" s="31" t="s">
        <v>353</v>
      </c>
      <c r="E138" s="28" t="s">
        <v>61</v>
      </c>
      <c r="F138" s="32" t="s">
        <v>78</v>
      </c>
      <c r="G138" s="33" t="str">
        <f>'L3-Security'!J20</f>
        <v>Not Run</v>
      </c>
      <c r="H138" s="33">
        <f>'L3-Security'!K20</f>
        <v>0</v>
      </c>
    </row>
    <row r="139" spans="1:8" ht="21.75" customHeight="1" x14ac:dyDescent="0.25">
      <c r="A139" s="26" t="s">
        <v>354</v>
      </c>
      <c r="B139" s="27" t="s">
        <v>330</v>
      </c>
      <c r="C139" s="27" t="s">
        <v>347</v>
      </c>
      <c r="D139" s="27" t="s">
        <v>355</v>
      </c>
      <c r="E139" s="28" t="s">
        <v>61</v>
      </c>
      <c r="F139" s="27" t="s">
        <v>78</v>
      </c>
      <c r="G139" s="29" t="str">
        <f>'L3-Security'!J21</f>
        <v>Not Run</v>
      </c>
      <c r="H139" s="29">
        <f>'L3-Security'!K21</f>
        <v>0</v>
      </c>
    </row>
    <row r="140" spans="1:8" ht="21.75" customHeight="1" x14ac:dyDescent="0.25">
      <c r="A140" s="30" t="s">
        <v>356</v>
      </c>
      <c r="B140" s="31" t="s">
        <v>330</v>
      </c>
      <c r="C140" s="31" t="s">
        <v>347</v>
      </c>
      <c r="D140" s="31" t="s">
        <v>357</v>
      </c>
      <c r="E140" s="28" t="s">
        <v>61</v>
      </c>
      <c r="F140" s="32" t="s">
        <v>78</v>
      </c>
      <c r="G140" s="33" t="str">
        <f>'L3-Security'!J22</f>
        <v>Not Run</v>
      </c>
      <c r="H140" s="33">
        <f>'L3-Security'!K22</f>
        <v>0</v>
      </c>
    </row>
    <row r="141" spans="1:8" ht="21.75" customHeight="1" x14ac:dyDescent="0.25">
      <c r="A141" s="26" t="s">
        <v>358</v>
      </c>
      <c r="B141" s="27" t="s">
        <v>330</v>
      </c>
      <c r="C141" s="27" t="s">
        <v>347</v>
      </c>
      <c r="D141" s="27" t="s">
        <v>359</v>
      </c>
      <c r="E141" s="28" t="s">
        <v>61</v>
      </c>
      <c r="F141" s="27" t="s">
        <v>78</v>
      </c>
      <c r="G141" s="29" t="str">
        <f>'L3-Security'!J23</f>
        <v>Not Run</v>
      </c>
      <c r="H141" s="29">
        <f>'L3-Security'!K23</f>
        <v>0</v>
      </c>
    </row>
    <row r="142" spans="1:8" ht="21.75" customHeight="1" x14ac:dyDescent="0.25">
      <c r="A142" s="30" t="s">
        <v>360</v>
      </c>
      <c r="B142" s="31" t="s">
        <v>330</v>
      </c>
      <c r="C142" s="31" t="s">
        <v>361</v>
      </c>
      <c r="D142" s="31" t="s">
        <v>340</v>
      </c>
      <c r="E142" s="28" t="s">
        <v>62</v>
      </c>
      <c r="F142" s="32" t="s">
        <v>78</v>
      </c>
      <c r="G142" s="33" t="str">
        <f>'L3-Security'!J25</f>
        <v>Not Run</v>
      </c>
      <c r="H142" s="33">
        <f>'L3-Security'!K25</f>
        <v>0</v>
      </c>
    </row>
    <row r="143" spans="1:8" ht="21.75" customHeight="1" x14ac:dyDescent="0.25">
      <c r="A143" s="26" t="s">
        <v>362</v>
      </c>
      <c r="B143" s="27" t="s">
        <v>330</v>
      </c>
      <c r="C143" s="27" t="s">
        <v>361</v>
      </c>
      <c r="D143" s="27" t="s">
        <v>363</v>
      </c>
      <c r="E143" s="28" t="s">
        <v>61</v>
      </c>
      <c r="F143" s="27" t="s">
        <v>78</v>
      </c>
      <c r="G143" s="29" t="str">
        <f>'L3-Security'!J26</f>
        <v>Not Run</v>
      </c>
      <c r="H143" s="29">
        <f>'L3-Security'!K26</f>
        <v>0</v>
      </c>
    </row>
    <row r="144" spans="1:8" ht="21.75" customHeight="1" x14ac:dyDescent="0.25">
      <c r="A144" s="30" t="s">
        <v>364</v>
      </c>
      <c r="B144" s="31" t="s">
        <v>330</v>
      </c>
      <c r="C144" s="31" t="s">
        <v>361</v>
      </c>
      <c r="D144" s="31" t="s">
        <v>365</v>
      </c>
      <c r="E144" s="28" t="s">
        <v>61</v>
      </c>
      <c r="F144" s="32" t="s">
        <v>78</v>
      </c>
      <c r="G144" s="33" t="str">
        <f>'L3-Security'!J27</f>
        <v>Not Run</v>
      </c>
      <c r="H144" s="33">
        <f>'L3-Security'!K27</f>
        <v>0</v>
      </c>
    </row>
    <row r="145" spans="1:8" ht="21.75" customHeight="1" x14ac:dyDescent="0.25">
      <c r="A145" s="26" t="s">
        <v>366</v>
      </c>
      <c r="B145" s="27" t="s">
        <v>367</v>
      </c>
      <c r="C145" s="27" t="s">
        <v>368</v>
      </c>
      <c r="D145" s="27" t="s">
        <v>369</v>
      </c>
      <c r="E145" s="28" t="s">
        <v>61</v>
      </c>
      <c r="F145" s="27" t="s">
        <v>75</v>
      </c>
      <c r="G145" s="29" t="str">
        <f>'L3-AdminConfigAPI'!M6</f>
        <v>Not Run</v>
      </c>
      <c r="H145" s="29">
        <f>'L3-AdminConfigAPI'!N6</f>
        <v>0</v>
      </c>
    </row>
    <row r="146" spans="1:8" ht="21.75" customHeight="1" x14ac:dyDescent="0.25">
      <c r="A146" s="30" t="s">
        <v>370</v>
      </c>
      <c r="B146" s="31" t="s">
        <v>367</v>
      </c>
      <c r="C146" s="31" t="s">
        <v>368</v>
      </c>
      <c r="D146" s="31" t="s">
        <v>94</v>
      </c>
      <c r="E146" s="28" t="s">
        <v>61</v>
      </c>
      <c r="F146" s="32" t="s">
        <v>78</v>
      </c>
      <c r="G146" s="33" t="str">
        <f>'L3-AdminConfigAPI'!M7</f>
        <v>Not Run</v>
      </c>
      <c r="H146" s="33">
        <f>'L3-AdminConfigAPI'!N7</f>
        <v>0</v>
      </c>
    </row>
    <row r="147" spans="1:8" ht="21.75" customHeight="1" x14ac:dyDescent="0.25">
      <c r="A147" s="26" t="s">
        <v>371</v>
      </c>
      <c r="B147" s="27" t="s">
        <v>367</v>
      </c>
      <c r="C147" s="27" t="s">
        <v>368</v>
      </c>
      <c r="D147" s="27" t="s">
        <v>372</v>
      </c>
      <c r="E147" s="28" t="s">
        <v>61</v>
      </c>
      <c r="F147" s="27" t="s">
        <v>78</v>
      </c>
      <c r="G147" s="29" t="str">
        <f>'L3-AdminConfigAPI'!M8</f>
        <v>Not Run</v>
      </c>
      <c r="H147" s="29">
        <f>'L3-AdminConfigAPI'!N8</f>
        <v>0</v>
      </c>
    </row>
    <row r="148" spans="1:8" ht="21.75" customHeight="1" x14ac:dyDescent="0.25">
      <c r="A148" s="30" t="s">
        <v>373</v>
      </c>
      <c r="B148" s="31" t="s">
        <v>367</v>
      </c>
      <c r="C148" s="31" t="s">
        <v>368</v>
      </c>
      <c r="D148" s="31" t="s">
        <v>374</v>
      </c>
      <c r="E148" s="28" t="s">
        <v>61</v>
      </c>
      <c r="F148" s="32" t="s">
        <v>75</v>
      </c>
      <c r="G148" s="33" t="str">
        <f>'L3-AdminConfigAPI'!M9</f>
        <v>Not Run</v>
      </c>
      <c r="H148" s="33">
        <f>'L3-AdminConfigAPI'!N9</f>
        <v>0</v>
      </c>
    </row>
    <row r="149" spans="1:8" ht="21.75" customHeight="1" x14ac:dyDescent="0.25">
      <c r="A149" s="26" t="s">
        <v>375</v>
      </c>
      <c r="B149" s="27" t="s">
        <v>367</v>
      </c>
      <c r="C149" s="27" t="s">
        <v>368</v>
      </c>
      <c r="D149" s="27" t="s">
        <v>290</v>
      </c>
      <c r="E149" s="28" t="s">
        <v>61</v>
      </c>
      <c r="F149" s="27" t="s">
        <v>75</v>
      </c>
      <c r="G149" s="29" t="str">
        <f>'L3-AdminConfigAPI'!M10</f>
        <v>Not Run</v>
      </c>
      <c r="H149" s="29">
        <f>'L3-AdminConfigAPI'!N10</f>
        <v>0</v>
      </c>
    </row>
    <row r="150" spans="1:8" ht="21.75" customHeight="1" x14ac:dyDescent="0.25">
      <c r="A150" s="30" t="s">
        <v>376</v>
      </c>
      <c r="B150" s="31" t="s">
        <v>367</v>
      </c>
      <c r="C150" s="31" t="s">
        <v>368</v>
      </c>
      <c r="D150" s="31" t="s">
        <v>377</v>
      </c>
      <c r="E150" s="28" t="s">
        <v>61</v>
      </c>
      <c r="F150" s="32" t="s">
        <v>78</v>
      </c>
      <c r="G150" s="33" t="str">
        <f>'L3-AdminConfigAPI'!M11</f>
        <v>Not Run</v>
      </c>
      <c r="H150" s="33">
        <f>'L3-AdminConfigAPI'!N11</f>
        <v>0</v>
      </c>
    </row>
    <row r="151" spans="1:8" ht="21.75" customHeight="1" x14ac:dyDescent="0.25">
      <c r="A151" s="26" t="s">
        <v>378</v>
      </c>
      <c r="B151" s="27" t="s">
        <v>367</v>
      </c>
      <c r="C151" s="27" t="s">
        <v>379</v>
      </c>
      <c r="D151" s="27" t="s">
        <v>288</v>
      </c>
      <c r="E151" s="28" t="s">
        <v>61</v>
      </c>
      <c r="F151" s="27" t="s">
        <v>78</v>
      </c>
      <c r="G151" s="29" t="str">
        <f>'L3-AdminConfigAPI'!M13</f>
        <v>Not Run</v>
      </c>
      <c r="H151" s="29">
        <f>'L3-AdminConfigAPI'!N13</f>
        <v>0</v>
      </c>
    </row>
    <row r="152" spans="1:8" ht="21.75" customHeight="1" x14ac:dyDescent="0.25">
      <c r="A152" s="30" t="s">
        <v>380</v>
      </c>
      <c r="B152" s="31" t="s">
        <v>367</v>
      </c>
      <c r="C152" s="31" t="s">
        <v>379</v>
      </c>
      <c r="D152" s="31" t="s">
        <v>381</v>
      </c>
      <c r="E152" s="28" t="s">
        <v>62</v>
      </c>
      <c r="F152" s="32" t="s">
        <v>75</v>
      </c>
      <c r="G152" s="33" t="str">
        <f>'L3-AdminConfigAPI'!M14</f>
        <v>Not Run</v>
      </c>
      <c r="H152" s="33">
        <f>'L3-AdminConfigAPI'!N14</f>
        <v>0</v>
      </c>
    </row>
    <row r="153" spans="1:8" ht="21.75" customHeight="1" x14ac:dyDescent="0.25">
      <c r="A153" s="26" t="s">
        <v>382</v>
      </c>
      <c r="B153" s="27" t="s">
        <v>367</v>
      </c>
      <c r="C153" s="27" t="s">
        <v>379</v>
      </c>
      <c r="D153" s="27" t="s">
        <v>383</v>
      </c>
      <c r="E153" s="28" t="s">
        <v>61</v>
      </c>
      <c r="F153" s="27" t="s">
        <v>75</v>
      </c>
      <c r="G153" s="29" t="str">
        <f>'L3-AdminConfigAPI'!M15</f>
        <v>Not Run</v>
      </c>
      <c r="H153" s="29">
        <f>'L3-AdminConfigAPI'!N15</f>
        <v>0</v>
      </c>
    </row>
    <row r="154" spans="1:8" ht="21.75" customHeight="1" x14ac:dyDescent="0.25">
      <c r="A154" s="30" t="s">
        <v>384</v>
      </c>
      <c r="B154" s="31" t="s">
        <v>367</v>
      </c>
      <c r="C154" s="31" t="s">
        <v>379</v>
      </c>
      <c r="D154" s="31" t="s">
        <v>385</v>
      </c>
      <c r="E154" s="28" t="s">
        <v>62</v>
      </c>
      <c r="F154" s="32" t="s">
        <v>78</v>
      </c>
      <c r="G154" s="33" t="str">
        <f>'L3-AdminConfigAPI'!M16</f>
        <v>Not Run</v>
      </c>
      <c r="H154" s="33">
        <f>'L3-AdminConfigAPI'!N16</f>
        <v>0</v>
      </c>
    </row>
    <row r="155" spans="1:8" ht="21.75" customHeight="1" x14ac:dyDescent="0.25">
      <c r="A155" s="26" t="s">
        <v>386</v>
      </c>
      <c r="B155" s="27" t="s">
        <v>367</v>
      </c>
      <c r="C155" s="27" t="s">
        <v>379</v>
      </c>
      <c r="D155" s="27" t="s">
        <v>387</v>
      </c>
      <c r="E155" s="28" t="s">
        <v>61</v>
      </c>
      <c r="F155" s="27" t="s">
        <v>75</v>
      </c>
      <c r="G155" s="29" t="str">
        <f>'L3-AdminConfigAPI'!M17</f>
        <v>Not Run</v>
      </c>
      <c r="H155" s="29">
        <f>'L3-AdminConfigAPI'!N17</f>
        <v>0</v>
      </c>
    </row>
    <row r="156" spans="1:8" ht="21.75" customHeight="1" x14ac:dyDescent="0.25">
      <c r="A156" s="30" t="s">
        <v>388</v>
      </c>
      <c r="B156" s="31" t="s">
        <v>367</v>
      </c>
      <c r="C156" s="31" t="s">
        <v>379</v>
      </c>
      <c r="D156" s="31" t="s">
        <v>389</v>
      </c>
      <c r="E156" s="28" t="s">
        <v>61</v>
      </c>
      <c r="F156" s="32" t="s">
        <v>78</v>
      </c>
      <c r="G156" s="33" t="str">
        <f>'L3-AdminConfigAPI'!M18</f>
        <v>Not Run</v>
      </c>
      <c r="H156" s="33">
        <f>'L3-AdminConfigAPI'!N18</f>
        <v>0</v>
      </c>
    </row>
    <row r="157" spans="1:8" ht="21.75" customHeight="1" x14ac:dyDescent="0.25">
      <c r="A157" s="26" t="s">
        <v>390</v>
      </c>
      <c r="B157" s="27" t="s">
        <v>367</v>
      </c>
      <c r="C157" s="27" t="s">
        <v>379</v>
      </c>
      <c r="D157" s="27" t="s">
        <v>391</v>
      </c>
      <c r="E157" s="28" t="s">
        <v>61</v>
      </c>
      <c r="F157" s="27" t="s">
        <v>78</v>
      </c>
      <c r="G157" s="29" t="str">
        <f>'L3-AdminConfigAPI'!M19</f>
        <v>Not Run</v>
      </c>
      <c r="H157" s="29">
        <f>'L3-AdminConfigAPI'!N19</f>
        <v>0</v>
      </c>
    </row>
    <row r="158" spans="1:8" ht="21.75" customHeight="1" x14ac:dyDescent="0.25">
      <c r="A158" s="30" t="s">
        <v>392</v>
      </c>
      <c r="B158" s="31" t="s">
        <v>367</v>
      </c>
      <c r="C158" s="31" t="s">
        <v>379</v>
      </c>
      <c r="D158" s="31" t="s">
        <v>393</v>
      </c>
      <c r="E158" s="28" t="s">
        <v>62</v>
      </c>
      <c r="F158" s="32" t="s">
        <v>75</v>
      </c>
      <c r="G158" s="33" t="str">
        <f>'L3-AdminConfigAPI'!M20</f>
        <v>Not Run</v>
      </c>
      <c r="H158" s="33">
        <f>'L3-AdminConfigAPI'!N20</f>
        <v>0</v>
      </c>
    </row>
    <row r="159" spans="1:8" ht="21.75" customHeight="1" x14ac:dyDescent="0.25">
      <c r="A159" s="26" t="s">
        <v>394</v>
      </c>
      <c r="B159" s="27" t="s">
        <v>367</v>
      </c>
      <c r="C159" s="27" t="s">
        <v>379</v>
      </c>
      <c r="D159" s="27" t="s">
        <v>122</v>
      </c>
      <c r="E159" s="28" t="s">
        <v>61</v>
      </c>
      <c r="F159" s="27" t="s">
        <v>78</v>
      </c>
      <c r="G159" s="29" t="str">
        <f>'L3-AdminConfigAPI'!M21</f>
        <v>Not Run</v>
      </c>
      <c r="H159" s="29">
        <f>'L3-AdminConfigAPI'!N21</f>
        <v>0</v>
      </c>
    </row>
    <row r="160" spans="1:8" ht="21.75" customHeight="1" x14ac:dyDescent="0.25">
      <c r="A160" s="30" t="s">
        <v>395</v>
      </c>
      <c r="B160" s="31" t="s">
        <v>367</v>
      </c>
      <c r="C160" s="31" t="s">
        <v>379</v>
      </c>
      <c r="D160" s="31" t="s">
        <v>396</v>
      </c>
      <c r="E160" s="28" t="s">
        <v>61</v>
      </c>
      <c r="F160" s="32" t="s">
        <v>75</v>
      </c>
      <c r="G160" s="33" t="str">
        <f>'L3-AdminConfigAPI'!M22</f>
        <v>Not Run</v>
      </c>
      <c r="H160" s="33">
        <f>'L3-AdminConfigAPI'!N22</f>
        <v>0</v>
      </c>
    </row>
    <row r="161" spans="1:8" ht="21.75" customHeight="1" x14ac:dyDescent="0.25">
      <c r="A161" s="26" t="s">
        <v>397</v>
      </c>
      <c r="B161" s="27" t="s">
        <v>367</v>
      </c>
      <c r="C161" s="27" t="s">
        <v>379</v>
      </c>
      <c r="D161" s="27" t="s">
        <v>398</v>
      </c>
      <c r="E161" s="28" t="s">
        <v>62</v>
      </c>
      <c r="F161" s="27" t="s">
        <v>75</v>
      </c>
      <c r="G161" s="29" t="str">
        <f>'L3-AdminConfigAPI'!M23</f>
        <v>Not Run</v>
      </c>
      <c r="H161" s="29">
        <f>'L3-AdminConfigAPI'!N23</f>
        <v>0</v>
      </c>
    </row>
    <row r="162" spans="1:8" ht="21.75" customHeight="1" x14ac:dyDescent="0.25">
      <c r="A162" s="30" t="s">
        <v>399</v>
      </c>
      <c r="B162" s="31" t="s">
        <v>400</v>
      </c>
      <c r="C162" s="31" t="s">
        <v>401</v>
      </c>
      <c r="D162" s="31" t="s">
        <v>402</v>
      </c>
      <c r="E162" s="28" t="s">
        <v>61</v>
      </c>
      <c r="F162" s="32" t="s">
        <v>75</v>
      </c>
      <c r="G162" s="33" t="str">
        <f>'L3-MarketingReturnAPI'!M6</f>
        <v>Not Run</v>
      </c>
      <c r="H162" s="33">
        <f>'L3-MarketingReturnAPI'!N6</f>
        <v>0</v>
      </c>
    </row>
    <row r="163" spans="1:8" ht="21.75" customHeight="1" x14ac:dyDescent="0.25">
      <c r="A163" s="26" t="s">
        <v>403</v>
      </c>
      <c r="B163" s="27" t="s">
        <v>400</v>
      </c>
      <c r="C163" s="27" t="s">
        <v>401</v>
      </c>
      <c r="D163" s="27" t="s">
        <v>404</v>
      </c>
      <c r="E163" s="28" t="s">
        <v>61</v>
      </c>
      <c r="F163" s="27" t="s">
        <v>78</v>
      </c>
      <c r="G163" s="29" t="str">
        <f>'L3-MarketingReturnAPI'!M7</f>
        <v>Not Run</v>
      </c>
      <c r="H163" s="29">
        <f>'L3-MarketingReturnAPI'!N7</f>
        <v>0</v>
      </c>
    </row>
    <row r="164" spans="1:8" ht="21.75" customHeight="1" x14ac:dyDescent="0.25">
      <c r="A164" s="30" t="s">
        <v>405</v>
      </c>
      <c r="B164" s="31" t="s">
        <v>400</v>
      </c>
      <c r="C164" s="31" t="s">
        <v>401</v>
      </c>
      <c r="D164" s="31" t="s">
        <v>406</v>
      </c>
      <c r="E164" s="28" t="s">
        <v>61</v>
      </c>
      <c r="F164" s="32" t="s">
        <v>78</v>
      </c>
      <c r="G164" s="33" t="str">
        <f>'L3-MarketingReturnAPI'!M8</f>
        <v>Not Run</v>
      </c>
      <c r="H164" s="33">
        <f>'L3-MarketingReturnAPI'!N8</f>
        <v>0</v>
      </c>
    </row>
    <row r="165" spans="1:8" ht="21.75" customHeight="1" x14ac:dyDescent="0.25">
      <c r="A165" s="26" t="s">
        <v>407</v>
      </c>
      <c r="B165" s="27" t="s">
        <v>400</v>
      </c>
      <c r="C165" s="27" t="s">
        <v>401</v>
      </c>
      <c r="D165" s="27" t="s">
        <v>408</v>
      </c>
      <c r="E165" s="28" t="s">
        <v>61</v>
      </c>
      <c r="F165" s="27" t="s">
        <v>75</v>
      </c>
      <c r="G165" s="29" t="str">
        <f>'L3-MarketingReturnAPI'!M9</f>
        <v>Not Run</v>
      </c>
      <c r="H165" s="29">
        <f>'L3-MarketingReturnAPI'!N9</f>
        <v>0</v>
      </c>
    </row>
    <row r="166" spans="1:8" ht="21.75" customHeight="1" x14ac:dyDescent="0.25">
      <c r="A166" s="30" t="s">
        <v>409</v>
      </c>
      <c r="B166" s="31" t="s">
        <v>400</v>
      </c>
      <c r="C166" s="31" t="s">
        <v>401</v>
      </c>
      <c r="D166" s="31" t="s">
        <v>410</v>
      </c>
      <c r="E166" s="28" t="s">
        <v>61</v>
      </c>
      <c r="F166" s="32" t="s">
        <v>78</v>
      </c>
      <c r="G166" s="33" t="str">
        <f>'L3-MarketingReturnAPI'!M10</f>
        <v>Not Run</v>
      </c>
      <c r="H166" s="33">
        <f>'L3-MarketingReturnAPI'!N10</f>
        <v>0</v>
      </c>
    </row>
    <row r="167" spans="1:8" ht="21.75" customHeight="1" x14ac:dyDescent="0.25">
      <c r="A167" s="26" t="s">
        <v>411</v>
      </c>
      <c r="B167" s="27" t="s">
        <v>400</v>
      </c>
      <c r="C167" s="27" t="s">
        <v>401</v>
      </c>
      <c r="D167" s="27" t="s">
        <v>412</v>
      </c>
      <c r="E167" s="28" t="s">
        <v>61</v>
      </c>
      <c r="F167" s="27" t="s">
        <v>78</v>
      </c>
      <c r="G167" s="29" t="str">
        <f>'L3-MarketingReturnAPI'!M11</f>
        <v>Not Run</v>
      </c>
      <c r="H167" s="29">
        <f>'L3-MarketingReturnAPI'!N11</f>
        <v>0</v>
      </c>
    </row>
    <row r="168" spans="1:8" ht="21.75" customHeight="1" x14ac:dyDescent="0.25">
      <c r="A168" s="30" t="s">
        <v>413</v>
      </c>
      <c r="B168" s="31" t="s">
        <v>400</v>
      </c>
      <c r="C168" s="31" t="s">
        <v>401</v>
      </c>
      <c r="D168" s="31" t="s">
        <v>414</v>
      </c>
      <c r="E168" s="28" t="s">
        <v>61</v>
      </c>
      <c r="F168" s="32" t="s">
        <v>78</v>
      </c>
      <c r="G168" s="33" t="str">
        <f>'L3-MarketingReturnAPI'!M12</f>
        <v>Not Run</v>
      </c>
      <c r="H168" s="33">
        <f>'L3-MarketingReturnAPI'!N12</f>
        <v>0</v>
      </c>
    </row>
    <row r="169" spans="1:8" ht="21.75" customHeight="1" x14ac:dyDescent="0.25">
      <c r="A169" s="26" t="s">
        <v>415</v>
      </c>
      <c r="B169" s="27" t="s">
        <v>400</v>
      </c>
      <c r="C169" s="27" t="s">
        <v>401</v>
      </c>
      <c r="D169" s="27" t="s">
        <v>416</v>
      </c>
      <c r="E169" s="28" t="s">
        <v>61</v>
      </c>
      <c r="F169" s="27" t="s">
        <v>78</v>
      </c>
      <c r="G169" s="29" t="str">
        <f>'L3-MarketingReturnAPI'!M13</f>
        <v>Not Run</v>
      </c>
      <c r="H169" s="29">
        <f>'L3-MarketingReturnAPI'!N13</f>
        <v>0</v>
      </c>
    </row>
    <row r="170" spans="1:8" ht="21.75" customHeight="1" x14ac:dyDescent="0.25">
      <c r="A170" s="30" t="s">
        <v>417</v>
      </c>
      <c r="B170" s="31" t="s">
        <v>400</v>
      </c>
      <c r="C170" s="31" t="s">
        <v>401</v>
      </c>
      <c r="D170" s="31" t="s">
        <v>418</v>
      </c>
      <c r="E170" s="28" t="s">
        <v>61</v>
      </c>
      <c r="F170" s="32" t="s">
        <v>78</v>
      </c>
      <c r="G170" s="33" t="str">
        <f>'L3-MarketingReturnAPI'!M14</f>
        <v>Not Run</v>
      </c>
      <c r="H170" s="33">
        <f>'L3-MarketingReturnAPI'!N14</f>
        <v>0</v>
      </c>
    </row>
    <row r="171" spans="1:8" ht="21.75" customHeight="1" x14ac:dyDescent="0.25">
      <c r="A171" s="26" t="s">
        <v>419</v>
      </c>
      <c r="B171" s="27" t="s">
        <v>400</v>
      </c>
      <c r="C171" s="27" t="s">
        <v>401</v>
      </c>
      <c r="D171" s="27" t="s">
        <v>420</v>
      </c>
      <c r="E171" s="28" t="s">
        <v>62</v>
      </c>
      <c r="F171" s="27" t="s">
        <v>78</v>
      </c>
      <c r="G171" s="29" t="str">
        <f>'L3-MarketingReturnAPI'!M15</f>
        <v>Not Run</v>
      </c>
      <c r="H171" s="29">
        <f>'L3-MarketingReturnAPI'!N15</f>
        <v>0</v>
      </c>
    </row>
    <row r="172" spans="1:8" ht="21.75" customHeight="1" x14ac:dyDescent="0.25">
      <c r="A172" s="30" t="s">
        <v>421</v>
      </c>
      <c r="B172" s="31" t="s">
        <v>400</v>
      </c>
      <c r="C172" s="31" t="s">
        <v>401</v>
      </c>
      <c r="D172" s="31" t="s">
        <v>422</v>
      </c>
      <c r="E172" s="28" t="s">
        <v>62</v>
      </c>
      <c r="F172" s="32" t="s">
        <v>75</v>
      </c>
      <c r="G172" s="33" t="str">
        <f>'L3-MarketingReturnAPI'!M16</f>
        <v>Not Run</v>
      </c>
      <c r="H172" s="33">
        <f>'L3-MarketingReturnAPI'!N16</f>
        <v>0</v>
      </c>
    </row>
    <row r="173" spans="1:8" ht="21.75" customHeight="1" x14ac:dyDescent="0.25">
      <c r="A173" s="26" t="s">
        <v>423</v>
      </c>
      <c r="B173" s="27" t="s">
        <v>400</v>
      </c>
      <c r="C173" s="27" t="s">
        <v>424</v>
      </c>
      <c r="D173" s="27" t="s">
        <v>425</v>
      </c>
      <c r="E173" s="28" t="s">
        <v>61</v>
      </c>
      <c r="F173" s="27" t="s">
        <v>75</v>
      </c>
      <c r="G173" s="29" t="str">
        <f>'L3-MarketingReturnAPI'!M18</f>
        <v>Not Run</v>
      </c>
      <c r="H173" s="29">
        <f>'L3-MarketingReturnAPI'!N18</f>
        <v>0</v>
      </c>
    </row>
    <row r="174" spans="1:8" ht="21.75" customHeight="1" x14ac:dyDescent="0.25">
      <c r="A174" s="30" t="s">
        <v>426</v>
      </c>
      <c r="B174" s="31" t="s">
        <v>400</v>
      </c>
      <c r="C174" s="31" t="s">
        <v>424</v>
      </c>
      <c r="D174" s="31" t="s">
        <v>427</v>
      </c>
      <c r="E174" s="28" t="s">
        <v>61</v>
      </c>
      <c r="F174" s="32" t="s">
        <v>78</v>
      </c>
      <c r="G174" s="33" t="str">
        <f>'L3-MarketingReturnAPI'!M19</f>
        <v>Not Run</v>
      </c>
      <c r="H174" s="33">
        <f>'L3-MarketingReturnAPI'!N19</f>
        <v>0</v>
      </c>
    </row>
    <row r="175" spans="1:8" ht="21.75" customHeight="1" x14ac:dyDescent="0.25">
      <c r="A175" s="26" t="s">
        <v>428</v>
      </c>
      <c r="B175" s="27" t="s">
        <v>400</v>
      </c>
      <c r="C175" s="27" t="s">
        <v>424</v>
      </c>
      <c r="D175" s="27" t="s">
        <v>429</v>
      </c>
      <c r="E175" s="28" t="s">
        <v>61</v>
      </c>
      <c r="F175" s="27" t="s">
        <v>78</v>
      </c>
      <c r="G175" s="29" t="str">
        <f>'L3-MarketingReturnAPI'!M20</f>
        <v>Not Run</v>
      </c>
      <c r="H175" s="29">
        <f>'L3-MarketingReturnAPI'!N20</f>
        <v>0</v>
      </c>
    </row>
    <row r="176" spans="1:8" ht="21.75" customHeight="1" x14ac:dyDescent="0.25">
      <c r="A176" s="30" t="s">
        <v>430</v>
      </c>
      <c r="B176" s="31" t="s">
        <v>400</v>
      </c>
      <c r="C176" s="31" t="s">
        <v>424</v>
      </c>
      <c r="D176" s="31" t="s">
        <v>431</v>
      </c>
      <c r="E176" s="28" t="s">
        <v>61</v>
      </c>
      <c r="F176" s="32" t="s">
        <v>78</v>
      </c>
      <c r="G176" s="33" t="str">
        <f>'L3-MarketingReturnAPI'!M21</f>
        <v>Not Run</v>
      </c>
      <c r="H176" s="33">
        <f>'L3-MarketingReturnAPI'!N21</f>
        <v>0</v>
      </c>
    </row>
    <row r="177" spans="1:8" ht="21.75" customHeight="1" x14ac:dyDescent="0.25">
      <c r="A177" s="26" t="s">
        <v>432</v>
      </c>
      <c r="B177" s="27" t="s">
        <v>400</v>
      </c>
      <c r="C177" s="27" t="s">
        <v>424</v>
      </c>
      <c r="D177" s="27" t="s">
        <v>433</v>
      </c>
      <c r="E177" s="28" t="s">
        <v>61</v>
      </c>
      <c r="F177" s="27" t="s">
        <v>75</v>
      </c>
      <c r="G177" s="29" t="str">
        <f>'L3-MarketingReturnAPI'!M22</f>
        <v>Not Run</v>
      </c>
      <c r="H177" s="29">
        <f>'L3-MarketingReturnAPI'!N22</f>
        <v>0</v>
      </c>
    </row>
    <row r="178" spans="1:8" ht="21.75" customHeight="1" x14ac:dyDescent="0.25">
      <c r="A178" s="30" t="s">
        <v>434</v>
      </c>
      <c r="B178" s="31" t="s">
        <v>400</v>
      </c>
      <c r="C178" s="31" t="s">
        <v>424</v>
      </c>
      <c r="D178" s="31" t="s">
        <v>435</v>
      </c>
      <c r="E178" s="28" t="s">
        <v>62</v>
      </c>
      <c r="F178" s="32" t="s">
        <v>78</v>
      </c>
      <c r="G178" s="33" t="str">
        <f>'L3-MarketingReturnAPI'!M23</f>
        <v>Not Run</v>
      </c>
      <c r="H178" s="33">
        <f>'L3-MarketingReturnAPI'!N23</f>
        <v>0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1"/>
  <sheetViews>
    <sheetView showGridLines="0" zoomScaleNormal="100" workbookViewId="0">
      <pane ySplit="4" topLeftCell="A5" activePane="bottomLeft" state="frozen"/>
      <selection pane="bottomLeft" activeCell="O14" sqref="O14:O19"/>
    </sheetView>
  </sheetViews>
  <sheetFormatPr defaultColWidth="8.7109375" defaultRowHeight="15" x14ac:dyDescent="0.25"/>
  <cols>
    <col min="1" max="1" width="12" customWidth="1"/>
    <col min="2" max="2" width="20" customWidth="1"/>
    <col min="3" max="3" width="24" customWidth="1"/>
    <col min="4" max="4" width="10" customWidth="1"/>
    <col min="5" max="5" width="9" customWidth="1"/>
    <col min="6" max="6" width="32" customWidth="1"/>
    <col min="7" max="7" width="24" customWidth="1"/>
    <col min="8" max="8" width="34" customWidth="1"/>
    <col min="9" max="9" width="16" customWidth="1"/>
    <col min="10" max="10" width="42" customWidth="1"/>
    <col min="11" max="11" width="26" customWidth="1"/>
    <col min="12" max="12" width="11" customWidth="1"/>
    <col min="13" max="14" width="10" customWidth="1"/>
    <col min="15" max="15" width="30" customWidth="1"/>
  </cols>
  <sheetData>
    <row r="1" spans="1:15" ht="24" customHeight="1" x14ac:dyDescent="0.25">
      <c r="A1" s="1" t="s">
        <v>436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" customHeight="1" x14ac:dyDescent="0.25">
      <c r="A2" s="52" t="s">
        <v>437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4" spans="1:15" ht="27.75" customHeight="1" x14ac:dyDescent="0.25">
      <c r="A4" s="34" t="s">
        <v>13</v>
      </c>
      <c r="B4" s="34" t="s">
        <v>15</v>
      </c>
      <c r="C4" s="34" t="s">
        <v>67</v>
      </c>
      <c r="D4" s="34" t="s">
        <v>438</v>
      </c>
      <c r="E4" s="34" t="s">
        <v>68</v>
      </c>
      <c r="F4" s="34" t="s">
        <v>17</v>
      </c>
      <c r="G4" s="34" t="s">
        <v>19</v>
      </c>
      <c r="H4" s="34" t="s">
        <v>21</v>
      </c>
      <c r="I4" s="34" t="s">
        <v>23</v>
      </c>
      <c r="J4" s="34" t="s">
        <v>25</v>
      </c>
      <c r="K4" s="34" t="s">
        <v>27</v>
      </c>
      <c r="L4" s="34" t="s">
        <v>29</v>
      </c>
      <c r="M4" s="34" t="s">
        <v>31</v>
      </c>
      <c r="N4" s="34" t="s">
        <v>33</v>
      </c>
      <c r="O4" s="34" t="s">
        <v>35</v>
      </c>
    </row>
    <row r="5" spans="1:15" ht="18" customHeight="1" x14ac:dyDescent="0.25">
      <c r="A5" s="53" t="s">
        <v>439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</row>
    <row r="6" spans="1:15" ht="31.5" customHeight="1" x14ac:dyDescent="0.25">
      <c r="A6" s="35" t="s">
        <v>71</v>
      </c>
      <c r="B6" s="36" t="s">
        <v>440</v>
      </c>
      <c r="C6" s="37" t="s">
        <v>74</v>
      </c>
      <c r="D6" s="37" t="s">
        <v>441</v>
      </c>
      <c r="E6" s="38" t="s">
        <v>61</v>
      </c>
      <c r="F6" s="37" t="s">
        <v>442</v>
      </c>
      <c r="G6" s="37" t="s">
        <v>443</v>
      </c>
      <c r="H6" s="37" t="s">
        <v>444</v>
      </c>
      <c r="I6" s="37" t="s">
        <v>445</v>
      </c>
      <c r="J6" s="37" t="s">
        <v>446</v>
      </c>
      <c r="K6" s="37" t="s">
        <v>447</v>
      </c>
      <c r="L6" s="37" t="s">
        <v>75</v>
      </c>
      <c r="M6" s="39" t="s">
        <v>54</v>
      </c>
      <c r="N6" s="37"/>
      <c r="O6" s="37"/>
    </row>
    <row r="7" spans="1:15" ht="31.5" customHeight="1" x14ac:dyDescent="0.25">
      <c r="A7" s="40" t="s">
        <v>76</v>
      </c>
      <c r="B7" s="36" t="s">
        <v>448</v>
      </c>
      <c r="C7" s="41" t="s">
        <v>77</v>
      </c>
      <c r="D7" s="41" t="s">
        <v>441</v>
      </c>
      <c r="E7" s="38" t="s">
        <v>61</v>
      </c>
      <c r="F7" s="41" t="s">
        <v>442</v>
      </c>
      <c r="G7" s="41" t="s">
        <v>447</v>
      </c>
      <c r="H7" s="41" t="s">
        <v>449</v>
      </c>
      <c r="I7" s="41" t="s">
        <v>450</v>
      </c>
      <c r="J7" s="41" t="s">
        <v>451</v>
      </c>
      <c r="K7" s="41" t="s">
        <v>452</v>
      </c>
      <c r="L7" s="42" t="s">
        <v>78</v>
      </c>
      <c r="M7" s="39" t="s">
        <v>54</v>
      </c>
      <c r="N7" s="41"/>
      <c r="O7" s="41"/>
    </row>
    <row r="8" spans="1:15" ht="31.5" customHeight="1" x14ac:dyDescent="0.25">
      <c r="A8" s="35" t="s">
        <v>79</v>
      </c>
      <c r="B8" s="36" t="s">
        <v>448</v>
      </c>
      <c r="C8" s="37" t="s">
        <v>77</v>
      </c>
      <c r="D8" s="37" t="s">
        <v>441</v>
      </c>
      <c r="E8" s="38" t="s">
        <v>61</v>
      </c>
      <c r="F8" s="37" t="s">
        <v>453</v>
      </c>
      <c r="G8" s="37" t="s">
        <v>447</v>
      </c>
      <c r="H8" s="37" t="s">
        <v>454</v>
      </c>
      <c r="I8" s="37" t="s">
        <v>455</v>
      </c>
      <c r="J8" s="37" t="s">
        <v>456</v>
      </c>
      <c r="K8" s="37" t="s">
        <v>457</v>
      </c>
      <c r="L8" s="37" t="s">
        <v>78</v>
      </c>
      <c r="M8" s="39" t="s">
        <v>54</v>
      </c>
      <c r="N8" s="37"/>
      <c r="O8" s="37"/>
    </row>
    <row r="9" spans="1:15" ht="31.5" customHeight="1" x14ac:dyDescent="0.25">
      <c r="A9" s="40" t="s">
        <v>80</v>
      </c>
      <c r="B9" s="36" t="s">
        <v>458</v>
      </c>
      <c r="C9" s="41" t="s">
        <v>81</v>
      </c>
      <c r="D9" s="41" t="s">
        <v>441</v>
      </c>
      <c r="E9" s="38" t="s">
        <v>61</v>
      </c>
      <c r="F9" s="41" t="s">
        <v>459</v>
      </c>
      <c r="G9" s="41" t="s">
        <v>460</v>
      </c>
      <c r="H9" s="41" t="s">
        <v>461</v>
      </c>
      <c r="I9" s="41" t="s">
        <v>462</v>
      </c>
      <c r="J9" s="41" t="s">
        <v>463</v>
      </c>
      <c r="K9" s="41" t="s">
        <v>464</v>
      </c>
      <c r="L9" s="42" t="s">
        <v>78</v>
      </c>
      <c r="M9" s="39" t="s">
        <v>54</v>
      </c>
      <c r="N9" s="41"/>
      <c r="O9" s="41"/>
    </row>
    <row r="10" spans="1:15" ht="31.5" customHeight="1" x14ac:dyDescent="0.25">
      <c r="A10" s="35" t="s">
        <v>82</v>
      </c>
      <c r="B10" s="36" t="s">
        <v>458</v>
      </c>
      <c r="C10" s="37" t="s">
        <v>83</v>
      </c>
      <c r="D10" s="37" t="s">
        <v>441</v>
      </c>
      <c r="E10" s="38" t="s">
        <v>61</v>
      </c>
      <c r="F10" s="37" t="s">
        <v>459</v>
      </c>
      <c r="G10" s="37" t="s">
        <v>465</v>
      </c>
      <c r="H10" s="37" t="s">
        <v>466</v>
      </c>
      <c r="I10" s="37" t="s">
        <v>467</v>
      </c>
      <c r="J10" s="37" t="s">
        <v>468</v>
      </c>
      <c r="K10" s="37" t="s">
        <v>469</v>
      </c>
      <c r="L10" s="37" t="s">
        <v>78</v>
      </c>
      <c r="M10" s="39" t="s">
        <v>54</v>
      </c>
      <c r="N10" s="37"/>
      <c r="O10" s="37"/>
    </row>
    <row r="11" spans="1:15" ht="31.5" customHeight="1" x14ac:dyDescent="0.25">
      <c r="A11" s="40" t="s">
        <v>84</v>
      </c>
      <c r="B11" s="36" t="s">
        <v>458</v>
      </c>
      <c r="C11" s="41" t="s">
        <v>83</v>
      </c>
      <c r="D11" s="41" t="s">
        <v>441</v>
      </c>
      <c r="E11" s="38" t="s">
        <v>61</v>
      </c>
      <c r="F11" s="41" t="s">
        <v>459</v>
      </c>
      <c r="G11" s="41" t="s">
        <v>465</v>
      </c>
      <c r="H11" s="41" t="s">
        <v>470</v>
      </c>
      <c r="I11" s="41" t="s">
        <v>471</v>
      </c>
      <c r="J11" s="41" t="s">
        <v>472</v>
      </c>
      <c r="K11" s="41" t="s">
        <v>473</v>
      </c>
      <c r="L11" s="42" t="s">
        <v>78</v>
      </c>
      <c r="M11" s="39" t="s">
        <v>54</v>
      </c>
      <c r="N11" s="41"/>
      <c r="O11" s="41"/>
    </row>
    <row r="12" spans="1:15" ht="31.5" customHeight="1" x14ac:dyDescent="0.25">
      <c r="A12" s="35" t="s">
        <v>85</v>
      </c>
      <c r="B12" s="36" t="s">
        <v>458</v>
      </c>
      <c r="C12" s="37" t="s">
        <v>83</v>
      </c>
      <c r="D12" s="37" t="s">
        <v>441</v>
      </c>
      <c r="E12" s="38" t="s">
        <v>62</v>
      </c>
      <c r="F12" s="37" t="s">
        <v>474</v>
      </c>
      <c r="G12" s="37" t="s">
        <v>465</v>
      </c>
      <c r="H12" s="37" t="s">
        <v>475</v>
      </c>
      <c r="I12" s="37" t="s">
        <v>476</v>
      </c>
      <c r="J12" s="37" t="s">
        <v>477</v>
      </c>
      <c r="K12" s="37" t="s">
        <v>478</v>
      </c>
      <c r="L12" s="37" t="s">
        <v>78</v>
      </c>
      <c r="M12" s="39" t="s">
        <v>54</v>
      </c>
      <c r="N12" s="37"/>
      <c r="O12" s="37"/>
    </row>
    <row r="13" spans="1:15" ht="18" customHeight="1" x14ac:dyDescent="0.25">
      <c r="A13" s="53" t="s">
        <v>479</v>
      </c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</row>
    <row r="14" spans="1:15" ht="31.5" customHeight="1" x14ac:dyDescent="0.25">
      <c r="A14" s="35" t="s">
        <v>86</v>
      </c>
      <c r="B14" s="36" t="s">
        <v>440</v>
      </c>
      <c r="C14" s="37" t="s">
        <v>88</v>
      </c>
      <c r="D14" s="37" t="s">
        <v>441</v>
      </c>
      <c r="E14" s="38" t="s">
        <v>61</v>
      </c>
      <c r="F14" s="37" t="s">
        <v>480</v>
      </c>
      <c r="G14" s="37" t="s">
        <v>447</v>
      </c>
      <c r="H14" s="37" t="s">
        <v>481</v>
      </c>
      <c r="I14" s="37" t="s">
        <v>482</v>
      </c>
      <c r="J14" s="37" t="s">
        <v>483</v>
      </c>
      <c r="K14" s="37" t="s">
        <v>447</v>
      </c>
      <c r="L14" s="37" t="s">
        <v>75</v>
      </c>
      <c r="M14" s="39" t="s">
        <v>54</v>
      </c>
      <c r="N14" s="37"/>
      <c r="O14" s="37"/>
    </row>
    <row r="15" spans="1:15" ht="31.5" customHeight="1" x14ac:dyDescent="0.25">
      <c r="A15" s="40" t="s">
        <v>89</v>
      </c>
      <c r="B15" s="36" t="s">
        <v>448</v>
      </c>
      <c r="C15" s="41" t="s">
        <v>90</v>
      </c>
      <c r="D15" s="41" t="s">
        <v>441</v>
      </c>
      <c r="E15" s="38" t="s">
        <v>61</v>
      </c>
      <c r="F15" s="41" t="s">
        <v>480</v>
      </c>
      <c r="G15" s="41" t="s">
        <v>447</v>
      </c>
      <c r="H15" s="41" t="s">
        <v>484</v>
      </c>
      <c r="I15" s="41" t="s">
        <v>485</v>
      </c>
      <c r="J15" s="41" t="s">
        <v>486</v>
      </c>
      <c r="K15" s="41" t="s">
        <v>447</v>
      </c>
      <c r="L15" s="42" t="s">
        <v>78</v>
      </c>
      <c r="M15" s="39" t="s">
        <v>54</v>
      </c>
      <c r="N15" s="41"/>
      <c r="O15" s="41"/>
    </row>
    <row r="16" spans="1:15" ht="31.5" customHeight="1" x14ac:dyDescent="0.25">
      <c r="A16" s="35" t="s">
        <v>91</v>
      </c>
      <c r="B16" s="36" t="s">
        <v>440</v>
      </c>
      <c r="C16" s="37" t="s">
        <v>90</v>
      </c>
      <c r="D16" s="37" t="s">
        <v>441</v>
      </c>
      <c r="E16" s="38" t="s">
        <v>61</v>
      </c>
      <c r="F16" s="37" t="s">
        <v>487</v>
      </c>
      <c r="G16" s="37" t="s">
        <v>488</v>
      </c>
      <c r="H16" s="37" t="s">
        <v>489</v>
      </c>
      <c r="I16" s="37" t="s">
        <v>482</v>
      </c>
      <c r="J16" s="37" t="s">
        <v>490</v>
      </c>
      <c r="K16" s="37" t="s">
        <v>447</v>
      </c>
      <c r="L16" s="37" t="s">
        <v>75</v>
      </c>
      <c r="M16" s="39" t="s">
        <v>54</v>
      </c>
      <c r="N16" s="37"/>
      <c r="O16" s="37"/>
    </row>
    <row r="17" spans="1:15" ht="31.5" customHeight="1" x14ac:dyDescent="0.25">
      <c r="A17" s="40" t="s">
        <v>92</v>
      </c>
      <c r="B17" s="36" t="s">
        <v>448</v>
      </c>
      <c r="C17" s="41" t="s">
        <v>90</v>
      </c>
      <c r="D17" s="41" t="s">
        <v>441</v>
      </c>
      <c r="E17" s="38" t="s">
        <v>61</v>
      </c>
      <c r="F17" s="41" t="s">
        <v>487</v>
      </c>
      <c r="G17" s="41" t="s">
        <v>447</v>
      </c>
      <c r="H17" s="41" t="s">
        <v>491</v>
      </c>
      <c r="I17" s="41" t="s">
        <v>492</v>
      </c>
      <c r="J17" s="41" t="s">
        <v>493</v>
      </c>
      <c r="K17" s="41" t="s">
        <v>447</v>
      </c>
      <c r="L17" s="42" t="s">
        <v>78</v>
      </c>
      <c r="M17" s="39" t="s">
        <v>54</v>
      </c>
      <c r="N17" s="41"/>
      <c r="O17" s="41"/>
    </row>
    <row r="18" spans="1:15" ht="31.5" customHeight="1" x14ac:dyDescent="0.25">
      <c r="A18" s="35" t="s">
        <v>93</v>
      </c>
      <c r="B18" s="36" t="s">
        <v>448</v>
      </c>
      <c r="C18" s="37" t="s">
        <v>94</v>
      </c>
      <c r="D18" s="37" t="s">
        <v>441</v>
      </c>
      <c r="E18" s="38" t="s">
        <v>61</v>
      </c>
      <c r="F18" s="37" t="s">
        <v>494</v>
      </c>
      <c r="G18" s="37" t="s">
        <v>495</v>
      </c>
      <c r="H18" s="37" t="s">
        <v>496</v>
      </c>
      <c r="I18" s="37" t="s">
        <v>492</v>
      </c>
      <c r="J18" s="37" t="s">
        <v>497</v>
      </c>
      <c r="K18" s="37" t="s">
        <v>498</v>
      </c>
      <c r="L18" s="37" t="s">
        <v>78</v>
      </c>
      <c r="M18" s="39" t="s">
        <v>54</v>
      </c>
      <c r="N18" s="37"/>
      <c r="O18" s="37"/>
    </row>
    <row r="19" spans="1:15" ht="31.5" customHeight="1" x14ac:dyDescent="0.25">
      <c r="A19" s="40" t="s">
        <v>95</v>
      </c>
      <c r="B19" s="36" t="s">
        <v>448</v>
      </c>
      <c r="C19" s="41" t="s">
        <v>94</v>
      </c>
      <c r="D19" s="41" t="s">
        <v>441</v>
      </c>
      <c r="E19" s="38" t="s">
        <v>61</v>
      </c>
      <c r="F19" s="41" t="s">
        <v>494</v>
      </c>
      <c r="G19" s="41" t="s">
        <v>499</v>
      </c>
      <c r="H19" s="41" t="s">
        <v>500</v>
      </c>
      <c r="I19" s="41" t="s">
        <v>492</v>
      </c>
      <c r="J19" s="41" t="s">
        <v>501</v>
      </c>
      <c r="K19" s="41" t="s">
        <v>447</v>
      </c>
      <c r="L19" s="42" t="s">
        <v>78</v>
      </c>
      <c r="M19" s="39" t="s">
        <v>54</v>
      </c>
      <c r="N19" s="41"/>
      <c r="O19" s="41"/>
    </row>
    <row r="20" spans="1:15" ht="15" customHeight="1" x14ac:dyDescent="0.25">
      <c r="A20" s="54" t="s">
        <v>502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</row>
    <row r="21" spans="1:15" ht="32.25" customHeight="1" x14ac:dyDescent="0.25">
      <c r="A21" s="39" t="s">
        <v>503</v>
      </c>
      <c r="B21" s="39" t="s">
        <v>504</v>
      </c>
      <c r="C21" s="39" t="s">
        <v>505</v>
      </c>
      <c r="D21" s="39" t="s">
        <v>506</v>
      </c>
      <c r="E21" s="39" t="s">
        <v>62</v>
      </c>
      <c r="F21" s="39" t="s">
        <v>507</v>
      </c>
      <c r="G21" s="39" t="s">
        <v>508</v>
      </c>
      <c r="H21" s="39" t="s">
        <v>509</v>
      </c>
      <c r="I21" s="39" t="s">
        <v>510</v>
      </c>
      <c r="J21" s="39" t="s">
        <v>511</v>
      </c>
      <c r="K21" s="39" t="s">
        <v>512</v>
      </c>
      <c r="L21" s="39" t="s">
        <v>75</v>
      </c>
      <c r="M21" s="39" t="s">
        <v>54</v>
      </c>
      <c r="N21" s="39"/>
      <c r="O21" s="39"/>
    </row>
  </sheetData>
  <mergeCells count="5">
    <mergeCell ref="A1:O1"/>
    <mergeCell ref="A2:O2"/>
    <mergeCell ref="A5:O5"/>
    <mergeCell ref="A13:O13"/>
    <mergeCell ref="A20:O20"/>
  </mergeCells>
  <dataValidations count="2">
    <dataValidation type="list" allowBlank="1" sqref="M6:M12 M14:M19 M21" xr:uid="{00000000-0002-0000-0200-000000000000}">
      <formula1>"Not Run,Pass,Fail,Blocked,Skip"</formula1>
      <formula2>0</formula2>
    </dataValidation>
    <dataValidation type="list" allowBlank="1" sqref="E6:E12 E14:E19 E21" xr:uid="{00000000-0002-0000-0200-000001000000}">
      <formula1>"P1,P2,P3"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2"/>
  <sheetViews>
    <sheetView showGridLines="0" zoomScaleNormal="100" workbookViewId="0">
      <pane ySplit="4" topLeftCell="A17" activePane="bottomLeft" state="frozen"/>
      <selection pane="bottomLeft" activeCell="B34" sqref="B34"/>
    </sheetView>
  </sheetViews>
  <sheetFormatPr defaultColWidth="8.7109375" defaultRowHeight="15" x14ac:dyDescent="0.25"/>
  <cols>
    <col min="1" max="1" width="12" customWidth="1"/>
    <col min="2" max="2" width="20" customWidth="1"/>
    <col min="3" max="3" width="24" customWidth="1"/>
    <col min="4" max="4" width="10" customWidth="1"/>
    <col min="5" max="5" width="9" customWidth="1"/>
    <col min="6" max="6" width="32" customWidth="1"/>
    <col min="7" max="7" width="24" customWidth="1"/>
    <col min="8" max="8" width="34" customWidth="1"/>
    <col min="9" max="9" width="16" customWidth="1"/>
    <col min="10" max="10" width="42" customWidth="1"/>
    <col min="11" max="11" width="26" customWidth="1"/>
    <col min="12" max="12" width="11" customWidth="1"/>
    <col min="13" max="14" width="10" customWidth="1"/>
    <col min="15" max="15" width="30" customWidth="1"/>
  </cols>
  <sheetData>
    <row r="1" spans="1:15" ht="24" customHeight="1" x14ac:dyDescent="0.25">
      <c r="A1" s="1" t="s">
        <v>513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" customHeight="1" x14ac:dyDescent="0.25">
      <c r="A2" s="52" t="s">
        <v>437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4" spans="1:15" ht="27.75" customHeight="1" x14ac:dyDescent="0.25">
      <c r="A4" s="34" t="s">
        <v>13</v>
      </c>
      <c r="B4" s="34" t="s">
        <v>15</v>
      </c>
      <c r="C4" s="34" t="s">
        <v>67</v>
      </c>
      <c r="D4" s="34" t="s">
        <v>438</v>
      </c>
      <c r="E4" s="34" t="s">
        <v>68</v>
      </c>
      <c r="F4" s="34" t="s">
        <v>17</v>
      </c>
      <c r="G4" s="34" t="s">
        <v>19</v>
      </c>
      <c r="H4" s="34" t="s">
        <v>21</v>
      </c>
      <c r="I4" s="34" t="s">
        <v>23</v>
      </c>
      <c r="J4" s="34" t="s">
        <v>25</v>
      </c>
      <c r="K4" s="34" t="s">
        <v>27</v>
      </c>
      <c r="L4" s="34" t="s">
        <v>29</v>
      </c>
      <c r="M4" s="34" t="s">
        <v>31</v>
      </c>
      <c r="N4" s="34" t="s">
        <v>33</v>
      </c>
      <c r="O4" s="34" t="s">
        <v>35</v>
      </c>
    </row>
    <row r="5" spans="1:15" ht="18" customHeight="1" x14ac:dyDescent="0.25">
      <c r="A5" s="53" t="s">
        <v>514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</row>
    <row r="6" spans="1:15" ht="31.5" customHeight="1" x14ac:dyDescent="0.25">
      <c r="A6" s="35" t="s">
        <v>96</v>
      </c>
      <c r="B6" s="36" t="s">
        <v>440</v>
      </c>
      <c r="C6" s="37" t="s">
        <v>99</v>
      </c>
      <c r="D6" s="37" t="s">
        <v>441</v>
      </c>
      <c r="E6" s="38" t="s">
        <v>61</v>
      </c>
      <c r="F6" s="37" t="s">
        <v>515</v>
      </c>
      <c r="G6" s="37" t="s">
        <v>460</v>
      </c>
      <c r="H6" s="37" t="s">
        <v>516</v>
      </c>
      <c r="I6" s="37" t="s">
        <v>445</v>
      </c>
      <c r="J6" s="37" t="s">
        <v>517</v>
      </c>
      <c r="K6" s="37" t="s">
        <v>447</v>
      </c>
      <c r="L6" s="37" t="s">
        <v>75</v>
      </c>
      <c r="M6" s="39" t="s">
        <v>54</v>
      </c>
      <c r="N6" s="37"/>
      <c r="O6" s="37"/>
    </row>
    <row r="7" spans="1:15" ht="31.5" customHeight="1" x14ac:dyDescent="0.25">
      <c r="A7" s="40" t="s">
        <v>100</v>
      </c>
      <c r="B7" s="36" t="s">
        <v>448</v>
      </c>
      <c r="C7" s="41" t="s">
        <v>101</v>
      </c>
      <c r="D7" s="41" t="s">
        <v>441</v>
      </c>
      <c r="E7" s="38" t="s">
        <v>61</v>
      </c>
      <c r="F7" s="41" t="s">
        <v>515</v>
      </c>
      <c r="G7" s="41" t="s">
        <v>465</v>
      </c>
      <c r="H7" s="41" t="s">
        <v>518</v>
      </c>
      <c r="I7" s="41" t="s">
        <v>450</v>
      </c>
      <c r="J7" s="41" t="s">
        <v>519</v>
      </c>
      <c r="K7" s="41" t="s">
        <v>520</v>
      </c>
      <c r="L7" s="42" t="s">
        <v>78</v>
      </c>
      <c r="M7" s="39" t="s">
        <v>54</v>
      </c>
      <c r="N7" s="41"/>
      <c r="O7" s="41"/>
    </row>
    <row r="8" spans="1:15" ht="31.5" customHeight="1" x14ac:dyDescent="0.25">
      <c r="A8" s="35" t="s">
        <v>102</v>
      </c>
      <c r="B8" s="36" t="s">
        <v>458</v>
      </c>
      <c r="C8" s="37" t="s">
        <v>103</v>
      </c>
      <c r="D8" s="37" t="s">
        <v>441</v>
      </c>
      <c r="E8" s="38" t="s">
        <v>61</v>
      </c>
      <c r="F8" s="37" t="s">
        <v>515</v>
      </c>
      <c r="G8" s="37" t="s">
        <v>465</v>
      </c>
      <c r="H8" s="37" t="s">
        <v>521</v>
      </c>
      <c r="I8" s="37" t="s">
        <v>522</v>
      </c>
      <c r="J8" s="37" t="s">
        <v>523</v>
      </c>
      <c r="K8" s="37" t="s">
        <v>520</v>
      </c>
      <c r="L8" s="37" t="s">
        <v>78</v>
      </c>
      <c r="M8" s="39" t="s">
        <v>54</v>
      </c>
      <c r="N8" s="37"/>
      <c r="O8" s="37"/>
    </row>
    <row r="9" spans="1:15" ht="31.5" customHeight="1" x14ac:dyDescent="0.25">
      <c r="A9" s="40" t="s">
        <v>104</v>
      </c>
      <c r="B9" s="36" t="s">
        <v>448</v>
      </c>
      <c r="C9" s="41" t="s">
        <v>105</v>
      </c>
      <c r="D9" s="41" t="s">
        <v>441</v>
      </c>
      <c r="E9" s="38" t="s">
        <v>61</v>
      </c>
      <c r="F9" s="41" t="s">
        <v>524</v>
      </c>
      <c r="G9" s="41" t="s">
        <v>465</v>
      </c>
      <c r="H9" s="41" t="s">
        <v>525</v>
      </c>
      <c r="I9" s="41" t="s">
        <v>450</v>
      </c>
      <c r="J9" s="41" t="s">
        <v>526</v>
      </c>
      <c r="K9" s="41" t="s">
        <v>527</v>
      </c>
      <c r="L9" s="42" t="s">
        <v>78</v>
      </c>
      <c r="M9" s="39" t="s">
        <v>54</v>
      </c>
      <c r="N9" s="41"/>
      <c r="O9" s="41"/>
    </row>
    <row r="10" spans="1:15" ht="31.5" customHeight="1" x14ac:dyDescent="0.25">
      <c r="A10" s="35" t="s">
        <v>106</v>
      </c>
      <c r="B10" s="36" t="s">
        <v>448</v>
      </c>
      <c r="C10" s="37" t="s">
        <v>107</v>
      </c>
      <c r="D10" s="37" t="s">
        <v>528</v>
      </c>
      <c r="E10" s="38" t="s">
        <v>61</v>
      </c>
      <c r="F10" s="37" t="s">
        <v>515</v>
      </c>
      <c r="G10" s="37" t="s">
        <v>465</v>
      </c>
      <c r="H10" s="37" t="s">
        <v>529</v>
      </c>
      <c r="I10" s="37" t="s">
        <v>455</v>
      </c>
      <c r="J10" s="37" t="s">
        <v>530</v>
      </c>
      <c r="K10" s="37" t="s">
        <v>531</v>
      </c>
      <c r="L10" s="37" t="s">
        <v>78</v>
      </c>
      <c r="M10" s="39" t="s">
        <v>54</v>
      </c>
      <c r="N10" s="37"/>
      <c r="O10" s="37"/>
    </row>
    <row r="11" spans="1:15" ht="31.5" customHeight="1" x14ac:dyDescent="0.25">
      <c r="A11" s="40" t="s">
        <v>108</v>
      </c>
      <c r="B11" s="36" t="s">
        <v>458</v>
      </c>
      <c r="C11" s="41" t="s">
        <v>109</v>
      </c>
      <c r="D11" s="41" t="s">
        <v>528</v>
      </c>
      <c r="E11" s="38" t="s">
        <v>61</v>
      </c>
      <c r="F11" s="41" t="s">
        <v>532</v>
      </c>
      <c r="G11" s="41" t="s">
        <v>465</v>
      </c>
      <c r="H11" s="41" t="s">
        <v>533</v>
      </c>
      <c r="I11" s="41" t="s">
        <v>482</v>
      </c>
      <c r="J11" s="41" t="s">
        <v>534</v>
      </c>
      <c r="K11" s="41" t="s">
        <v>447</v>
      </c>
      <c r="L11" s="42" t="s">
        <v>75</v>
      </c>
      <c r="M11" s="39" t="s">
        <v>54</v>
      </c>
      <c r="N11" s="41"/>
      <c r="O11" s="41"/>
    </row>
    <row r="12" spans="1:15" ht="31.5" customHeight="1" x14ac:dyDescent="0.25">
      <c r="A12" s="35" t="s">
        <v>110</v>
      </c>
      <c r="B12" s="36" t="s">
        <v>448</v>
      </c>
      <c r="C12" s="37" t="s">
        <v>111</v>
      </c>
      <c r="D12" s="37" t="s">
        <v>528</v>
      </c>
      <c r="E12" s="38" t="s">
        <v>61</v>
      </c>
      <c r="F12" s="37" t="s">
        <v>535</v>
      </c>
      <c r="G12" s="37" t="s">
        <v>465</v>
      </c>
      <c r="H12" s="37" t="s">
        <v>536</v>
      </c>
      <c r="I12" s="37" t="s">
        <v>450</v>
      </c>
      <c r="J12" s="37" t="s">
        <v>537</v>
      </c>
      <c r="K12" s="37" t="s">
        <v>538</v>
      </c>
      <c r="L12" s="37" t="s">
        <v>78</v>
      </c>
      <c r="M12" s="39" t="s">
        <v>54</v>
      </c>
      <c r="N12" s="37"/>
      <c r="O12" s="37"/>
    </row>
    <row r="13" spans="1:15" ht="31.5" customHeight="1" x14ac:dyDescent="0.25">
      <c r="A13" s="40" t="s">
        <v>112</v>
      </c>
      <c r="B13" s="36" t="s">
        <v>448</v>
      </c>
      <c r="C13" s="41" t="s">
        <v>113</v>
      </c>
      <c r="D13" s="41" t="s">
        <v>441</v>
      </c>
      <c r="E13" s="38" t="s">
        <v>61</v>
      </c>
      <c r="F13" s="41" t="s">
        <v>539</v>
      </c>
      <c r="G13" s="41" t="s">
        <v>540</v>
      </c>
      <c r="H13" s="41" t="s">
        <v>541</v>
      </c>
      <c r="I13" s="41" t="s">
        <v>542</v>
      </c>
      <c r="J13" s="41" t="s">
        <v>543</v>
      </c>
      <c r="K13" s="41" t="s">
        <v>544</v>
      </c>
      <c r="L13" s="42" t="s">
        <v>78</v>
      </c>
      <c r="M13" s="39" t="s">
        <v>54</v>
      </c>
      <c r="N13" s="41"/>
      <c r="O13" s="41"/>
    </row>
    <row r="14" spans="1:15" ht="18" customHeight="1" x14ac:dyDescent="0.25">
      <c r="A14" s="53" t="s">
        <v>545</v>
      </c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</row>
    <row r="15" spans="1:15" ht="31.5" customHeight="1" x14ac:dyDescent="0.25">
      <c r="A15" s="35" t="s">
        <v>114</v>
      </c>
      <c r="B15" s="36" t="s">
        <v>440</v>
      </c>
      <c r="C15" s="37" t="s">
        <v>116</v>
      </c>
      <c r="D15" s="37" t="s">
        <v>546</v>
      </c>
      <c r="E15" s="38" t="s">
        <v>61</v>
      </c>
      <c r="F15" s="37" t="s">
        <v>115</v>
      </c>
      <c r="G15" s="37" t="s">
        <v>547</v>
      </c>
      <c r="H15" s="37" t="s">
        <v>548</v>
      </c>
      <c r="I15" s="37" t="s">
        <v>482</v>
      </c>
      <c r="J15" s="37" t="s">
        <v>549</v>
      </c>
      <c r="K15" s="37" t="s">
        <v>447</v>
      </c>
      <c r="L15" s="37" t="s">
        <v>75</v>
      </c>
      <c r="M15" s="39" t="s">
        <v>54</v>
      </c>
      <c r="N15" s="37"/>
      <c r="O15" s="37"/>
    </row>
    <row r="16" spans="1:15" ht="31.5" customHeight="1" x14ac:dyDescent="0.25">
      <c r="A16" s="40" t="s">
        <v>117</v>
      </c>
      <c r="B16" s="36" t="s">
        <v>448</v>
      </c>
      <c r="C16" s="41" t="s">
        <v>118</v>
      </c>
      <c r="D16" s="41" t="s">
        <v>546</v>
      </c>
      <c r="E16" s="38" t="s">
        <v>61</v>
      </c>
      <c r="F16" s="41" t="s">
        <v>115</v>
      </c>
      <c r="G16" s="41" t="s">
        <v>550</v>
      </c>
      <c r="H16" s="41" t="s">
        <v>551</v>
      </c>
      <c r="I16" s="41" t="s">
        <v>492</v>
      </c>
      <c r="J16" s="41" t="s">
        <v>552</v>
      </c>
      <c r="K16" s="41" t="s">
        <v>553</v>
      </c>
      <c r="L16" s="42" t="s">
        <v>78</v>
      </c>
      <c r="M16" s="39" t="s">
        <v>54</v>
      </c>
      <c r="N16" s="41"/>
      <c r="O16" s="41"/>
    </row>
    <row r="17" spans="1:15" ht="31.5" customHeight="1" x14ac:dyDescent="0.25">
      <c r="A17" s="35" t="s">
        <v>119</v>
      </c>
      <c r="B17" s="36" t="s">
        <v>458</v>
      </c>
      <c r="C17" s="37" t="s">
        <v>120</v>
      </c>
      <c r="D17" s="37" t="s">
        <v>546</v>
      </c>
      <c r="E17" s="38" t="s">
        <v>61</v>
      </c>
      <c r="F17" s="37" t="s">
        <v>115</v>
      </c>
      <c r="G17" s="37" t="s">
        <v>554</v>
      </c>
      <c r="H17" s="37" t="s">
        <v>555</v>
      </c>
      <c r="I17" s="37" t="s">
        <v>556</v>
      </c>
      <c r="J17" s="37" t="s">
        <v>557</v>
      </c>
      <c r="K17" s="37" t="s">
        <v>558</v>
      </c>
      <c r="L17" s="37" t="s">
        <v>78</v>
      </c>
      <c r="M17" s="39" t="s">
        <v>54</v>
      </c>
      <c r="N17" s="37"/>
      <c r="O17" s="37"/>
    </row>
    <row r="18" spans="1:15" ht="31.5" customHeight="1" x14ac:dyDescent="0.25">
      <c r="A18" s="40" t="s">
        <v>121</v>
      </c>
      <c r="B18" s="36" t="s">
        <v>559</v>
      </c>
      <c r="C18" s="41" t="s">
        <v>122</v>
      </c>
      <c r="D18" s="41" t="s">
        <v>546</v>
      </c>
      <c r="E18" s="38" t="s">
        <v>61</v>
      </c>
      <c r="F18" s="41" t="s">
        <v>115</v>
      </c>
      <c r="G18" s="41" t="s">
        <v>554</v>
      </c>
      <c r="H18" s="41" t="s">
        <v>560</v>
      </c>
      <c r="I18" s="41" t="s">
        <v>482</v>
      </c>
      <c r="J18" s="41" t="s">
        <v>561</v>
      </c>
      <c r="K18" s="41" t="s">
        <v>562</v>
      </c>
      <c r="L18" s="42" t="s">
        <v>75</v>
      </c>
      <c r="M18" s="39" t="s">
        <v>54</v>
      </c>
      <c r="N18" s="41"/>
      <c r="O18" s="41"/>
    </row>
    <row r="19" spans="1:15" ht="31.5" customHeight="1" x14ac:dyDescent="0.25">
      <c r="A19" s="35" t="s">
        <v>123</v>
      </c>
      <c r="B19" s="36" t="s">
        <v>458</v>
      </c>
      <c r="C19" s="37" t="s">
        <v>124</v>
      </c>
      <c r="D19" s="37" t="s">
        <v>546</v>
      </c>
      <c r="E19" s="38" t="s">
        <v>61</v>
      </c>
      <c r="F19" s="37" t="s">
        <v>115</v>
      </c>
      <c r="G19" s="37" t="s">
        <v>554</v>
      </c>
      <c r="H19" s="37" t="s">
        <v>563</v>
      </c>
      <c r="I19" s="37" t="s">
        <v>564</v>
      </c>
      <c r="J19" s="37" t="s">
        <v>565</v>
      </c>
      <c r="K19" s="37" t="s">
        <v>566</v>
      </c>
      <c r="L19" s="37" t="s">
        <v>78</v>
      </c>
      <c r="M19" s="39" t="s">
        <v>54</v>
      </c>
      <c r="N19" s="37"/>
      <c r="O19" s="37"/>
    </row>
    <row r="20" spans="1:15" ht="18" customHeight="1" x14ac:dyDescent="0.25">
      <c r="A20" s="53" t="s">
        <v>567</v>
      </c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</row>
    <row r="21" spans="1:15" ht="31.5" customHeight="1" x14ac:dyDescent="0.25">
      <c r="A21" s="35" t="s">
        <v>125</v>
      </c>
      <c r="B21" s="36" t="s">
        <v>448</v>
      </c>
      <c r="C21" s="37" t="s">
        <v>127</v>
      </c>
      <c r="D21" s="37" t="s">
        <v>546</v>
      </c>
      <c r="E21" s="38" t="s">
        <v>61</v>
      </c>
      <c r="F21" s="37" t="s">
        <v>568</v>
      </c>
      <c r="G21" s="37" t="s">
        <v>569</v>
      </c>
      <c r="H21" s="37" t="s">
        <v>570</v>
      </c>
      <c r="I21" s="37" t="s">
        <v>542</v>
      </c>
      <c r="J21" s="37" t="s">
        <v>571</v>
      </c>
      <c r="K21" s="37" t="s">
        <v>572</v>
      </c>
      <c r="L21" s="37" t="s">
        <v>78</v>
      </c>
      <c r="M21" s="39" t="s">
        <v>54</v>
      </c>
      <c r="N21" s="37"/>
      <c r="O21" s="37"/>
    </row>
    <row r="22" spans="1:15" ht="31.5" customHeight="1" x14ac:dyDescent="0.25">
      <c r="A22" s="40" t="s">
        <v>128</v>
      </c>
      <c r="B22" s="36" t="s">
        <v>448</v>
      </c>
      <c r="C22" s="41" t="s">
        <v>127</v>
      </c>
      <c r="D22" s="41" t="s">
        <v>546</v>
      </c>
      <c r="E22" s="38" t="s">
        <v>61</v>
      </c>
      <c r="F22" s="41" t="s">
        <v>568</v>
      </c>
      <c r="G22" s="41" t="s">
        <v>573</v>
      </c>
      <c r="H22" s="41" t="s">
        <v>574</v>
      </c>
      <c r="I22" s="41" t="s">
        <v>455</v>
      </c>
      <c r="J22" s="41" t="s">
        <v>575</v>
      </c>
      <c r="K22" s="41" t="s">
        <v>576</v>
      </c>
      <c r="L22" s="42" t="s">
        <v>78</v>
      </c>
      <c r="M22" s="39" t="s">
        <v>54</v>
      </c>
      <c r="N22" s="41"/>
      <c r="O22" s="41"/>
    </row>
    <row r="23" spans="1:15" ht="31.5" customHeight="1" x14ac:dyDescent="0.25">
      <c r="A23" s="35" t="s">
        <v>129</v>
      </c>
      <c r="B23" s="36" t="s">
        <v>458</v>
      </c>
      <c r="C23" s="37" t="s">
        <v>130</v>
      </c>
      <c r="D23" s="37" t="s">
        <v>546</v>
      </c>
      <c r="E23" s="38" t="s">
        <v>61</v>
      </c>
      <c r="F23" s="37" t="s">
        <v>577</v>
      </c>
      <c r="G23" s="37" t="s">
        <v>569</v>
      </c>
      <c r="H23" s="37" t="s">
        <v>578</v>
      </c>
      <c r="I23" s="37" t="s">
        <v>579</v>
      </c>
      <c r="J23" s="37" t="s">
        <v>580</v>
      </c>
      <c r="K23" s="37" t="s">
        <v>447</v>
      </c>
      <c r="L23" s="37" t="s">
        <v>78</v>
      </c>
      <c r="M23" s="39" t="s">
        <v>54</v>
      </c>
      <c r="N23" s="37"/>
      <c r="O23" s="37"/>
    </row>
    <row r="24" spans="1:15" ht="31.5" customHeight="1" x14ac:dyDescent="0.25">
      <c r="A24" s="40" t="s">
        <v>131</v>
      </c>
      <c r="B24" s="36" t="s">
        <v>559</v>
      </c>
      <c r="C24" s="41" t="s">
        <v>132</v>
      </c>
      <c r="D24" s="41" t="s">
        <v>546</v>
      </c>
      <c r="E24" s="38" t="s">
        <v>61</v>
      </c>
      <c r="F24" s="41" t="s">
        <v>568</v>
      </c>
      <c r="G24" s="41" t="s">
        <v>573</v>
      </c>
      <c r="H24" s="41" t="s">
        <v>581</v>
      </c>
      <c r="I24" s="41" t="s">
        <v>482</v>
      </c>
      <c r="J24" s="41" t="s">
        <v>582</v>
      </c>
      <c r="K24" s="41" t="s">
        <v>562</v>
      </c>
      <c r="L24" s="42" t="s">
        <v>75</v>
      </c>
      <c r="M24" s="39" t="s">
        <v>54</v>
      </c>
      <c r="N24" s="41"/>
      <c r="O24" s="41"/>
    </row>
    <row r="25" spans="1:15" ht="18" customHeight="1" x14ac:dyDescent="0.25">
      <c r="A25" s="53" t="s">
        <v>583</v>
      </c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</row>
    <row r="26" spans="1:15" ht="31.5" customHeight="1" x14ac:dyDescent="0.25">
      <c r="A26" s="35" t="s">
        <v>133</v>
      </c>
      <c r="B26" s="36" t="s">
        <v>440</v>
      </c>
      <c r="C26" s="37" t="s">
        <v>135</v>
      </c>
      <c r="D26" s="37" t="s">
        <v>441</v>
      </c>
      <c r="E26" s="38" t="s">
        <v>61</v>
      </c>
      <c r="F26" s="37" t="s">
        <v>584</v>
      </c>
      <c r="G26" s="37" t="s">
        <v>460</v>
      </c>
      <c r="H26" s="37" t="s">
        <v>585</v>
      </c>
      <c r="I26" s="37" t="s">
        <v>482</v>
      </c>
      <c r="J26" s="37" t="s">
        <v>586</v>
      </c>
      <c r="K26" s="37" t="s">
        <v>447</v>
      </c>
      <c r="L26" s="37" t="s">
        <v>75</v>
      </c>
      <c r="M26" s="39" t="s">
        <v>54</v>
      </c>
      <c r="N26" s="37"/>
      <c r="O26" s="37"/>
    </row>
    <row r="27" spans="1:15" ht="31.5" customHeight="1" x14ac:dyDescent="0.25">
      <c r="A27" s="40" t="s">
        <v>136</v>
      </c>
      <c r="B27" s="36" t="s">
        <v>458</v>
      </c>
      <c r="C27" s="41" t="s">
        <v>137</v>
      </c>
      <c r="D27" s="41" t="s">
        <v>441</v>
      </c>
      <c r="E27" s="38" t="s">
        <v>61</v>
      </c>
      <c r="F27" s="41" t="s">
        <v>587</v>
      </c>
      <c r="G27" s="41" t="s">
        <v>460</v>
      </c>
      <c r="H27" s="41" t="s">
        <v>588</v>
      </c>
      <c r="I27" s="41" t="s">
        <v>482</v>
      </c>
      <c r="J27" s="41" t="s">
        <v>589</v>
      </c>
      <c r="K27" s="41" t="s">
        <v>447</v>
      </c>
      <c r="L27" s="42" t="s">
        <v>75</v>
      </c>
      <c r="M27" s="39" t="s">
        <v>54</v>
      </c>
      <c r="N27" s="41"/>
      <c r="O27" s="41"/>
    </row>
    <row r="28" spans="1:15" ht="31.5" customHeight="1" x14ac:dyDescent="0.25">
      <c r="A28" s="35" t="s">
        <v>138</v>
      </c>
      <c r="B28" s="36" t="s">
        <v>448</v>
      </c>
      <c r="C28" s="37" t="s">
        <v>139</v>
      </c>
      <c r="D28" s="37" t="s">
        <v>441</v>
      </c>
      <c r="E28" s="38" t="s">
        <v>61</v>
      </c>
      <c r="F28" s="37" t="s">
        <v>590</v>
      </c>
      <c r="G28" s="37" t="s">
        <v>460</v>
      </c>
      <c r="H28" s="37" t="s">
        <v>591</v>
      </c>
      <c r="I28" s="37" t="s">
        <v>450</v>
      </c>
      <c r="J28" s="37" t="s">
        <v>592</v>
      </c>
      <c r="K28" s="37" t="s">
        <v>593</v>
      </c>
      <c r="L28" s="37" t="s">
        <v>78</v>
      </c>
      <c r="M28" s="39" t="s">
        <v>54</v>
      </c>
      <c r="N28" s="37"/>
      <c r="O28" s="37"/>
    </row>
    <row r="29" spans="1:15" ht="31.5" customHeight="1" x14ac:dyDescent="0.25">
      <c r="A29" s="40" t="s">
        <v>140</v>
      </c>
      <c r="B29" s="36" t="s">
        <v>448</v>
      </c>
      <c r="C29" s="41" t="s">
        <v>141</v>
      </c>
      <c r="D29" s="41" t="s">
        <v>546</v>
      </c>
      <c r="E29" s="38" t="s">
        <v>61</v>
      </c>
      <c r="F29" s="41" t="s">
        <v>594</v>
      </c>
      <c r="G29" s="41" t="s">
        <v>569</v>
      </c>
      <c r="H29" s="41" t="s">
        <v>595</v>
      </c>
      <c r="I29" s="41" t="s">
        <v>455</v>
      </c>
      <c r="J29" s="41" t="s">
        <v>596</v>
      </c>
      <c r="K29" s="41" t="s">
        <v>597</v>
      </c>
      <c r="L29" s="42" t="s">
        <v>78</v>
      </c>
      <c r="M29" s="39" t="s">
        <v>54</v>
      </c>
      <c r="N29" s="41"/>
      <c r="O29" s="41"/>
    </row>
    <row r="30" spans="1:15" ht="31.5" customHeight="1" x14ac:dyDescent="0.25">
      <c r="A30" s="35" t="s">
        <v>142</v>
      </c>
      <c r="B30" s="36" t="s">
        <v>448</v>
      </c>
      <c r="C30" s="37" t="s">
        <v>143</v>
      </c>
      <c r="D30" s="37" t="s">
        <v>546</v>
      </c>
      <c r="E30" s="38" t="s">
        <v>61</v>
      </c>
      <c r="F30" s="37" t="s">
        <v>594</v>
      </c>
      <c r="G30" s="37" t="s">
        <v>569</v>
      </c>
      <c r="H30" s="37" t="s">
        <v>598</v>
      </c>
      <c r="I30" s="37" t="s">
        <v>450</v>
      </c>
      <c r="J30" s="37" t="s">
        <v>599</v>
      </c>
      <c r="K30" s="37" t="s">
        <v>600</v>
      </c>
      <c r="L30" s="37" t="s">
        <v>78</v>
      </c>
      <c r="M30" s="39" t="s">
        <v>54</v>
      </c>
      <c r="N30" s="37"/>
      <c r="O30" s="37"/>
    </row>
    <row r="31" spans="1:15" ht="15" customHeight="1" x14ac:dyDescent="0.25">
      <c r="A31" s="54" t="s">
        <v>502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</row>
    <row r="32" spans="1:15" ht="32.25" customHeight="1" x14ac:dyDescent="0.25">
      <c r="A32" s="39" t="s">
        <v>503</v>
      </c>
      <c r="B32" s="39" t="s">
        <v>504</v>
      </c>
      <c r="C32" s="39" t="s">
        <v>505</v>
      </c>
      <c r="D32" s="39" t="s">
        <v>506</v>
      </c>
      <c r="E32" s="39" t="s">
        <v>62</v>
      </c>
      <c r="F32" s="39" t="s">
        <v>507</v>
      </c>
      <c r="G32" s="39" t="s">
        <v>508</v>
      </c>
      <c r="H32" s="39" t="s">
        <v>509</v>
      </c>
      <c r="I32" s="39" t="s">
        <v>510</v>
      </c>
      <c r="J32" s="39" t="s">
        <v>511</v>
      </c>
      <c r="K32" s="39" t="s">
        <v>512</v>
      </c>
      <c r="L32" s="39" t="s">
        <v>75</v>
      </c>
      <c r="M32" s="39" t="s">
        <v>54</v>
      </c>
      <c r="N32" s="39"/>
      <c r="O32" s="39"/>
    </row>
  </sheetData>
  <mergeCells count="7">
    <mergeCell ref="A25:O25"/>
    <mergeCell ref="A31:O31"/>
    <mergeCell ref="A1:O1"/>
    <mergeCell ref="A2:O2"/>
    <mergeCell ref="A5:O5"/>
    <mergeCell ref="A14:O14"/>
    <mergeCell ref="A20:O20"/>
  </mergeCells>
  <dataValidations count="2">
    <dataValidation type="list" allowBlank="1" sqref="M6:M13 M15:M19 M21:M24 M26:M30 M32" xr:uid="{00000000-0002-0000-0300-000000000000}">
      <formula1>"Not Run,Pass,Fail,Blocked,Skip"</formula1>
      <formula2>0</formula2>
    </dataValidation>
    <dataValidation type="list" allowBlank="1" sqref="E6:E13 E15:E19 E21:E24 E26:E30 E32" xr:uid="{00000000-0002-0000-0300-000001000000}">
      <formula1>"P1,P2,P3"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5"/>
  <sheetViews>
    <sheetView showGridLines="0" zoomScaleNormal="100" workbookViewId="0">
      <pane ySplit="4" topLeftCell="A5" activePane="bottomLeft" state="frozen"/>
      <selection pane="bottomLeft" activeCell="O6" sqref="O6:O13"/>
    </sheetView>
  </sheetViews>
  <sheetFormatPr defaultColWidth="8.7109375" defaultRowHeight="15" x14ac:dyDescent="0.25"/>
  <cols>
    <col min="1" max="1" width="12" customWidth="1"/>
    <col min="2" max="2" width="20" customWidth="1"/>
    <col min="3" max="3" width="24" customWidth="1"/>
    <col min="4" max="4" width="10" customWidth="1"/>
    <col min="5" max="5" width="9" customWidth="1"/>
    <col min="6" max="6" width="32" customWidth="1"/>
    <col min="7" max="7" width="24" customWidth="1"/>
    <col min="8" max="8" width="34" customWidth="1"/>
    <col min="9" max="9" width="16" customWidth="1"/>
    <col min="10" max="10" width="42" customWidth="1"/>
    <col min="11" max="11" width="26" customWidth="1"/>
    <col min="12" max="12" width="11" customWidth="1"/>
    <col min="13" max="14" width="10" customWidth="1"/>
    <col min="15" max="15" width="30" customWidth="1"/>
  </cols>
  <sheetData>
    <row r="1" spans="1:15" ht="24" customHeight="1" x14ac:dyDescent="0.25">
      <c r="A1" s="1" t="s">
        <v>601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" customHeight="1" x14ac:dyDescent="0.25">
      <c r="A2" s="52" t="s">
        <v>437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4" spans="1:15" ht="27.75" customHeight="1" x14ac:dyDescent="0.25">
      <c r="A4" s="34" t="s">
        <v>13</v>
      </c>
      <c r="B4" s="34" t="s">
        <v>15</v>
      </c>
      <c r="C4" s="34" t="s">
        <v>67</v>
      </c>
      <c r="D4" s="34" t="s">
        <v>438</v>
      </c>
      <c r="E4" s="34" t="s">
        <v>68</v>
      </c>
      <c r="F4" s="34" t="s">
        <v>17</v>
      </c>
      <c r="G4" s="34" t="s">
        <v>19</v>
      </c>
      <c r="H4" s="34" t="s">
        <v>21</v>
      </c>
      <c r="I4" s="34" t="s">
        <v>23</v>
      </c>
      <c r="J4" s="34" t="s">
        <v>25</v>
      </c>
      <c r="K4" s="34" t="s">
        <v>27</v>
      </c>
      <c r="L4" s="34" t="s">
        <v>29</v>
      </c>
      <c r="M4" s="34" t="s">
        <v>31</v>
      </c>
      <c r="N4" s="34" t="s">
        <v>33</v>
      </c>
      <c r="O4" s="34" t="s">
        <v>35</v>
      </c>
    </row>
    <row r="5" spans="1:15" ht="18" customHeight="1" x14ac:dyDescent="0.25">
      <c r="A5" s="53" t="s">
        <v>602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</row>
    <row r="6" spans="1:15" ht="31.5" customHeight="1" x14ac:dyDescent="0.25">
      <c r="A6" s="35" t="s">
        <v>144</v>
      </c>
      <c r="B6" s="36" t="s">
        <v>440</v>
      </c>
      <c r="C6" s="37" t="s">
        <v>147</v>
      </c>
      <c r="D6" s="37" t="s">
        <v>528</v>
      </c>
      <c r="E6" s="38" t="s">
        <v>61</v>
      </c>
      <c r="F6" s="37" t="s">
        <v>535</v>
      </c>
      <c r="G6" s="37" t="s">
        <v>460</v>
      </c>
      <c r="H6" s="37" t="s">
        <v>603</v>
      </c>
      <c r="I6" s="37" t="s">
        <v>445</v>
      </c>
      <c r="J6" s="37" t="s">
        <v>604</v>
      </c>
      <c r="K6" s="37" t="s">
        <v>447</v>
      </c>
      <c r="L6" s="37" t="s">
        <v>75</v>
      </c>
      <c r="M6" s="39" t="s">
        <v>54</v>
      </c>
      <c r="N6" s="37"/>
      <c r="O6" s="43"/>
    </row>
    <row r="7" spans="1:15" ht="31.5" customHeight="1" x14ac:dyDescent="0.25">
      <c r="A7" s="40" t="s">
        <v>148</v>
      </c>
      <c r="B7" s="36" t="s">
        <v>440</v>
      </c>
      <c r="C7" s="41" t="s">
        <v>149</v>
      </c>
      <c r="D7" s="41" t="s">
        <v>528</v>
      </c>
      <c r="E7" s="38" t="s">
        <v>61</v>
      </c>
      <c r="F7" s="41" t="s">
        <v>605</v>
      </c>
      <c r="G7" s="41" t="s">
        <v>606</v>
      </c>
      <c r="H7" s="41" t="s">
        <v>607</v>
      </c>
      <c r="I7" s="41" t="s">
        <v>482</v>
      </c>
      <c r="J7" s="41" t="s">
        <v>608</v>
      </c>
      <c r="K7" s="41" t="s">
        <v>447</v>
      </c>
      <c r="L7" s="41" t="s">
        <v>75</v>
      </c>
      <c r="M7" s="39" t="s">
        <v>54</v>
      </c>
      <c r="N7" s="41"/>
      <c r="O7" s="44"/>
    </row>
    <row r="8" spans="1:15" ht="31.5" customHeight="1" x14ac:dyDescent="0.25">
      <c r="A8" s="35" t="s">
        <v>150</v>
      </c>
      <c r="B8" s="36" t="s">
        <v>448</v>
      </c>
      <c r="C8" s="37" t="s">
        <v>151</v>
      </c>
      <c r="D8" s="37" t="s">
        <v>528</v>
      </c>
      <c r="E8" s="38" t="s">
        <v>61</v>
      </c>
      <c r="F8" s="37" t="s">
        <v>609</v>
      </c>
      <c r="G8" s="37" t="s">
        <v>569</v>
      </c>
      <c r="H8" s="37" t="s">
        <v>610</v>
      </c>
      <c r="I8" s="37" t="s">
        <v>542</v>
      </c>
      <c r="J8" s="37" t="s">
        <v>611</v>
      </c>
      <c r="K8" s="37" t="s">
        <v>612</v>
      </c>
      <c r="L8" s="37" t="s">
        <v>78</v>
      </c>
      <c r="M8" s="39" t="s">
        <v>54</v>
      </c>
      <c r="N8" s="37"/>
      <c r="O8" s="43"/>
    </row>
    <row r="9" spans="1:15" ht="31.5" customHeight="1" x14ac:dyDescent="0.25">
      <c r="A9" s="40" t="s">
        <v>152</v>
      </c>
      <c r="B9" s="36" t="s">
        <v>448</v>
      </c>
      <c r="C9" s="41" t="s">
        <v>153</v>
      </c>
      <c r="D9" s="41" t="s">
        <v>528</v>
      </c>
      <c r="E9" s="38" t="s">
        <v>61</v>
      </c>
      <c r="F9" s="41" t="s">
        <v>613</v>
      </c>
      <c r="G9" s="41" t="s">
        <v>460</v>
      </c>
      <c r="H9" s="41" t="s">
        <v>614</v>
      </c>
      <c r="I9" s="41" t="s">
        <v>450</v>
      </c>
      <c r="J9" s="41" t="s">
        <v>615</v>
      </c>
      <c r="K9" s="41" t="s">
        <v>616</v>
      </c>
      <c r="L9" s="41" t="s">
        <v>78</v>
      </c>
      <c r="M9" s="39" t="s">
        <v>54</v>
      </c>
      <c r="N9" s="41"/>
      <c r="O9" s="44"/>
    </row>
    <row r="10" spans="1:15" ht="31.5" customHeight="1" x14ac:dyDescent="0.25">
      <c r="A10" s="35" t="s">
        <v>154</v>
      </c>
      <c r="B10" s="36" t="s">
        <v>458</v>
      </c>
      <c r="C10" s="37" t="s">
        <v>155</v>
      </c>
      <c r="D10" s="37" t="s">
        <v>528</v>
      </c>
      <c r="E10" s="38" t="s">
        <v>61</v>
      </c>
      <c r="F10" s="37" t="s">
        <v>617</v>
      </c>
      <c r="G10" s="37" t="s">
        <v>460</v>
      </c>
      <c r="H10" s="37" t="s">
        <v>618</v>
      </c>
      <c r="I10" s="37" t="s">
        <v>450</v>
      </c>
      <c r="J10" s="37" t="s">
        <v>619</v>
      </c>
      <c r="K10" s="37" t="s">
        <v>620</v>
      </c>
      <c r="L10" s="37" t="s">
        <v>78</v>
      </c>
      <c r="M10" s="39" t="s">
        <v>54</v>
      </c>
      <c r="N10" s="37"/>
      <c r="O10" s="43"/>
    </row>
    <row r="11" spans="1:15" ht="31.5" customHeight="1" x14ac:dyDescent="0.25">
      <c r="A11" s="40" t="s">
        <v>156</v>
      </c>
      <c r="B11" s="36" t="s">
        <v>448</v>
      </c>
      <c r="C11" s="41" t="s">
        <v>157</v>
      </c>
      <c r="D11" s="41" t="s">
        <v>528</v>
      </c>
      <c r="E11" s="38" t="s">
        <v>62</v>
      </c>
      <c r="F11" s="41" t="s">
        <v>621</v>
      </c>
      <c r="G11" s="41" t="s">
        <v>569</v>
      </c>
      <c r="H11" s="41" t="s">
        <v>622</v>
      </c>
      <c r="I11" s="41" t="s">
        <v>623</v>
      </c>
      <c r="J11" s="41" t="s">
        <v>624</v>
      </c>
      <c r="K11" s="41" t="s">
        <v>612</v>
      </c>
      <c r="L11" s="41" t="s">
        <v>78</v>
      </c>
      <c r="M11" s="39" t="s">
        <v>54</v>
      </c>
      <c r="N11" s="41"/>
      <c r="O11" s="44"/>
    </row>
    <row r="12" spans="1:15" ht="31.5" customHeight="1" x14ac:dyDescent="0.25">
      <c r="A12" s="35" t="s">
        <v>158</v>
      </c>
      <c r="B12" s="36" t="s">
        <v>448</v>
      </c>
      <c r="C12" s="37" t="s">
        <v>159</v>
      </c>
      <c r="D12" s="37" t="s">
        <v>528</v>
      </c>
      <c r="E12" s="38" t="s">
        <v>61</v>
      </c>
      <c r="F12" s="37" t="s">
        <v>625</v>
      </c>
      <c r="G12" s="37" t="s">
        <v>626</v>
      </c>
      <c r="H12" s="37" t="s">
        <v>627</v>
      </c>
      <c r="I12" s="37" t="s">
        <v>542</v>
      </c>
      <c r="J12" s="37" t="s">
        <v>628</v>
      </c>
      <c r="K12" s="37" t="s">
        <v>612</v>
      </c>
      <c r="L12" s="37" t="s">
        <v>78</v>
      </c>
      <c r="M12" s="39" t="s">
        <v>54</v>
      </c>
      <c r="N12" s="37"/>
      <c r="O12" s="43"/>
    </row>
    <row r="13" spans="1:15" ht="31.5" customHeight="1" x14ac:dyDescent="0.25">
      <c r="A13" s="40" t="s">
        <v>160</v>
      </c>
      <c r="B13" s="36" t="s">
        <v>458</v>
      </c>
      <c r="C13" s="41" t="s">
        <v>161</v>
      </c>
      <c r="D13" s="41" t="s">
        <v>528</v>
      </c>
      <c r="E13" s="38" t="s">
        <v>61</v>
      </c>
      <c r="F13" s="41" t="s">
        <v>629</v>
      </c>
      <c r="G13" s="41" t="s">
        <v>460</v>
      </c>
      <c r="H13" s="41" t="s">
        <v>630</v>
      </c>
      <c r="I13" s="41" t="s">
        <v>522</v>
      </c>
      <c r="J13" s="41" t="s">
        <v>631</v>
      </c>
      <c r="K13" s="41" t="s">
        <v>632</v>
      </c>
      <c r="L13" s="41" t="s">
        <v>78</v>
      </c>
      <c r="M13" s="39" t="s">
        <v>54</v>
      </c>
      <c r="N13" s="41"/>
      <c r="O13" s="44"/>
    </row>
    <row r="14" spans="1:15" ht="15" customHeight="1" x14ac:dyDescent="0.25">
      <c r="A14" s="54" t="s">
        <v>502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</row>
    <row r="15" spans="1:15" ht="32.25" customHeight="1" x14ac:dyDescent="0.25">
      <c r="A15" s="39" t="s">
        <v>503</v>
      </c>
      <c r="B15" s="39" t="s">
        <v>504</v>
      </c>
      <c r="C15" s="39" t="s">
        <v>505</v>
      </c>
      <c r="D15" s="39" t="s">
        <v>506</v>
      </c>
      <c r="E15" s="39" t="s">
        <v>62</v>
      </c>
      <c r="F15" s="39" t="s">
        <v>507</v>
      </c>
      <c r="G15" s="39" t="s">
        <v>508</v>
      </c>
      <c r="H15" s="39" t="s">
        <v>509</v>
      </c>
      <c r="I15" s="39" t="s">
        <v>510</v>
      </c>
      <c r="J15" s="39" t="s">
        <v>511</v>
      </c>
      <c r="K15" s="39" t="s">
        <v>512</v>
      </c>
      <c r="L15" s="39" t="s">
        <v>75</v>
      </c>
      <c r="M15" s="39" t="s">
        <v>54</v>
      </c>
      <c r="N15" s="39"/>
      <c r="O15" s="39"/>
    </row>
  </sheetData>
  <mergeCells count="4">
    <mergeCell ref="A1:O1"/>
    <mergeCell ref="A2:O2"/>
    <mergeCell ref="A5:O5"/>
    <mergeCell ref="A14:O14"/>
  </mergeCells>
  <dataValidations count="2">
    <dataValidation type="list" allowBlank="1" sqref="M6:M13 M15" xr:uid="{00000000-0002-0000-0400-000000000000}">
      <formula1>"Not Run,Pass,Fail,Blocked,Skip"</formula1>
      <formula2>0</formula2>
    </dataValidation>
    <dataValidation type="list" allowBlank="1" sqref="E6:E13 E15" xr:uid="{00000000-0002-0000-0400-000001000000}">
      <formula1>"P1,P2,P3"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6"/>
  <sheetViews>
    <sheetView showGridLines="0" zoomScaleNormal="100" workbookViewId="0">
      <pane ySplit="4" topLeftCell="A5" activePane="bottomLeft" state="frozen"/>
      <selection pane="bottomLeft" activeCell="O16" sqref="O16:O24"/>
    </sheetView>
  </sheetViews>
  <sheetFormatPr defaultColWidth="8.7109375" defaultRowHeight="15" x14ac:dyDescent="0.25"/>
  <cols>
    <col min="1" max="1" width="12" customWidth="1"/>
    <col min="2" max="2" width="20" customWidth="1"/>
    <col min="3" max="3" width="24" customWidth="1"/>
    <col min="4" max="4" width="10" customWidth="1"/>
    <col min="5" max="5" width="9" customWidth="1"/>
    <col min="6" max="6" width="32" customWidth="1"/>
    <col min="7" max="7" width="24" customWidth="1"/>
    <col min="8" max="8" width="34" customWidth="1"/>
    <col min="9" max="9" width="16" customWidth="1"/>
    <col min="10" max="10" width="42" customWidth="1"/>
    <col min="11" max="11" width="26" customWidth="1"/>
    <col min="12" max="12" width="11" customWidth="1"/>
    <col min="13" max="14" width="10" customWidth="1"/>
    <col min="15" max="15" width="30" customWidth="1"/>
  </cols>
  <sheetData>
    <row r="1" spans="1:15" ht="24" customHeight="1" x14ac:dyDescent="0.25">
      <c r="A1" s="1" t="s">
        <v>633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" customHeight="1" x14ac:dyDescent="0.25">
      <c r="A2" s="52" t="s">
        <v>437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4" spans="1:15" ht="27.75" customHeight="1" x14ac:dyDescent="0.25">
      <c r="A4" s="34" t="s">
        <v>13</v>
      </c>
      <c r="B4" s="34" t="s">
        <v>15</v>
      </c>
      <c r="C4" s="34" t="s">
        <v>67</v>
      </c>
      <c r="D4" s="34" t="s">
        <v>438</v>
      </c>
      <c r="E4" s="34" t="s">
        <v>68</v>
      </c>
      <c r="F4" s="34" t="s">
        <v>17</v>
      </c>
      <c r="G4" s="34" t="s">
        <v>19</v>
      </c>
      <c r="H4" s="34" t="s">
        <v>21</v>
      </c>
      <c r="I4" s="34" t="s">
        <v>23</v>
      </c>
      <c r="J4" s="34" t="s">
        <v>25</v>
      </c>
      <c r="K4" s="34" t="s">
        <v>27</v>
      </c>
      <c r="L4" s="34" t="s">
        <v>29</v>
      </c>
      <c r="M4" s="34" t="s">
        <v>31</v>
      </c>
      <c r="N4" s="34" t="s">
        <v>33</v>
      </c>
      <c r="O4" s="34" t="s">
        <v>35</v>
      </c>
    </row>
    <row r="5" spans="1:15" ht="18" customHeight="1" x14ac:dyDescent="0.25">
      <c r="A5" s="53" t="s">
        <v>634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</row>
    <row r="6" spans="1:15" ht="31.5" customHeight="1" x14ac:dyDescent="0.25">
      <c r="A6" s="35" t="s">
        <v>162</v>
      </c>
      <c r="B6" s="36" t="s">
        <v>440</v>
      </c>
      <c r="C6" s="37" t="s">
        <v>165</v>
      </c>
      <c r="D6" s="37" t="s">
        <v>635</v>
      </c>
      <c r="E6" s="38" t="s">
        <v>61</v>
      </c>
      <c r="F6" s="37" t="s">
        <v>636</v>
      </c>
      <c r="G6" s="37" t="s">
        <v>637</v>
      </c>
      <c r="H6" s="37" t="s">
        <v>638</v>
      </c>
      <c r="I6" s="37" t="s">
        <v>482</v>
      </c>
      <c r="J6" s="37" t="s">
        <v>639</v>
      </c>
      <c r="K6" s="37" t="s">
        <v>447</v>
      </c>
      <c r="L6" s="37" t="s">
        <v>75</v>
      </c>
      <c r="M6" s="39" t="s">
        <v>54</v>
      </c>
      <c r="N6" s="37"/>
      <c r="O6" s="43"/>
    </row>
    <row r="7" spans="1:15" ht="31.5" customHeight="1" x14ac:dyDescent="0.25">
      <c r="A7" s="40" t="s">
        <v>166</v>
      </c>
      <c r="B7" s="36" t="s">
        <v>448</v>
      </c>
      <c r="C7" s="41" t="s">
        <v>167</v>
      </c>
      <c r="D7" s="41" t="s">
        <v>635</v>
      </c>
      <c r="E7" s="38" t="s">
        <v>61</v>
      </c>
      <c r="F7" s="41" t="s">
        <v>640</v>
      </c>
      <c r="G7" s="41" t="s">
        <v>637</v>
      </c>
      <c r="H7" s="41" t="s">
        <v>641</v>
      </c>
      <c r="I7" s="41" t="s">
        <v>450</v>
      </c>
      <c r="J7" s="41" t="s">
        <v>642</v>
      </c>
      <c r="K7" s="41" t="s">
        <v>643</v>
      </c>
      <c r="L7" s="42" t="s">
        <v>78</v>
      </c>
      <c r="M7" s="39" t="s">
        <v>54</v>
      </c>
      <c r="N7" s="41"/>
      <c r="O7" s="41"/>
    </row>
    <row r="8" spans="1:15" ht="31.5" customHeight="1" x14ac:dyDescent="0.25">
      <c r="A8" s="35" t="s">
        <v>168</v>
      </c>
      <c r="B8" s="36" t="s">
        <v>458</v>
      </c>
      <c r="C8" s="37" t="s">
        <v>169</v>
      </c>
      <c r="D8" s="37" t="s">
        <v>635</v>
      </c>
      <c r="E8" s="38" t="s">
        <v>61</v>
      </c>
      <c r="F8" s="37" t="s">
        <v>644</v>
      </c>
      <c r="G8" s="37" t="s">
        <v>637</v>
      </c>
      <c r="H8" s="37" t="s">
        <v>645</v>
      </c>
      <c r="I8" s="37" t="s">
        <v>646</v>
      </c>
      <c r="J8" s="37" t="s">
        <v>647</v>
      </c>
      <c r="K8" s="37" t="s">
        <v>648</v>
      </c>
      <c r="L8" s="37" t="s">
        <v>78</v>
      </c>
      <c r="M8" s="39" t="s">
        <v>54</v>
      </c>
      <c r="N8" s="37"/>
      <c r="O8" s="43"/>
    </row>
    <row r="9" spans="1:15" ht="31.5" customHeight="1" x14ac:dyDescent="0.25">
      <c r="A9" s="40" t="s">
        <v>170</v>
      </c>
      <c r="B9" s="36" t="s">
        <v>458</v>
      </c>
      <c r="C9" s="41" t="s">
        <v>171</v>
      </c>
      <c r="D9" s="41" t="s">
        <v>635</v>
      </c>
      <c r="E9" s="38" t="s">
        <v>61</v>
      </c>
      <c r="F9" s="41" t="s">
        <v>649</v>
      </c>
      <c r="G9" s="41" t="s">
        <v>650</v>
      </c>
      <c r="H9" s="41" t="s">
        <v>651</v>
      </c>
      <c r="I9" s="41" t="s">
        <v>652</v>
      </c>
      <c r="J9" s="41" t="s">
        <v>653</v>
      </c>
      <c r="K9" s="41" t="s">
        <v>648</v>
      </c>
      <c r="L9" s="42" t="s">
        <v>78</v>
      </c>
      <c r="M9" s="39" t="s">
        <v>54</v>
      </c>
      <c r="N9" s="41"/>
      <c r="O9" s="41"/>
    </row>
    <row r="10" spans="1:15" ht="31.5" customHeight="1" x14ac:dyDescent="0.25">
      <c r="A10" s="35" t="s">
        <v>172</v>
      </c>
      <c r="B10" s="36" t="s">
        <v>559</v>
      </c>
      <c r="C10" s="37" t="s">
        <v>173</v>
      </c>
      <c r="D10" s="37" t="s">
        <v>635</v>
      </c>
      <c r="E10" s="38" t="s">
        <v>61</v>
      </c>
      <c r="F10" s="37" t="s">
        <v>640</v>
      </c>
      <c r="G10" s="37" t="s">
        <v>637</v>
      </c>
      <c r="H10" s="37" t="s">
        <v>654</v>
      </c>
      <c r="I10" s="37" t="s">
        <v>655</v>
      </c>
      <c r="J10" s="37" t="s">
        <v>656</v>
      </c>
      <c r="K10" s="37" t="s">
        <v>657</v>
      </c>
      <c r="L10" s="37" t="s">
        <v>75</v>
      </c>
      <c r="M10" s="39" t="s">
        <v>54</v>
      </c>
      <c r="N10" s="37"/>
      <c r="O10" s="43"/>
    </row>
    <row r="11" spans="1:15" ht="31.5" customHeight="1" x14ac:dyDescent="0.25">
      <c r="A11" s="40" t="s">
        <v>174</v>
      </c>
      <c r="B11" s="36" t="s">
        <v>448</v>
      </c>
      <c r="C11" s="41" t="s">
        <v>175</v>
      </c>
      <c r="D11" s="41" t="s">
        <v>635</v>
      </c>
      <c r="E11" s="38" t="s">
        <v>61</v>
      </c>
      <c r="F11" s="41" t="s">
        <v>640</v>
      </c>
      <c r="G11" s="41" t="s">
        <v>637</v>
      </c>
      <c r="H11" s="41" t="s">
        <v>658</v>
      </c>
      <c r="I11" s="41" t="s">
        <v>450</v>
      </c>
      <c r="J11" s="41" t="s">
        <v>659</v>
      </c>
      <c r="K11" s="41" t="s">
        <v>660</v>
      </c>
      <c r="L11" s="42" t="s">
        <v>78</v>
      </c>
      <c r="M11" s="39" t="s">
        <v>54</v>
      </c>
      <c r="N11" s="41"/>
      <c r="O11" s="41"/>
    </row>
    <row r="12" spans="1:15" ht="31.5" customHeight="1" x14ac:dyDescent="0.25">
      <c r="A12" s="35" t="s">
        <v>176</v>
      </c>
      <c r="B12" s="36" t="s">
        <v>448</v>
      </c>
      <c r="C12" s="37" t="s">
        <v>177</v>
      </c>
      <c r="D12" s="37" t="s">
        <v>635</v>
      </c>
      <c r="E12" s="38" t="s">
        <v>61</v>
      </c>
      <c r="F12" s="37" t="s">
        <v>644</v>
      </c>
      <c r="G12" s="37" t="s">
        <v>661</v>
      </c>
      <c r="H12" s="37" t="s">
        <v>662</v>
      </c>
      <c r="I12" s="37" t="s">
        <v>542</v>
      </c>
      <c r="J12" s="37" t="s">
        <v>663</v>
      </c>
      <c r="K12" s="37" t="s">
        <v>664</v>
      </c>
      <c r="L12" s="37" t="s">
        <v>78</v>
      </c>
      <c r="M12" s="39" t="s">
        <v>54</v>
      </c>
      <c r="N12" s="37"/>
      <c r="O12" s="43"/>
    </row>
    <row r="13" spans="1:15" ht="31.5" customHeight="1" x14ac:dyDescent="0.25">
      <c r="A13" s="40" t="s">
        <v>178</v>
      </c>
      <c r="B13" s="36" t="s">
        <v>448</v>
      </c>
      <c r="C13" s="41" t="s">
        <v>179</v>
      </c>
      <c r="D13" s="41" t="s">
        <v>635</v>
      </c>
      <c r="E13" s="38" t="s">
        <v>61</v>
      </c>
      <c r="F13" s="41" t="s">
        <v>665</v>
      </c>
      <c r="G13" s="41" t="s">
        <v>637</v>
      </c>
      <c r="H13" s="41" t="s">
        <v>666</v>
      </c>
      <c r="I13" s="41" t="s">
        <v>450</v>
      </c>
      <c r="J13" s="41" t="s">
        <v>667</v>
      </c>
      <c r="K13" s="41" t="s">
        <v>668</v>
      </c>
      <c r="L13" s="42" t="s">
        <v>78</v>
      </c>
      <c r="M13" s="39" t="s">
        <v>54</v>
      </c>
      <c r="N13" s="41"/>
      <c r="O13" s="41"/>
    </row>
    <row r="14" spans="1:15" ht="31.5" customHeight="1" x14ac:dyDescent="0.25">
      <c r="A14" s="35" t="s">
        <v>180</v>
      </c>
      <c r="B14" s="36" t="s">
        <v>669</v>
      </c>
      <c r="C14" s="37" t="s">
        <v>181</v>
      </c>
      <c r="D14" s="37" t="s">
        <v>635</v>
      </c>
      <c r="E14" s="38" t="s">
        <v>61</v>
      </c>
      <c r="F14" s="37" t="s">
        <v>670</v>
      </c>
      <c r="G14" s="37" t="s">
        <v>569</v>
      </c>
      <c r="H14" s="37" t="s">
        <v>671</v>
      </c>
      <c r="I14" s="37" t="s">
        <v>482</v>
      </c>
      <c r="J14" s="37" t="s">
        <v>672</v>
      </c>
      <c r="K14" s="37" t="s">
        <v>447</v>
      </c>
      <c r="L14" s="37" t="s">
        <v>75</v>
      </c>
      <c r="M14" s="39" t="s">
        <v>54</v>
      </c>
      <c r="N14" s="37"/>
      <c r="O14" s="43"/>
    </row>
    <row r="15" spans="1:15" ht="18" customHeight="1" x14ac:dyDescent="0.25">
      <c r="A15" s="53" t="s">
        <v>673</v>
      </c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</row>
    <row r="16" spans="1:15" ht="31.5" customHeight="1" x14ac:dyDescent="0.25">
      <c r="A16" s="35" t="s">
        <v>182</v>
      </c>
      <c r="B16" s="36" t="s">
        <v>458</v>
      </c>
      <c r="C16" s="37" t="s">
        <v>184</v>
      </c>
      <c r="D16" s="37" t="s">
        <v>674</v>
      </c>
      <c r="E16" s="38" t="s">
        <v>61</v>
      </c>
      <c r="F16" s="37" t="s">
        <v>675</v>
      </c>
      <c r="G16" s="37" t="s">
        <v>569</v>
      </c>
      <c r="H16" s="37" t="s">
        <v>676</v>
      </c>
      <c r="I16" s="37" t="s">
        <v>677</v>
      </c>
      <c r="J16" s="37" t="s">
        <v>678</v>
      </c>
      <c r="K16" s="37" t="s">
        <v>679</v>
      </c>
      <c r="L16" s="37" t="s">
        <v>78</v>
      </c>
      <c r="M16" s="39" t="s">
        <v>54</v>
      </c>
      <c r="N16" s="37"/>
      <c r="O16" s="43"/>
    </row>
    <row r="17" spans="1:15" ht="31.5" customHeight="1" x14ac:dyDescent="0.25">
      <c r="A17" s="40" t="s">
        <v>185</v>
      </c>
      <c r="B17" s="36" t="s">
        <v>448</v>
      </c>
      <c r="C17" s="41" t="s">
        <v>186</v>
      </c>
      <c r="D17" s="41" t="s">
        <v>674</v>
      </c>
      <c r="E17" s="38" t="s">
        <v>61</v>
      </c>
      <c r="F17" s="41" t="s">
        <v>675</v>
      </c>
      <c r="G17" s="41" t="s">
        <v>569</v>
      </c>
      <c r="H17" s="41" t="s">
        <v>680</v>
      </c>
      <c r="I17" s="41" t="s">
        <v>450</v>
      </c>
      <c r="J17" s="41" t="s">
        <v>681</v>
      </c>
      <c r="K17" s="41" t="s">
        <v>682</v>
      </c>
      <c r="L17" s="42" t="s">
        <v>78</v>
      </c>
      <c r="M17" s="39" t="s">
        <v>54</v>
      </c>
      <c r="N17" s="41"/>
      <c r="O17" s="41"/>
    </row>
    <row r="18" spans="1:15" ht="31.5" customHeight="1" x14ac:dyDescent="0.25">
      <c r="A18" s="35" t="s">
        <v>187</v>
      </c>
      <c r="B18" s="36" t="s">
        <v>448</v>
      </c>
      <c r="C18" s="37" t="s">
        <v>188</v>
      </c>
      <c r="D18" s="37" t="s">
        <v>674</v>
      </c>
      <c r="E18" s="38" t="s">
        <v>61</v>
      </c>
      <c r="F18" s="37" t="s">
        <v>683</v>
      </c>
      <c r="G18" s="37" t="s">
        <v>569</v>
      </c>
      <c r="H18" s="37" t="s">
        <v>684</v>
      </c>
      <c r="I18" s="37" t="s">
        <v>450</v>
      </c>
      <c r="J18" s="37" t="s">
        <v>685</v>
      </c>
      <c r="K18" s="37" t="s">
        <v>686</v>
      </c>
      <c r="L18" s="37" t="s">
        <v>78</v>
      </c>
      <c r="M18" s="39" t="s">
        <v>54</v>
      </c>
      <c r="N18" s="37"/>
      <c r="O18" s="43"/>
    </row>
    <row r="19" spans="1:15" ht="31.5" customHeight="1" x14ac:dyDescent="0.25">
      <c r="A19" s="40" t="s">
        <v>189</v>
      </c>
      <c r="B19" s="36" t="s">
        <v>448</v>
      </c>
      <c r="C19" s="41" t="s">
        <v>190</v>
      </c>
      <c r="D19" s="41" t="s">
        <v>674</v>
      </c>
      <c r="E19" s="38" t="s">
        <v>61</v>
      </c>
      <c r="F19" s="41" t="s">
        <v>687</v>
      </c>
      <c r="G19" s="41" t="s">
        <v>569</v>
      </c>
      <c r="H19" s="41" t="s">
        <v>688</v>
      </c>
      <c r="I19" s="41" t="s">
        <v>689</v>
      </c>
      <c r="J19" s="41" t="s">
        <v>690</v>
      </c>
      <c r="K19" s="41" t="s">
        <v>691</v>
      </c>
      <c r="L19" s="42" t="s">
        <v>78</v>
      </c>
      <c r="M19" s="39" t="s">
        <v>54</v>
      </c>
      <c r="N19" s="41"/>
      <c r="O19" s="41"/>
    </row>
    <row r="20" spans="1:15" ht="31.5" customHeight="1" x14ac:dyDescent="0.25">
      <c r="A20" s="35" t="s">
        <v>191</v>
      </c>
      <c r="B20" s="36" t="s">
        <v>458</v>
      </c>
      <c r="C20" s="37" t="s">
        <v>192</v>
      </c>
      <c r="D20" s="37" t="s">
        <v>674</v>
      </c>
      <c r="E20" s="38" t="s">
        <v>61</v>
      </c>
      <c r="F20" s="37" t="s">
        <v>692</v>
      </c>
      <c r="G20" s="37" t="s">
        <v>569</v>
      </c>
      <c r="H20" s="37" t="s">
        <v>693</v>
      </c>
      <c r="I20" s="37" t="s">
        <v>694</v>
      </c>
      <c r="J20" s="37" t="s">
        <v>695</v>
      </c>
      <c r="K20" s="37" t="s">
        <v>696</v>
      </c>
      <c r="L20" s="37" t="s">
        <v>78</v>
      </c>
      <c r="M20" s="39" t="s">
        <v>54</v>
      </c>
      <c r="N20" s="37"/>
      <c r="O20" s="43"/>
    </row>
    <row r="21" spans="1:15" ht="31.5" customHeight="1" x14ac:dyDescent="0.25">
      <c r="A21" s="40" t="s">
        <v>193</v>
      </c>
      <c r="B21" s="36" t="s">
        <v>448</v>
      </c>
      <c r="C21" s="41" t="s">
        <v>194</v>
      </c>
      <c r="D21" s="41" t="s">
        <v>674</v>
      </c>
      <c r="E21" s="38" t="s">
        <v>61</v>
      </c>
      <c r="F21" s="41" t="s">
        <v>692</v>
      </c>
      <c r="G21" s="41" t="s">
        <v>569</v>
      </c>
      <c r="H21" s="41" t="s">
        <v>697</v>
      </c>
      <c r="I21" s="41" t="s">
        <v>450</v>
      </c>
      <c r="J21" s="41" t="s">
        <v>698</v>
      </c>
      <c r="K21" s="41" t="s">
        <v>699</v>
      </c>
      <c r="L21" s="42" t="s">
        <v>78</v>
      </c>
      <c r="M21" s="39" t="s">
        <v>54</v>
      </c>
      <c r="N21" s="41"/>
      <c r="O21" s="41"/>
    </row>
    <row r="22" spans="1:15" ht="31.5" customHeight="1" x14ac:dyDescent="0.25">
      <c r="A22" s="35" t="s">
        <v>195</v>
      </c>
      <c r="B22" s="36" t="s">
        <v>458</v>
      </c>
      <c r="C22" s="37" t="s">
        <v>196</v>
      </c>
      <c r="D22" s="37" t="s">
        <v>674</v>
      </c>
      <c r="E22" s="38" t="s">
        <v>61</v>
      </c>
      <c r="F22" s="37" t="s">
        <v>687</v>
      </c>
      <c r="G22" s="37" t="s">
        <v>569</v>
      </c>
      <c r="H22" s="37" t="s">
        <v>700</v>
      </c>
      <c r="I22" s="37" t="s">
        <v>701</v>
      </c>
      <c r="J22" s="37" t="s">
        <v>702</v>
      </c>
      <c r="K22" s="37" t="s">
        <v>703</v>
      </c>
      <c r="L22" s="37" t="s">
        <v>78</v>
      </c>
      <c r="M22" s="39" t="s">
        <v>54</v>
      </c>
      <c r="N22" s="37"/>
      <c r="O22" s="43"/>
    </row>
    <row r="23" spans="1:15" ht="31.5" customHeight="1" x14ac:dyDescent="0.25">
      <c r="A23" s="40" t="s">
        <v>197</v>
      </c>
      <c r="B23" s="36" t="s">
        <v>440</v>
      </c>
      <c r="C23" s="41" t="s">
        <v>198</v>
      </c>
      <c r="D23" s="41" t="s">
        <v>674</v>
      </c>
      <c r="E23" s="38" t="s">
        <v>61</v>
      </c>
      <c r="F23" s="41" t="s">
        <v>704</v>
      </c>
      <c r="G23" s="41" t="s">
        <v>650</v>
      </c>
      <c r="H23" s="41" t="s">
        <v>705</v>
      </c>
      <c r="I23" s="41" t="s">
        <v>482</v>
      </c>
      <c r="J23" s="41" t="s">
        <v>706</v>
      </c>
      <c r="K23" s="41" t="s">
        <v>447</v>
      </c>
      <c r="L23" s="42" t="s">
        <v>75</v>
      </c>
      <c r="M23" s="39" t="s">
        <v>54</v>
      </c>
      <c r="N23" s="41"/>
      <c r="O23" s="41"/>
    </row>
    <row r="24" spans="1:15" ht="31.5" customHeight="1" x14ac:dyDescent="0.25">
      <c r="A24" s="35" t="s">
        <v>199</v>
      </c>
      <c r="B24" s="36" t="s">
        <v>448</v>
      </c>
      <c r="C24" s="37" t="s">
        <v>200</v>
      </c>
      <c r="D24" s="37" t="s">
        <v>674</v>
      </c>
      <c r="E24" s="38" t="s">
        <v>61</v>
      </c>
      <c r="F24" s="37" t="s">
        <v>707</v>
      </c>
      <c r="G24" s="37" t="s">
        <v>708</v>
      </c>
      <c r="H24" s="37" t="s">
        <v>709</v>
      </c>
      <c r="I24" s="37" t="s">
        <v>542</v>
      </c>
      <c r="J24" s="37" t="s">
        <v>710</v>
      </c>
      <c r="K24" s="37" t="s">
        <v>711</v>
      </c>
      <c r="L24" s="37" t="s">
        <v>78</v>
      </c>
      <c r="M24" s="39" t="s">
        <v>54</v>
      </c>
      <c r="N24" s="37"/>
      <c r="O24" s="43"/>
    </row>
    <row r="25" spans="1:15" ht="15" customHeight="1" x14ac:dyDescent="0.25">
      <c r="A25" s="54" t="s">
        <v>502</v>
      </c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</row>
    <row r="26" spans="1:15" ht="32.25" customHeight="1" x14ac:dyDescent="0.25">
      <c r="A26" s="39" t="s">
        <v>503</v>
      </c>
      <c r="B26" s="39" t="s">
        <v>504</v>
      </c>
      <c r="C26" s="39" t="s">
        <v>505</v>
      </c>
      <c r="D26" s="39" t="s">
        <v>506</v>
      </c>
      <c r="E26" s="39" t="s">
        <v>62</v>
      </c>
      <c r="F26" s="39" t="s">
        <v>507</v>
      </c>
      <c r="G26" s="39" t="s">
        <v>508</v>
      </c>
      <c r="H26" s="39" t="s">
        <v>509</v>
      </c>
      <c r="I26" s="39" t="s">
        <v>510</v>
      </c>
      <c r="J26" s="39" t="s">
        <v>511</v>
      </c>
      <c r="K26" s="39" t="s">
        <v>512</v>
      </c>
      <c r="L26" s="39" t="s">
        <v>75</v>
      </c>
      <c r="M26" s="39" t="s">
        <v>54</v>
      </c>
      <c r="N26" s="39"/>
      <c r="O26" s="39"/>
    </row>
  </sheetData>
  <mergeCells count="5">
    <mergeCell ref="A1:O1"/>
    <mergeCell ref="A2:O2"/>
    <mergeCell ref="A5:O5"/>
    <mergeCell ref="A15:O15"/>
    <mergeCell ref="A25:O25"/>
  </mergeCells>
  <dataValidations count="2">
    <dataValidation type="list" allowBlank="1" sqref="M6:M14 M16:M24 M26" xr:uid="{00000000-0002-0000-0500-000000000000}">
      <formula1>"Not Run,Pass,Fail,Blocked,Skip"</formula1>
      <formula2>0</formula2>
    </dataValidation>
    <dataValidation type="list" allowBlank="1" sqref="E6:E14 E16:E24 E26" xr:uid="{00000000-0002-0000-0500-000001000000}">
      <formula1>"P1,P2,P3"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1"/>
  <sheetViews>
    <sheetView showGridLines="0" zoomScaleNormal="100" workbookViewId="0">
      <pane ySplit="4" topLeftCell="A5" activePane="bottomLeft" state="frozen"/>
      <selection pane="bottomLeft" activeCell="O23" sqref="O23:O29"/>
    </sheetView>
  </sheetViews>
  <sheetFormatPr defaultColWidth="8.7109375" defaultRowHeight="15" x14ac:dyDescent="0.25"/>
  <cols>
    <col min="1" max="1" width="12" customWidth="1"/>
    <col min="2" max="2" width="20" customWidth="1"/>
    <col min="3" max="3" width="24" customWidth="1"/>
    <col min="4" max="4" width="10" customWidth="1"/>
    <col min="5" max="5" width="9" customWidth="1"/>
    <col min="6" max="6" width="32" customWidth="1"/>
    <col min="7" max="7" width="24" customWidth="1"/>
    <col min="8" max="8" width="34" customWidth="1"/>
    <col min="9" max="9" width="16" customWidth="1"/>
    <col min="10" max="10" width="42" customWidth="1"/>
    <col min="11" max="11" width="26" customWidth="1"/>
    <col min="12" max="12" width="11" customWidth="1"/>
    <col min="13" max="14" width="10" customWidth="1"/>
    <col min="15" max="15" width="30" customWidth="1"/>
  </cols>
  <sheetData>
    <row r="1" spans="1:15" ht="24" customHeight="1" x14ac:dyDescent="0.25">
      <c r="A1" s="1" t="s">
        <v>712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" customHeight="1" x14ac:dyDescent="0.25">
      <c r="A2" s="52" t="s">
        <v>437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4" spans="1:15" ht="27.75" customHeight="1" x14ac:dyDescent="0.25">
      <c r="A4" s="34" t="s">
        <v>13</v>
      </c>
      <c r="B4" s="34" t="s">
        <v>15</v>
      </c>
      <c r="C4" s="34" t="s">
        <v>67</v>
      </c>
      <c r="D4" s="34" t="s">
        <v>438</v>
      </c>
      <c r="E4" s="34" t="s">
        <v>68</v>
      </c>
      <c r="F4" s="34" t="s">
        <v>17</v>
      </c>
      <c r="G4" s="34" t="s">
        <v>19</v>
      </c>
      <c r="H4" s="34" t="s">
        <v>21</v>
      </c>
      <c r="I4" s="34" t="s">
        <v>23</v>
      </c>
      <c r="J4" s="34" t="s">
        <v>25</v>
      </c>
      <c r="K4" s="34" t="s">
        <v>27</v>
      </c>
      <c r="L4" s="34" t="s">
        <v>29</v>
      </c>
      <c r="M4" s="34" t="s">
        <v>31</v>
      </c>
      <c r="N4" s="34" t="s">
        <v>33</v>
      </c>
      <c r="O4" s="34" t="s">
        <v>35</v>
      </c>
    </row>
    <row r="5" spans="1:15" ht="18" customHeight="1" x14ac:dyDescent="0.25">
      <c r="A5" s="53" t="s">
        <v>713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</row>
    <row r="6" spans="1:15" ht="31.5" customHeight="1" x14ac:dyDescent="0.25">
      <c r="A6" s="35" t="s">
        <v>201</v>
      </c>
      <c r="B6" s="36" t="s">
        <v>440</v>
      </c>
      <c r="C6" s="37" t="s">
        <v>204</v>
      </c>
      <c r="D6" s="37" t="s">
        <v>714</v>
      </c>
      <c r="E6" s="38" t="s">
        <v>61</v>
      </c>
      <c r="F6" s="37" t="s">
        <v>715</v>
      </c>
      <c r="G6" s="37" t="s">
        <v>716</v>
      </c>
      <c r="H6" s="37" t="s">
        <v>717</v>
      </c>
      <c r="I6" s="37" t="s">
        <v>445</v>
      </c>
      <c r="J6" s="37" t="s">
        <v>718</v>
      </c>
      <c r="K6" s="37" t="s">
        <v>447</v>
      </c>
      <c r="L6" s="37" t="s">
        <v>75</v>
      </c>
      <c r="M6" s="39" t="s">
        <v>54</v>
      </c>
      <c r="N6" s="37"/>
      <c r="O6" s="37"/>
    </row>
    <row r="7" spans="1:15" ht="31.5" customHeight="1" x14ac:dyDescent="0.25">
      <c r="A7" s="40" t="s">
        <v>205</v>
      </c>
      <c r="B7" s="36" t="s">
        <v>448</v>
      </c>
      <c r="C7" s="41" t="s">
        <v>206</v>
      </c>
      <c r="D7" s="41" t="s">
        <v>714</v>
      </c>
      <c r="E7" s="38" t="s">
        <v>61</v>
      </c>
      <c r="F7" s="41" t="s">
        <v>719</v>
      </c>
      <c r="G7" s="41" t="s">
        <v>637</v>
      </c>
      <c r="H7" s="41" t="s">
        <v>720</v>
      </c>
      <c r="I7" s="41" t="s">
        <v>542</v>
      </c>
      <c r="J7" s="41" t="s">
        <v>721</v>
      </c>
      <c r="K7" s="41" t="s">
        <v>722</v>
      </c>
      <c r="L7" s="42" t="s">
        <v>78</v>
      </c>
      <c r="M7" s="39" t="s">
        <v>54</v>
      </c>
      <c r="N7" s="41"/>
      <c r="O7" s="41"/>
    </row>
    <row r="8" spans="1:15" ht="31.5" customHeight="1" x14ac:dyDescent="0.25">
      <c r="A8" s="35" t="s">
        <v>207</v>
      </c>
      <c r="B8" s="36" t="s">
        <v>448</v>
      </c>
      <c r="C8" s="37" t="s">
        <v>208</v>
      </c>
      <c r="D8" s="37" t="s">
        <v>714</v>
      </c>
      <c r="E8" s="38" t="s">
        <v>61</v>
      </c>
      <c r="F8" s="37" t="s">
        <v>723</v>
      </c>
      <c r="G8" s="37" t="s">
        <v>637</v>
      </c>
      <c r="H8" s="37" t="s">
        <v>724</v>
      </c>
      <c r="I8" s="37" t="s">
        <v>450</v>
      </c>
      <c r="J8" s="37" t="s">
        <v>725</v>
      </c>
      <c r="K8" s="37" t="s">
        <v>726</v>
      </c>
      <c r="L8" s="37" t="s">
        <v>78</v>
      </c>
      <c r="M8" s="39" t="s">
        <v>54</v>
      </c>
      <c r="N8" s="37"/>
      <c r="O8" s="37"/>
    </row>
    <row r="9" spans="1:15" ht="31.5" customHeight="1" x14ac:dyDescent="0.25">
      <c r="A9" s="40" t="s">
        <v>209</v>
      </c>
      <c r="B9" s="36" t="s">
        <v>458</v>
      </c>
      <c r="C9" s="41" t="s">
        <v>210</v>
      </c>
      <c r="D9" s="41" t="s">
        <v>714</v>
      </c>
      <c r="E9" s="38" t="s">
        <v>61</v>
      </c>
      <c r="F9" s="41" t="s">
        <v>727</v>
      </c>
      <c r="G9" s="41" t="s">
        <v>716</v>
      </c>
      <c r="H9" s="41" t="s">
        <v>728</v>
      </c>
      <c r="I9" s="41" t="s">
        <v>729</v>
      </c>
      <c r="J9" s="41" t="s">
        <v>730</v>
      </c>
      <c r="K9" s="41" t="s">
        <v>731</v>
      </c>
      <c r="L9" s="42" t="s">
        <v>78</v>
      </c>
      <c r="M9" s="39" t="s">
        <v>54</v>
      </c>
      <c r="N9" s="41"/>
      <c r="O9" s="41"/>
    </row>
    <row r="10" spans="1:15" ht="31.5" customHeight="1" x14ac:dyDescent="0.25">
      <c r="A10" s="35" t="s">
        <v>211</v>
      </c>
      <c r="B10" s="36" t="s">
        <v>458</v>
      </c>
      <c r="C10" s="37" t="s">
        <v>212</v>
      </c>
      <c r="D10" s="37" t="s">
        <v>714</v>
      </c>
      <c r="E10" s="38" t="s">
        <v>61</v>
      </c>
      <c r="F10" s="37" t="s">
        <v>732</v>
      </c>
      <c r="G10" s="37" t="s">
        <v>637</v>
      </c>
      <c r="H10" s="37" t="s">
        <v>733</v>
      </c>
      <c r="I10" s="37" t="s">
        <v>734</v>
      </c>
      <c r="J10" s="37" t="s">
        <v>735</v>
      </c>
      <c r="K10" s="37" t="s">
        <v>736</v>
      </c>
      <c r="L10" s="37" t="s">
        <v>78</v>
      </c>
      <c r="M10" s="39" t="s">
        <v>54</v>
      </c>
      <c r="N10" s="37"/>
      <c r="O10" s="37"/>
    </row>
    <row r="11" spans="1:15" ht="31.5" customHeight="1" x14ac:dyDescent="0.25">
      <c r="A11" s="40" t="s">
        <v>213</v>
      </c>
      <c r="B11" s="36" t="s">
        <v>448</v>
      </c>
      <c r="C11" s="41" t="s">
        <v>214</v>
      </c>
      <c r="D11" s="41" t="s">
        <v>714</v>
      </c>
      <c r="E11" s="38" t="s">
        <v>61</v>
      </c>
      <c r="F11" s="41" t="s">
        <v>737</v>
      </c>
      <c r="G11" s="41" t="s">
        <v>637</v>
      </c>
      <c r="H11" s="41" t="s">
        <v>738</v>
      </c>
      <c r="I11" s="41" t="s">
        <v>450</v>
      </c>
      <c r="J11" s="41" t="s">
        <v>739</v>
      </c>
      <c r="K11" s="41" t="s">
        <v>657</v>
      </c>
      <c r="L11" s="42" t="s">
        <v>78</v>
      </c>
      <c r="M11" s="39" t="s">
        <v>54</v>
      </c>
      <c r="N11" s="41"/>
      <c r="O11" s="41"/>
    </row>
    <row r="12" spans="1:15" ht="31.5" customHeight="1" x14ac:dyDescent="0.25">
      <c r="A12" s="35" t="s">
        <v>215</v>
      </c>
      <c r="B12" s="36" t="s">
        <v>559</v>
      </c>
      <c r="C12" s="37" t="s">
        <v>216</v>
      </c>
      <c r="D12" s="37" t="s">
        <v>714</v>
      </c>
      <c r="E12" s="38" t="s">
        <v>61</v>
      </c>
      <c r="F12" s="37" t="s">
        <v>732</v>
      </c>
      <c r="G12" s="37" t="s">
        <v>637</v>
      </c>
      <c r="H12" s="37" t="s">
        <v>740</v>
      </c>
      <c r="I12" s="37" t="s">
        <v>741</v>
      </c>
      <c r="J12" s="37" t="s">
        <v>742</v>
      </c>
      <c r="K12" s="37" t="s">
        <v>743</v>
      </c>
      <c r="L12" s="37" t="s">
        <v>75</v>
      </c>
      <c r="M12" s="39" t="s">
        <v>54</v>
      </c>
      <c r="N12" s="37"/>
      <c r="O12" s="37"/>
    </row>
    <row r="13" spans="1:15" ht="31.5" customHeight="1" x14ac:dyDescent="0.25">
      <c r="A13" s="40" t="s">
        <v>217</v>
      </c>
      <c r="B13" s="36" t="s">
        <v>458</v>
      </c>
      <c r="C13" s="41" t="s">
        <v>218</v>
      </c>
      <c r="D13" s="41" t="s">
        <v>714</v>
      </c>
      <c r="E13" s="38" t="s">
        <v>61</v>
      </c>
      <c r="F13" s="41" t="s">
        <v>732</v>
      </c>
      <c r="G13" s="41" t="s">
        <v>637</v>
      </c>
      <c r="H13" s="41" t="s">
        <v>744</v>
      </c>
      <c r="I13" s="41" t="s">
        <v>745</v>
      </c>
      <c r="J13" s="41" t="s">
        <v>746</v>
      </c>
      <c r="K13" s="41" t="s">
        <v>736</v>
      </c>
      <c r="L13" s="42" t="s">
        <v>78</v>
      </c>
      <c r="M13" s="39" t="s">
        <v>54</v>
      </c>
      <c r="N13" s="41"/>
      <c r="O13" s="41"/>
    </row>
    <row r="14" spans="1:15" ht="18" customHeight="1" x14ac:dyDescent="0.25">
      <c r="A14" s="53" t="s">
        <v>747</v>
      </c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</row>
    <row r="15" spans="1:15" ht="31.5" customHeight="1" x14ac:dyDescent="0.25">
      <c r="A15" s="35" t="s">
        <v>219</v>
      </c>
      <c r="B15" s="36" t="s">
        <v>448</v>
      </c>
      <c r="C15" s="37" t="s">
        <v>221</v>
      </c>
      <c r="D15" s="37" t="s">
        <v>748</v>
      </c>
      <c r="E15" s="38" t="s">
        <v>61</v>
      </c>
      <c r="F15" s="37" t="s">
        <v>749</v>
      </c>
      <c r="G15" s="37" t="s">
        <v>637</v>
      </c>
      <c r="H15" s="37" t="s">
        <v>750</v>
      </c>
      <c r="I15" s="37" t="s">
        <v>455</v>
      </c>
      <c r="J15" s="37" t="s">
        <v>751</v>
      </c>
      <c r="K15" s="37" t="s">
        <v>752</v>
      </c>
      <c r="L15" s="37" t="s">
        <v>78</v>
      </c>
      <c r="M15" s="39" t="s">
        <v>54</v>
      </c>
      <c r="N15" s="37"/>
      <c r="O15" s="37"/>
    </row>
    <row r="16" spans="1:15" ht="31.5" customHeight="1" x14ac:dyDescent="0.25">
      <c r="A16" s="40" t="s">
        <v>222</v>
      </c>
      <c r="B16" s="36" t="s">
        <v>458</v>
      </c>
      <c r="C16" s="41" t="s">
        <v>223</v>
      </c>
      <c r="D16" s="41" t="s">
        <v>748</v>
      </c>
      <c r="E16" s="38" t="s">
        <v>61</v>
      </c>
      <c r="F16" s="41" t="s">
        <v>753</v>
      </c>
      <c r="G16" s="41" t="s">
        <v>637</v>
      </c>
      <c r="H16" s="41" t="s">
        <v>754</v>
      </c>
      <c r="I16" s="41" t="s">
        <v>755</v>
      </c>
      <c r="J16" s="41" t="s">
        <v>756</v>
      </c>
      <c r="K16" s="41" t="s">
        <v>757</v>
      </c>
      <c r="L16" s="42" t="s">
        <v>78</v>
      </c>
      <c r="M16" s="39" t="s">
        <v>54</v>
      </c>
      <c r="N16" s="41"/>
      <c r="O16" s="41"/>
    </row>
    <row r="17" spans="1:15" ht="31.5" customHeight="1" x14ac:dyDescent="0.25">
      <c r="A17" s="35" t="s">
        <v>224</v>
      </c>
      <c r="B17" s="36" t="s">
        <v>458</v>
      </c>
      <c r="C17" s="37" t="s">
        <v>225</v>
      </c>
      <c r="D17" s="37" t="s">
        <v>748</v>
      </c>
      <c r="E17" s="38" t="s">
        <v>61</v>
      </c>
      <c r="F17" s="37" t="s">
        <v>758</v>
      </c>
      <c r="G17" s="37" t="s">
        <v>759</v>
      </c>
      <c r="H17" s="37" t="s">
        <v>760</v>
      </c>
      <c r="I17" s="37" t="s">
        <v>761</v>
      </c>
      <c r="J17" s="37" t="s">
        <v>762</v>
      </c>
      <c r="K17" s="37" t="s">
        <v>763</v>
      </c>
      <c r="L17" s="37" t="s">
        <v>78</v>
      </c>
      <c r="M17" s="39" t="s">
        <v>54</v>
      </c>
      <c r="N17" s="37"/>
      <c r="O17" s="37"/>
    </row>
    <row r="18" spans="1:15" ht="31.5" customHeight="1" x14ac:dyDescent="0.25">
      <c r="A18" s="40" t="s">
        <v>226</v>
      </c>
      <c r="B18" s="36" t="s">
        <v>448</v>
      </c>
      <c r="C18" s="41" t="s">
        <v>227</v>
      </c>
      <c r="D18" s="41" t="s">
        <v>748</v>
      </c>
      <c r="E18" s="38" t="s">
        <v>61</v>
      </c>
      <c r="F18" s="41" t="s">
        <v>758</v>
      </c>
      <c r="G18" s="41" t="s">
        <v>764</v>
      </c>
      <c r="H18" s="41" t="s">
        <v>765</v>
      </c>
      <c r="I18" s="41" t="s">
        <v>542</v>
      </c>
      <c r="J18" s="41" t="s">
        <v>766</v>
      </c>
      <c r="K18" s="41" t="s">
        <v>767</v>
      </c>
      <c r="L18" s="42" t="s">
        <v>78</v>
      </c>
      <c r="M18" s="39" t="s">
        <v>54</v>
      </c>
      <c r="N18" s="41"/>
      <c r="O18" s="41"/>
    </row>
    <row r="19" spans="1:15" ht="31.5" customHeight="1" x14ac:dyDescent="0.25">
      <c r="A19" s="35" t="s">
        <v>228</v>
      </c>
      <c r="B19" s="36" t="s">
        <v>559</v>
      </c>
      <c r="C19" s="37" t="s">
        <v>229</v>
      </c>
      <c r="D19" s="37" t="s">
        <v>748</v>
      </c>
      <c r="E19" s="38" t="s">
        <v>61</v>
      </c>
      <c r="F19" s="37" t="s">
        <v>768</v>
      </c>
      <c r="G19" s="37" t="s">
        <v>637</v>
      </c>
      <c r="H19" s="37" t="s">
        <v>769</v>
      </c>
      <c r="I19" s="37" t="s">
        <v>741</v>
      </c>
      <c r="J19" s="37" t="s">
        <v>770</v>
      </c>
      <c r="K19" s="37" t="s">
        <v>771</v>
      </c>
      <c r="L19" s="37" t="s">
        <v>75</v>
      </c>
      <c r="M19" s="39" t="s">
        <v>54</v>
      </c>
      <c r="N19" s="37"/>
      <c r="O19" s="37"/>
    </row>
    <row r="20" spans="1:15" ht="31.5" customHeight="1" x14ac:dyDescent="0.25">
      <c r="A20" s="40" t="s">
        <v>230</v>
      </c>
      <c r="B20" s="36" t="s">
        <v>448</v>
      </c>
      <c r="C20" s="41" t="s">
        <v>231</v>
      </c>
      <c r="D20" s="41" t="s">
        <v>748</v>
      </c>
      <c r="E20" s="38" t="s">
        <v>61</v>
      </c>
      <c r="F20" s="41" t="s">
        <v>753</v>
      </c>
      <c r="G20" s="41" t="s">
        <v>637</v>
      </c>
      <c r="H20" s="41" t="s">
        <v>772</v>
      </c>
      <c r="I20" s="41" t="s">
        <v>450</v>
      </c>
      <c r="J20" s="41" t="s">
        <v>773</v>
      </c>
      <c r="K20" s="41" t="s">
        <v>774</v>
      </c>
      <c r="L20" s="42" t="s">
        <v>78</v>
      </c>
      <c r="M20" s="39" t="s">
        <v>54</v>
      </c>
      <c r="N20" s="41"/>
      <c r="O20" s="41"/>
    </row>
    <row r="21" spans="1:15" ht="31.5" customHeight="1" x14ac:dyDescent="0.25">
      <c r="A21" s="35" t="s">
        <v>232</v>
      </c>
      <c r="B21" s="36" t="s">
        <v>448</v>
      </c>
      <c r="C21" s="37" t="s">
        <v>233</v>
      </c>
      <c r="D21" s="37" t="s">
        <v>748</v>
      </c>
      <c r="E21" s="38" t="s">
        <v>61</v>
      </c>
      <c r="F21" s="37" t="s">
        <v>775</v>
      </c>
      <c r="G21" s="37" t="s">
        <v>637</v>
      </c>
      <c r="H21" s="37" t="s">
        <v>776</v>
      </c>
      <c r="I21" s="37" t="s">
        <v>450</v>
      </c>
      <c r="J21" s="37" t="s">
        <v>777</v>
      </c>
      <c r="K21" s="37" t="s">
        <v>778</v>
      </c>
      <c r="L21" s="37" t="s">
        <v>78</v>
      </c>
      <c r="M21" s="39" t="s">
        <v>54</v>
      </c>
      <c r="N21" s="37"/>
      <c r="O21" s="37"/>
    </row>
    <row r="22" spans="1:15" ht="18" customHeight="1" x14ac:dyDescent="0.25">
      <c r="A22" s="53" t="s">
        <v>779</v>
      </c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</row>
    <row r="23" spans="1:15" ht="31.5" customHeight="1" x14ac:dyDescent="0.25">
      <c r="A23" s="35" t="s">
        <v>234</v>
      </c>
      <c r="B23" s="36" t="s">
        <v>448</v>
      </c>
      <c r="C23" s="37" t="s">
        <v>236</v>
      </c>
      <c r="D23" s="37" t="s">
        <v>780</v>
      </c>
      <c r="E23" s="38" t="s">
        <v>61</v>
      </c>
      <c r="F23" s="37" t="s">
        <v>781</v>
      </c>
      <c r="G23" s="37" t="s">
        <v>637</v>
      </c>
      <c r="H23" s="37" t="s">
        <v>782</v>
      </c>
      <c r="I23" s="37" t="s">
        <v>450</v>
      </c>
      <c r="J23" s="37" t="s">
        <v>783</v>
      </c>
      <c r="K23" s="37" t="s">
        <v>784</v>
      </c>
      <c r="L23" s="37" t="s">
        <v>78</v>
      </c>
      <c r="M23" s="39" t="s">
        <v>54</v>
      </c>
      <c r="N23" s="37"/>
      <c r="O23" s="37"/>
    </row>
    <row r="24" spans="1:15" ht="31.5" customHeight="1" x14ac:dyDescent="0.25">
      <c r="A24" s="40" t="s">
        <v>237</v>
      </c>
      <c r="B24" s="36" t="s">
        <v>458</v>
      </c>
      <c r="C24" s="41" t="s">
        <v>238</v>
      </c>
      <c r="D24" s="41" t="s">
        <v>780</v>
      </c>
      <c r="E24" s="38" t="s">
        <v>61</v>
      </c>
      <c r="F24" s="41" t="s">
        <v>785</v>
      </c>
      <c r="G24" s="41" t="s">
        <v>637</v>
      </c>
      <c r="H24" s="41" t="s">
        <v>786</v>
      </c>
      <c r="I24" s="41" t="s">
        <v>787</v>
      </c>
      <c r="J24" s="41" t="s">
        <v>788</v>
      </c>
      <c r="K24" s="41" t="s">
        <v>789</v>
      </c>
      <c r="L24" s="42" t="s">
        <v>78</v>
      </c>
      <c r="M24" s="39" t="s">
        <v>54</v>
      </c>
      <c r="N24" s="41"/>
      <c r="O24" s="41"/>
    </row>
    <row r="25" spans="1:15" ht="31.5" customHeight="1" x14ac:dyDescent="0.25">
      <c r="A25" s="35" t="s">
        <v>239</v>
      </c>
      <c r="B25" s="36" t="s">
        <v>458</v>
      </c>
      <c r="C25" s="37" t="s">
        <v>240</v>
      </c>
      <c r="D25" s="37" t="s">
        <v>780</v>
      </c>
      <c r="E25" s="38" t="s">
        <v>61</v>
      </c>
      <c r="F25" s="37" t="s">
        <v>790</v>
      </c>
      <c r="G25" s="37" t="s">
        <v>637</v>
      </c>
      <c r="H25" s="37" t="s">
        <v>791</v>
      </c>
      <c r="I25" s="37" t="s">
        <v>792</v>
      </c>
      <c r="J25" s="37" t="s">
        <v>793</v>
      </c>
      <c r="K25" s="37" t="s">
        <v>794</v>
      </c>
      <c r="L25" s="37" t="s">
        <v>78</v>
      </c>
      <c r="M25" s="39" t="s">
        <v>54</v>
      </c>
      <c r="N25" s="37"/>
      <c r="O25" s="37"/>
    </row>
    <row r="26" spans="1:15" ht="31.5" customHeight="1" x14ac:dyDescent="0.25">
      <c r="A26" s="40" t="s">
        <v>241</v>
      </c>
      <c r="B26" s="36" t="s">
        <v>448</v>
      </c>
      <c r="C26" s="41" t="s">
        <v>242</v>
      </c>
      <c r="D26" s="41" t="s">
        <v>780</v>
      </c>
      <c r="E26" s="38" t="s">
        <v>61</v>
      </c>
      <c r="F26" s="41" t="s">
        <v>795</v>
      </c>
      <c r="G26" s="41" t="s">
        <v>637</v>
      </c>
      <c r="H26" s="41" t="s">
        <v>796</v>
      </c>
      <c r="I26" s="41" t="s">
        <v>450</v>
      </c>
      <c r="J26" s="41" t="s">
        <v>797</v>
      </c>
      <c r="K26" s="41" t="s">
        <v>798</v>
      </c>
      <c r="L26" s="42" t="s">
        <v>78</v>
      </c>
      <c r="M26" s="39" t="s">
        <v>54</v>
      </c>
      <c r="N26" s="41"/>
      <c r="O26" s="41"/>
    </row>
    <row r="27" spans="1:15" ht="31.5" customHeight="1" x14ac:dyDescent="0.25">
      <c r="A27" s="35" t="s">
        <v>243</v>
      </c>
      <c r="B27" s="36" t="s">
        <v>448</v>
      </c>
      <c r="C27" s="37" t="s">
        <v>244</v>
      </c>
      <c r="D27" s="37" t="s">
        <v>780</v>
      </c>
      <c r="E27" s="38" t="s">
        <v>61</v>
      </c>
      <c r="F27" s="37" t="s">
        <v>799</v>
      </c>
      <c r="G27" s="37" t="s">
        <v>637</v>
      </c>
      <c r="H27" s="37" t="s">
        <v>800</v>
      </c>
      <c r="I27" s="37" t="s">
        <v>689</v>
      </c>
      <c r="J27" s="37" t="s">
        <v>801</v>
      </c>
      <c r="K27" s="37" t="s">
        <v>802</v>
      </c>
      <c r="L27" s="37" t="s">
        <v>78</v>
      </c>
      <c r="M27" s="39" t="s">
        <v>54</v>
      </c>
      <c r="N27" s="37"/>
      <c r="O27" s="37"/>
    </row>
    <row r="28" spans="1:15" ht="31.5" customHeight="1" x14ac:dyDescent="0.25">
      <c r="A28" s="40" t="s">
        <v>245</v>
      </c>
      <c r="B28" s="36" t="s">
        <v>458</v>
      </c>
      <c r="C28" s="41" t="s">
        <v>246</v>
      </c>
      <c r="D28" s="41" t="s">
        <v>780</v>
      </c>
      <c r="E28" s="38" t="s">
        <v>61</v>
      </c>
      <c r="F28" s="41" t="s">
        <v>803</v>
      </c>
      <c r="G28" s="41" t="s">
        <v>637</v>
      </c>
      <c r="H28" s="41" t="s">
        <v>804</v>
      </c>
      <c r="I28" s="41" t="s">
        <v>482</v>
      </c>
      <c r="J28" s="41" t="s">
        <v>805</v>
      </c>
      <c r="K28" s="41" t="s">
        <v>447</v>
      </c>
      <c r="L28" s="42" t="s">
        <v>75</v>
      </c>
      <c r="M28" s="39" t="s">
        <v>54</v>
      </c>
      <c r="N28" s="41"/>
      <c r="O28" s="41"/>
    </row>
    <row r="29" spans="1:15" ht="31.5" customHeight="1" x14ac:dyDescent="0.25">
      <c r="A29" s="35" t="s">
        <v>247</v>
      </c>
      <c r="B29" s="36" t="s">
        <v>458</v>
      </c>
      <c r="C29" s="37" t="s">
        <v>248</v>
      </c>
      <c r="D29" s="37" t="s">
        <v>780</v>
      </c>
      <c r="E29" s="38" t="s">
        <v>61</v>
      </c>
      <c r="F29" s="37" t="s">
        <v>799</v>
      </c>
      <c r="G29" s="37" t="s">
        <v>637</v>
      </c>
      <c r="H29" s="37" t="s">
        <v>806</v>
      </c>
      <c r="I29" s="37" t="s">
        <v>807</v>
      </c>
      <c r="J29" s="37" t="s">
        <v>808</v>
      </c>
      <c r="K29" s="37" t="s">
        <v>798</v>
      </c>
      <c r="L29" s="37" t="s">
        <v>78</v>
      </c>
      <c r="M29" s="39" t="s">
        <v>54</v>
      </c>
      <c r="N29" s="37"/>
      <c r="O29" s="37"/>
    </row>
    <row r="30" spans="1:15" ht="15" customHeight="1" x14ac:dyDescent="0.25">
      <c r="A30" s="54" t="s">
        <v>502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</row>
    <row r="31" spans="1:15" ht="32.25" customHeight="1" x14ac:dyDescent="0.25">
      <c r="A31" s="39" t="s">
        <v>503</v>
      </c>
      <c r="B31" s="39" t="s">
        <v>504</v>
      </c>
      <c r="C31" s="39" t="s">
        <v>505</v>
      </c>
      <c r="D31" s="39" t="s">
        <v>506</v>
      </c>
      <c r="E31" s="39" t="s">
        <v>62</v>
      </c>
      <c r="F31" s="39" t="s">
        <v>507</v>
      </c>
      <c r="G31" s="39" t="s">
        <v>508</v>
      </c>
      <c r="H31" s="39" t="s">
        <v>509</v>
      </c>
      <c r="I31" s="39" t="s">
        <v>510</v>
      </c>
      <c r="J31" s="39" t="s">
        <v>511</v>
      </c>
      <c r="K31" s="39" t="s">
        <v>512</v>
      </c>
      <c r="L31" s="39" t="s">
        <v>75</v>
      </c>
      <c r="M31" s="39" t="s">
        <v>54</v>
      </c>
      <c r="N31" s="39"/>
      <c r="O31" s="39"/>
    </row>
  </sheetData>
  <mergeCells count="6">
    <mergeCell ref="A30:O30"/>
    <mergeCell ref="A1:O1"/>
    <mergeCell ref="A2:O2"/>
    <mergeCell ref="A5:O5"/>
    <mergeCell ref="A14:O14"/>
    <mergeCell ref="A22:O22"/>
  </mergeCells>
  <dataValidations count="2">
    <dataValidation type="list" allowBlank="1" sqref="M6:M13 M15:M21 M23:M29 M31" xr:uid="{00000000-0002-0000-0600-000000000000}">
      <formula1>"Not Run,Pass,Fail,Blocked,Skip"</formula1>
      <formula2>0</formula2>
    </dataValidation>
    <dataValidation type="list" allowBlank="1" sqref="E6:E13 E15:E21 E23:E29 E31" xr:uid="{00000000-0002-0000-0600-000001000000}">
      <formula1>"P1,P2,P3"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29"/>
  <sheetViews>
    <sheetView showGridLines="0" zoomScaleNormal="100" workbookViewId="0">
      <pane ySplit="4" topLeftCell="A15" activePane="bottomLeft" state="frozen"/>
      <selection pane="bottomLeft" activeCell="O23" sqref="O23:O27"/>
    </sheetView>
  </sheetViews>
  <sheetFormatPr defaultColWidth="8.7109375" defaultRowHeight="15" x14ac:dyDescent="0.25"/>
  <cols>
    <col min="1" max="1" width="12" customWidth="1"/>
    <col min="2" max="2" width="20" customWidth="1"/>
    <col min="3" max="3" width="24" customWidth="1"/>
    <col min="4" max="4" width="10" customWidth="1"/>
    <col min="5" max="5" width="9" customWidth="1"/>
    <col min="6" max="6" width="32" customWidth="1"/>
    <col min="7" max="7" width="24" customWidth="1"/>
    <col min="8" max="8" width="34" customWidth="1"/>
    <col min="9" max="9" width="16" customWidth="1"/>
    <col min="10" max="10" width="42" customWidth="1"/>
    <col min="11" max="11" width="26" customWidth="1"/>
    <col min="12" max="12" width="11" customWidth="1"/>
    <col min="13" max="14" width="10" customWidth="1"/>
    <col min="15" max="15" width="30" customWidth="1"/>
  </cols>
  <sheetData>
    <row r="1" spans="1:15" ht="24" customHeight="1" x14ac:dyDescent="0.25">
      <c r="A1" s="1" t="s">
        <v>809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" customHeight="1" x14ac:dyDescent="0.25">
      <c r="A2" s="52" t="s">
        <v>437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4" spans="1:15" ht="27.75" customHeight="1" x14ac:dyDescent="0.25">
      <c r="A4" s="34" t="s">
        <v>13</v>
      </c>
      <c r="B4" s="34" t="s">
        <v>15</v>
      </c>
      <c r="C4" s="34" t="s">
        <v>67</v>
      </c>
      <c r="D4" s="34" t="s">
        <v>438</v>
      </c>
      <c r="E4" s="34" t="s">
        <v>68</v>
      </c>
      <c r="F4" s="34" t="s">
        <v>17</v>
      </c>
      <c r="G4" s="34" t="s">
        <v>19</v>
      </c>
      <c r="H4" s="34" t="s">
        <v>21</v>
      </c>
      <c r="I4" s="34" t="s">
        <v>23</v>
      </c>
      <c r="J4" s="34" t="s">
        <v>25</v>
      </c>
      <c r="K4" s="34" t="s">
        <v>27</v>
      </c>
      <c r="L4" s="34" t="s">
        <v>29</v>
      </c>
      <c r="M4" s="34" t="s">
        <v>31</v>
      </c>
      <c r="N4" s="34" t="s">
        <v>33</v>
      </c>
      <c r="O4" s="34" t="s">
        <v>35</v>
      </c>
    </row>
    <row r="5" spans="1:15" ht="18" customHeight="1" x14ac:dyDescent="0.25">
      <c r="A5" s="53" t="s">
        <v>810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</row>
    <row r="6" spans="1:15" ht="31.5" customHeight="1" x14ac:dyDescent="0.25">
      <c r="A6" s="35" t="s">
        <v>249</v>
      </c>
      <c r="B6" s="36" t="s">
        <v>440</v>
      </c>
      <c r="C6" s="37" t="s">
        <v>252</v>
      </c>
      <c r="D6" s="37" t="s">
        <v>811</v>
      </c>
      <c r="E6" s="38" t="s">
        <v>61</v>
      </c>
      <c r="F6" s="37" t="s">
        <v>812</v>
      </c>
      <c r="G6" s="37" t="s">
        <v>447</v>
      </c>
      <c r="H6" s="37" t="s">
        <v>813</v>
      </c>
      <c r="I6" s="37" t="s">
        <v>445</v>
      </c>
      <c r="J6" s="37" t="s">
        <v>814</v>
      </c>
      <c r="K6" s="37" t="s">
        <v>447</v>
      </c>
      <c r="L6" s="37" t="s">
        <v>75</v>
      </c>
      <c r="M6" s="39" t="s">
        <v>54</v>
      </c>
      <c r="N6" s="37"/>
      <c r="O6" s="37"/>
    </row>
    <row r="7" spans="1:15" ht="31.5" customHeight="1" x14ac:dyDescent="0.25">
      <c r="A7" s="40" t="s">
        <v>253</v>
      </c>
      <c r="B7" s="36" t="s">
        <v>448</v>
      </c>
      <c r="C7" s="41" t="s">
        <v>254</v>
      </c>
      <c r="D7" s="41" t="s">
        <v>811</v>
      </c>
      <c r="E7" s="38" t="s">
        <v>61</v>
      </c>
      <c r="F7" s="41" t="s">
        <v>442</v>
      </c>
      <c r="G7" s="41" t="s">
        <v>447</v>
      </c>
      <c r="H7" s="41" t="s">
        <v>815</v>
      </c>
      <c r="I7" s="41" t="s">
        <v>455</v>
      </c>
      <c r="J7" s="41" t="s">
        <v>816</v>
      </c>
      <c r="K7" s="41" t="s">
        <v>817</v>
      </c>
      <c r="L7" s="42" t="s">
        <v>78</v>
      </c>
      <c r="M7" s="39" t="s">
        <v>54</v>
      </c>
      <c r="N7" s="41"/>
      <c r="O7" s="44"/>
    </row>
    <row r="8" spans="1:15" ht="31.5" customHeight="1" x14ac:dyDescent="0.25">
      <c r="A8" s="35" t="s">
        <v>255</v>
      </c>
      <c r="B8" s="36" t="s">
        <v>458</v>
      </c>
      <c r="C8" s="37" t="s">
        <v>256</v>
      </c>
      <c r="D8" s="37" t="s">
        <v>811</v>
      </c>
      <c r="E8" s="38" t="s">
        <v>61</v>
      </c>
      <c r="F8" s="37" t="s">
        <v>818</v>
      </c>
      <c r="G8" s="37" t="s">
        <v>460</v>
      </c>
      <c r="H8" s="37" t="s">
        <v>819</v>
      </c>
      <c r="I8" s="37" t="s">
        <v>820</v>
      </c>
      <c r="J8" s="37" t="s">
        <v>821</v>
      </c>
      <c r="K8" s="37" t="s">
        <v>447</v>
      </c>
      <c r="L8" s="37" t="s">
        <v>78</v>
      </c>
      <c r="M8" s="39" t="s">
        <v>54</v>
      </c>
      <c r="N8" s="37"/>
      <c r="O8" s="37"/>
    </row>
    <row r="9" spans="1:15" ht="31.5" customHeight="1" x14ac:dyDescent="0.25">
      <c r="A9" s="40" t="s">
        <v>257</v>
      </c>
      <c r="B9" s="36" t="s">
        <v>448</v>
      </c>
      <c r="C9" s="41" t="s">
        <v>258</v>
      </c>
      <c r="D9" s="41" t="s">
        <v>811</v>
      </c>
      <c r="E9" s="38" t="s">
        <v>61</v>
      </c>
      <c r="F9" s="41" t="s">
        <v>822</v>
      </c>
      <c r="G9" s="41" t="s">
        <v>569</v>
      </c>
      <c r="H9" s="41" t="s">
        <v>823</v>
      </c>
      <c r="I9" s="41" t="s">
        <v>542</v>
      </c>
      <c r="J9" s="41" t="s">
        <v>824</v>
      </c>
      <c r="K9" s="41" t="s">
        <v>825</v>
      </c>
      <c r="L9" s="42" t="s">
        <v>78</v>
      </c>
      <c r="M9" s="39" t="s">
        <v>54</v>
      </c>
      <c r="N9" s="41"/>
      <c r="O9" s="44"/>
    </row>
    <row r="10" spans="1:15" ht="31.5" customHeight="1" x14ac:dyDescent="0.25">
      <c r="A10" s="35" t="s">
        <v>259</v>
      </c>
      <c r="B10" s="36" t="s">
        <v>440</v>
      </c>
      <c r="C10" s="37" t="s">
        <v>260</v>
      </c>
      <c r="D10" s="37" t="s">
        <v>811</v>
      </c>
      <c r="E10" s="38" t="s">
        <v>61</v>
      </c>
      <c r="F10" s="37" t="s">
        <v>822</v>
      </c>
      <c r="G10" s="37" t="s">
        <v>573</v>
      </c>
      <c r="H10" s="37" t="s">
        <v>826</v>
      </c>
      <c r="I10" s="37" t="s">
        <v>482</v>
      </c>
      <c r="J10" s="37" t="s">
        <v>827</v>
      </c>
      <c r="K10" s="37" t="s">
        <v>447</v>
      </c>
      <c r="L10" s="37" t="s">
        <v>75</v>
      </c>
      <c r="M10" s="39" t="s">
        <v>54</v>
      </c>
      <c r="N10" s="37"/>
      <c r="O10" s="37"/>
    </row>
    <row r="11" spans="1:15" ht="31.5" customHeight="1" x14ac:dyDescent="0.25">
      <c r="A11" s="40" t="s">
        <v>261</v>
      </c>
      <c r="B11" s="36" t="s">
        <v>458</v>
      </c>
      <c r="C11" s="41" t="s">
        <v>262</v>
      </c>
      <c r="D11" s="41" t="s">
        <v>811</v>
      </c>
      <c r="E11" s="38" t="s">
        <v>61</v>
      </c>
      <c r="F11" s="41" t="s">
        <v>822</v>
      </c>
      <c r="G11" s="41" t="s">
        <v>573</v>
      </c>
      <c r="H11" s="41" t="s">
        <v>828</v>
      </c>
      <c r="I11" s="41" t="s">
        <v>829</v>
      </c>
      <c r="J11" s="41" t="s">
        <v>830</v>
      </c>
      <c r="K11" s="41" t="s">
        <v>831</v>
      </c>
      <c r="L11" s="42" t="s">
        <v>78</v>
      </c>
      <c r="M11" s="39" t="s">
        <v>54</v>
      </c>
      <c r="N11" s="41"/>
      <c r="O11" s="44"/>
    </row>
    <row r="12" spans="1:15" ht="31.5" customHeight="1" x14ac:dyDescent="0.25">
      <c r="A12" s="35" t="s">
        <v>263</v>
      </c>
      <c r="B12" s="36" t="s">
        <v>448</v>
      </c>
      <c r="C12" s="37" t="s">
        <v>264</v>
      </c>
      <c r="D12" s="37" t="s">
        <v>811</v>
      </c>
      <c r="E12" s="38" t="s">
        <v>61</v>
      </c>
      <c r="F12" s="37" t="s">
        <v>832</v>
      </c>
      <c r="G12" s="37" t="s">
        <v>573</v>
      </c>
      <c r="H12" s="37" t="s">
        <v>833</v>
      </c>
      <c r="I12" s="37" t="s">
        <v>450</v>
      </c>
      <c r="J12" s="37" t="s">
        <v>834</v>
      </c>
      <c r="K12" s="37" t="s">
        <v>835</v>
      </c>
      <c r="L12" s="37" t="s">
        <v>78</v>
      </c>
      <c r="M12" s="39" t="s">
        <v>54</v>
      </c>
      <c r="N12" s="37"/>
      <c r="O12" s="37"/>
    </row>
    <row r="13" spans="1:15" ht="18" customHeight="1" x14ac:dyDescent="0.25">
      <c r="A13" s="53" t="s">
        <v>836</v>
      </c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</row>
    <row r="14" spans="1:15" ht="31.5" customHeight="1" x14ac:dyDescent="0.25">
      <c r="A14" s="35" t="s">
        <v>265</v>
      </c>
      <c r="B14" s="36" t="s">
        <v>448</v>
      </c>
      <c r="C14" s="37" t="s">
        <v>267</v>
      </c>
      <c r="D14" s="37" t="s">
        <v>837</v>
      </c>
      <c r="E14" s="38" t="s">
        <v>61</v>
      </c>
      <c r="F14" s="37" t="s">
        <v>838</v>
      </c>
      <c r="G14" s="37" t="s">
        <v>573</v>
      </c>
      <c r="H14" s="37" t="s">
        <v>839</v>
      </c>
      <c r="I14" s="37" t="s">
        <v>689</v>
      </c>
      <c r="J14" s="37" t="s">
        <v>840</v>
      </c>
      <c r="K14" s="37" t="s">
        <v>841</v>
      </c>
      <c r="L14" s="37" t="s">
        <v>78</v>
      </c>
      <c r="M14" s="39" t="s">
        <v>54</v>
      </c>
      <c r="N14" s="37"/>
      <c r="O14" s="37"/>
    </row>
    <row r="15" spans="1:15" ht="31.5" customHeight="1" x14ac:dyDescent="0.25">
      <c r="A15" s="40" t="s">
        <v>268</v>
      </c>
      <c r="B15" s="36" t="s">
        <v>458</v>
      </c>
      <c r="C15" s="41" t="s">
        <v>269</v>
      </c>
      <c r="D15" s="41" t="s">
        <v>837</v>
      </c>
      <c r="E15" s="38" t="s">
        <v>61</v>
      </c>
      <c r="F15" s="41" t="s">
        <v>842</v>
      </c>
      <c r="G15" s="41" t="s">
        <v>569</v>
      </c>
      <c r="H15" s="41" t="s">
        <v>843</v>
      </c>
      <c r="I15" s="41" t="s">
        <v>844</v>
      </c>
      <c r="J15" s="41" t="s">
        <v>845</v>
      </c>
      <c r="K15" s="41" t="s">
        <v>846</v>
      </c>
      <c r="L15" s="42" t="s">
        <v>78</v>
      </c>
      <c r="M15" s="39" t="s">
        <v>54</v>
      </c>
      <c r="N15" s="41"/>
      <c r="O15" s="44"/>
    </row>
    <row r="16" spans="1:15" ht="31.5" customHeight="1" x14ac:dyDescent="0.25">
      <c r="A16" s="35" t="s">
        <v>270</v>
      </c>
      <c r="B16" s="36" t="s">
        <v>448</v>
      </c>
      <c r="C16" s="37" t="s">
        <v>271</v>
      </c>
      <c r="D16" s="37" t="s">
        <v>837</v>
      </c>
      <c r="E16" s="38" t="s">
        <v>61</v>
      </c>
      <c r="F16" s="37" t="s">
        <v>847</v>
      </c>
      <c r="G16" s="37" t="s">
        <v>540</v>
      </c>
      <c r="H16" s="37" t="s">
        <v>848</v>
      </c>
      <c r="I16" s="37" t="s">
        <v>542</v>
      </c>
      <c r="J16" s="37" t="s">
        <v>849</v>
      </c>
      <c r="K16" s="37" t="s">
        <v>850</v>
      </c>
      <c r="L16" s="37" t="s">
        <v>78</v>
      </c>
      <c r="M16" s="39" t="s">
        <v>54</v>
      </c>
      <c r="N16" s="37"/>
      <c r="O16" s="37"/>
    </row>
    <row r="17" spans="1:15" ht="31.5" customHeight="1" x14ac:dyDescent="0.25">
      <c r="A17" s="40" t="s">
        <v>272</v>
      </c>
      <c r="B17" s="36" t="s">
        <v>458</v>
      </c>
      <c r="C17" s="41" t="s">
        <v>273</v>
      </c>
      <c r="D17" s="41" t="s">
        <v>837</v>
      </c>
      <c r="E17" s="38" t="s">
        <v>61</v>
      </c>
      <c r="F17" s="41" t="s">
        <v>847</v>
      </c>
      <c r="G17" s="41" t="s">
        <v>460</v>
      </c>
      <c r="H17" s="41" t="s">
        <v>851</v>
      </c>
      <c r="I17" s="41" t="s">
        <v>852</v>
      </c>
      <c r="J17" s="41" t="s">
        <v>853</v>
      </c>
      <c r="K17" s="41" t="s">
        <v>854</v>
      </c>
      <c r="L17" s="42" t="s">
        <v>78</v>
      </c>
      <c r="M17" s="39" t="s">
        <v>54</v>
      </c>
      <c r="N17" s="41"/>
      <c r="O17" s="44"/>
    </row>
    <row r="18" spans="1:15" ht="31.5" customHeight="1" x14ac:dyDescent="0.25">
      <c r="A18" s="35" t="s">
        <v>274</v>
      </c>
      <c r="B18" s="36" t="s">
        <v>448</v>
      </c>
      <c r="C18" s="37" t="s">
        <v>275</v>
      </c>
      <c r="D18" s="37" t="s">
        <v>837</v>
      </c>
      <c r="E18" s="38" t="s">
        <v>61</v>
      </c>
      <c r="F18" s="37" t="s">
        <v>855</v>
      </c>
      <c r="G18" s="37" t="s">
        <v>637</v>
      </c>
      <c r="H18" s="37" t="s">
        <v>856</v>
      </c>
      <c r="I18" s="37" t="s">
        <v>450</v>
      </c>
      <c r="J18" s="37" t="s">
        <v>857</v>
      </c>
      <c r="K18" s="37" t="s">
        <v>858</v>
      </c>
      <c r="L18" s="37" t="s">
        <v>78</v>
      </c>
      <c r="M18" s="39" t="s">
        <v>54</v>
      </c>
      <c r="N18" s="37"/>
      <c r="O18" s="37"/>
    </row>
    <row r="19" spans="1:15" ht="31.5" customHeight="1" x14ac:dyDescent="0.25">
      <c r="A19" s="40" t="s">
        <v>276</v>
      </c>
      <c r="B19" s="36" t="s">
        <v>440</v>
      </c>
      <c r="C19" s="41" t="s">
        <v>277</v>
      </c>
      <c r="D19" s="41" t="s">
        <v>837</v>
      </c>
      <c r="E19" s="38" t="s">
        <v>61</v>
      </c>
      <c r="F19" s="41" t="s">
        <v>847</v>
      </c>
      <c r="G19" s="41" t="s">
        <v>460</v>
      </c>
      <c r="H19" s="41" t="s">
        <v>859</v>
      </c>
      <c r="I19" s="41" t="s">
        <v>445</v>
      </c>
      <c r="J19" s="41" t="s">
        <v>860</v>
      </c>
      <c r="K19" s="41" t="s">
        <v>447</v>
      </c>
      <c r="L19" s="42" t="s">
        <v>75</v>
      </c>
      <c r="M19" s="39" t="s">
        <v>54</v>
      </c>
      <c r="N19" s="41"/>
      <c r="O19" s="44"/>
    </row>
    <row r="20" spans="1:15" ht="31.5" customHeight="1" x14ac:dyDescent="0.25">
      <c r="A20" s="35" t="s">
        <v>278</v>
      </c>
      <c r="B20" s="36" t="s">
        <v>448</v>
      </c>
      <c r="C20" s="37" t="s">
        <v>279</v>
      </c>
      <c r="D20" s="37" t="s">
        <v>837</v>
      </c>
      <c r="E20" s="38" t="s">
        <v>61</v>
      </c>
      <c r="F20" s="37" t="s">
        <v>842</v>
      </c>
      <c r="G20" s="37" t="s">
        <v>569</v>
      </c>
      <c r="H20" s="37" t="s">
        <v>861</v>
      </c>
      <c r="I20" s="37" t="s">
        <v>450</v>
      </c>
      <c r="J20" s="37" t="s">
        <v>862</v>
      </c>
      <c r="K20" s="37" t="s">
        <v>846</v>
      </c>
      <c r="L20" s="37" t="s">
        <v>78</v>
      </c>
      <c r="M20" s="39" t="s">
        <v>54</v>
      </c>
      <c r="N20" s="37"/>
      <c r="O20" s="37"/>
    </row>
    <row r="21" spans="1:15" ht="31.5" customHeight="1" x14ac:dyDescent="0.25">
      <c r="A21" s="40" t="s">
        <v>280</v>
      </c>
      <c r="B21" s="36" t="s">
        <v>458</v>
      </c>
      <c r="C21" s="41" t="s">
        <v>281</v>
      </c>
      <c r="D21" s="41" t="s">
        <v>837</v>
      </c>
      <c r="E21" s="38" t="s">
        <v>61</v>
      </c>
      <c r="F21" s="41" t="s">
        <v>863</v>
      </c>
      <c r="G21" s="41" t="s">
        <v>573</v>
      </c>
      <c r="H21" s="41" t="s">
        <v>864</v>
      </c>
      <c r="I21" s="41" t="s">
        <v>482</v>
      </c>
      <c r="J21" s="41" t="s">
        <v>865</v>
      </c>
      <c r="K21" s="41" t="s">
        <v>447</v>
      </c>
      <c r="L21" s="42" t="s">
        <v>75</v>
      </c>
      <c r="M21" s="39" t="s">
        <v>54</v>
      </c>
      <c r="N21" s="41"/>
      <c r="O21" s="44"/>
    </row>
    <row r="22" spans="1:15" ht="18" customHeight="1" x14ac:dyDescent="0.25">
      <c r="A22" s="53" t="s">
        <v>866</v>
      </c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</row>
    <row r="23" spans="1:15" ht="31.5" customHeight="1" x14ac:dyDescent="0.25">
      <c r="A23" s="35" t="s">
        <v>282</v>
      </c>
      <c r="B23" s="36" t="s">
        <v>448</v>
      </c>
      <c r="C23" s="37" t="s">
        <v>284</v>
      </c>
      <c r="D23" s="37" t="s">
        <v>867</v>
      </c>
      <c r="E23" s="38" t="s">
        <v>61</v>
      </c>
      <c r="F23" s="37" t="s">
        <v>868</v>
      </c>
      <c r="G23" s="37" t="s">
        <v>569</v>
      </c>
      <c r="H23" s="37" t="s">
        <v>869</v>
      </c>
      <c r="I23" s="37" t="s">
        <v>542</v>
      </c>
      <c r="J23" s="37" t="s">
        <v>870</v>
      </c>
      <c r="K23" s="37" t="s">
        <v>871</v>
      </c>
      <c r="L23" s="37" t="s">
        <v>78</v>
      </c>
      <c r="M23" s="39" t="s">
        <v>54</v>
      </c>
      <c r="N23" s="37"/>
      <c r="O23" s="37"/>
    </row>
    <row r="24" spans="1:15" ht="31.5" customHeight="1" x14ac:dyDescent="0.25">
      <c r="A24" s="40" t="s">
        <v>285</v>
      </c>
      <c r="B24" s="36" t="s">
        <v>448</v>
      </c>
      <c r="C24" s="41" t="s">
        <v>286</v>
      </c>
      <c r="D24" s="41" t="s">
        <v>867</v>
      </c>
      <c r="E24" s="38" t="s">
        <v>61</v>
      </c>
      <c r="F24" s="41" t="s">
        <v>609</v>
      </c>
      <c r="G24" s="41" t="s">
        <v>872</v>
      </c>
      <c r="H24" s="41" t="s">
        <v>873</v>
      </c>
      <c r="I24" s="41" t="s">
        <v>542</v>
      </c>
      <c r="J24" s="41" t="s">
        <v>874</v>
      </c>
      <c r="K24" s="41" t="s">
        <v>875</v>
      </c>
      <c r="L24" s="42" t="s">
        <v>78</v>
      </c>
      <c r="M24" s="39" t="s">
        <v>54</v>
      </c>
      <c r="N24" s="41"/>
      <c r="O24" s="44"/>
    </row>
    <row r="25" spans="1:15" ht="31.5" customHeight="1" x14ac:dyDescent="0.25">
      <c r="A25" s="35" t="s">
        <v>287</v>
      </c>
      <c r="B25" s="36" t="s">
        <v>448</v>
      </c>
      <c r="C25" s="37" t="s">
        <v>288</v>
      </c>
      <c r="D25" s="37" t="s">
        <v>867</v>
      </c>
      <c r="E25" s="38" t="s">
        <v>61</v>
      </c>
      <c r="F25" s="37" t="s">
        <v>876</v>
      </c>
      <c r="G25" s="37" t="s">
        <v>872</v>
      </c>
      <c r="H25" s="37" t="s">
        <v>877</v>
      </c>
      <c r="I25" s="37" t="s">
        <v>542</v>
      </c>
      <c r="J25" s="37" t="s">
        <v>878</v>
      </c>
      <c r="K25" s="37" t="s">
        <v>879</v>
      </c>
      <c r="L25" s="37" t="s">
        <v>78</v>
      </c>
      <c r="M25" s="39" t="s">
        <v>54</v>
      </c>
      <c r="N25" s="37"/>
      <c r="O25" s="37"/>
    </row>
    <row r="26" spans="1:15" ht="31.5" customHeight="1" x14ac:dyDescent="0.25">
      <c r="A26" s="40" t="s">
        <v>289</v>
      </c>
      <c r="B26" s="36" t="s">
        <v>458</v>
      </c>
      <c r="C26" s="41" t="s">
        <v>290</v>
      </c>
      <c r="D26" s="41" t="s">
        <v>867</v>
      </c>
      <c r="E26" s="38" t="s">
        <v>61</v>
      </c>
      <c r="F26" s="41" t="s">
        <v>880</v>
      </c>
      <c r="G26" s="41" t="s">
        <v>872</v>
      </c>
      <c r="H26" s="41" t="s">
        <v>881</v>
      </c>
      <c r="I26" s="41" t="s">
        <v>482</v>
      </c>
      <c r="J26" s="41" t="s">
        <v>882</v>
      </c>
      <c r="K26" s="41" t="s">
        <v>883</v>
      </c>
      <c r="L26" s="42" t="s">
        <v>78</v>
      </c>
      <c r="M26" s="39" t="s">
        <v>54</v>
      </c>
      <c r="N26" s="41"/>
      <c r="O26" s="44"/>
    </row>
    <row r="27" spans="1:15" ht="31.5" customHeight="1" x14ac:dyDescent="0.25">
      <c r="A27" s="35" t="s">
        <v>291</v>
      </c>
      <c r="B27" s="36" t="s">
        <v>440</v>
      </c>
      <c r="C27" s="37" t="s">
        <v>292</v>
      </c>
      <c r="D27" s="37" t="s">
        <v>867</v>
      </c>
      <c r="E27" s="38" t="s">
        <v>62</v>
      </c>
      <c r="F27" s="37" t="s">
        <v>884</v>
      </c>
      <c r="G27" s="37" t="s">
        <v>569</v>
      </c>
      <c r="H27" s="37" t="s">
        <v>885</v>
      </c>
      <c r="I27" s="37" t="s">
        <v>482</v>
      </c>
      <c r="J27" s="37" t="s">
        <v>886</v>
      </c>
      <c r="K27" s="37" t="s">
        <v>447</v>
      </c>
      <c r="L27" s="37" t="s">
        <v>75</v>
      </c>
      <c r="M27" s="39" t="s">
        <v>54</v>
      </c>
      <c r="N27" s="37"/>
      <c r="O27" s="37"/>
    </row>
    <row r="28" spans="1:15" ht="15" customHeight="1" x14ac:dyDescent="0.25">
      <c r="A28" s="54" t="s">
        <v>502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</row>
    <row r="29" spans="1:15" ht="32.25" customHeight="1" x14ac:dyDescent="0.25">
      <c r="A29" s="39" t="s">
        <v>503</v>
      </c>
      <c r="B29" s="39" t="s">
        <v>504</v>
      </c>
      <c r="C29" s="39" t="s">
        <v>505</v>
      </c>
      <c r="D29" s="39" t="s">
        <v>506</v>
      </c>
      <c r="E29" s="39" t="s">
        <v>62</v>
      </c>
      <c r="F29" s="39" t="s">
        <v>507</v>
      </c>
      <c r="G29" s="39" t="s">
        <v>508</v>
      </c>
      <c r="H29" s="39" t="s">
        <v>509</v>
      </c>
      <c r="I29" s="39" t="s">
        <v>510</v>
      </c>
      <c r="J29" s="39" t="s">
        <v>511</v>
      </c>
      <c r="K29" s="39" t="s">
        <v>512</v>
      </c>
      <c r="L29" s="39" t="s">
        <v>75</v>
      </c>
      <c r="M29" s="39" t="s">
        <v>54</v>
      </c>
      <c r="N29" s="39"/>
      <c r="O29" s="39"/>
    </row>
  </sheetData>
  <mergeCells count="6">
    <mergeCell ref="A28:O28"/>
    <mergeCell ref="A1:O1"/>
    <mergeCell ref="A2:O2"/>
    <mergeCell ref="A5:O5"/>
    <mergeCell ref="A13:O13"/>
    <mergeCell ref="A22:O22"/>
  </mergeCells>
  <dataValidations count="2">
    <dataValidation type="list" allowBlank="1" sqref="M6:M12 M14:M21 M23:M27 M29" xr:uid="{00000000-0002-0000-0700-000000000000}">
      <formula1>"Not Run,Pass,Fail,Blocked,Skip"</formula1>
      <formula2>0</formula2>
    </dataValidation>
    <dataValidation type="list" allowBlank="1" sqref="E6:E12 E14:E21 E23:E27 E29" xr:uid="{00000000-0002-0000-0700-000001000000}">
      <formula1>"P1,P2,P3"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2"/>
  <sheetViews>
    <sheetView showGridLines="0" zoomScaleNormal="100" workbookViewId="0">
      <pane ySplit="4" topLeftCell="A5" activePane="bottomLeft" state="frozen"/>
      <selection pane="bottomLeft" activeCell="C14" sqref="C14"/>
    </sheetView>
  </sheetViews>
  <sheetFormatPr defaultColWidth="8.7109375" defaultRowHeight="15" x14ac:dyDescent="0.25"/>
  <cols>
    <col min="1" max="1" width="12" customWidth="1"/>
    <col min="2" max="2" width="16" customWidth="1"/>
    <col min="3" max="3" width="30" customWidth="1"/>
    <col min="4" max="4" width="18" customWidth="1"/>
    <col min="5" max="5" width="9" customWidth="1"/>
    <col min="6" max="7" width="52" customWidth="1"/>
    <col min="8" max="8" width="11" customWidth="1"/>
    <col min="9" max="10" width="10" customWidth="1"/>
    <col min="11" max="11" width="26" customWidth="1"/>
  </cols>
  <sheetData>
    <row r="1" spans="1:11" ht="24" customHeight="1" x14ac:dyDescent="0.25">
      <c r="A1" s="1" t="s">
        <v>887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" customHeight="1" x14ac:dyDescent="0.25">
      <c r="A2" s="52" t="s">
        <v>437</v>
      </c>
      <c r="B2" s="52"/>
      <c r="C2" s="52"/>
      <c r="D2" s="52"/>
      <c r="E2" s="52"/>
      <c r="F2" s="52"/>
      <c r="G2" s="52"/>
      <c r="H2" s="52"/>
      <c r="I2" s="52"/>
      <c r="J2" s="52"/>
      <c r="K2" s="52"/>
    </row>
    <row r="4" spans="1:11" ht="27.75" customHeight="1" x14ac:dyDescent="0.25">
      <c r="A4" s="34" t="s">
        <v>13</v>
      </c>
      <c r="B4" s="34" t="s">
        <v>15</v>
      </c>
      <c r="C4" s="34" t="s">
        <v>67</v>
      </c>
      <c r="D4" s="34" t="s">
        <v>438</v>
      </c>
      <c r="E4" s="34" t="s">
        <v>68</v>
      </c>
      <c r="F4" s="34" t="s">
        <v>888</v>
      </c>
      <c r="G4" s="34" t="s">
        <v>889</v>
      </c>
      <c r="H4" s="34" t="s">
        <v>29</v>
      </c>
      <c r="I4" s="34" t="s">
        <v>31</v>
      </c>
      <c r="J4" s="34" t="s">
        <v>33</v>
      </c>
      <c r="K4" s="34" t="s">
        <v>35</v>
      </c>
    </row>
    <row r="5" spans="1:11" ht="15" customHeight="1" x14ac:dyDescent="0.25">
      <c r="A5" s="54" t="s">
        <v>890</v>
      </c>
      <c r="B5" s="54"/>
      <c r="C5" s="54"/>
      <c r="D5" s="54"/>
      <c r="E5" s="54"/>
      <c r="F5" s="54"/>
      <c r="G5" s="54"/>
      <c r="H5" s="54"/>
      <c r="I5" s="54"/>
      <c r="J5" s="54"/>
      <c r="K5" s="54"/>
    </row>
    <row r="6" spans="1:11" ht="94.5" customHeight="1" x14ac:dyDescent="0.25">
      <c r="A6" s="35" t="s">
        <v>293</v>
      </c>
      <c r="B6" s="36" t="s">
        <v>669</v>
      </c>
      <c r="C6" s="37" t="s">
        <v>296</v>
      </c>
      <c r="D6" s="37" t="s">
        <v>891</v>
      </c>
      <c r="E6" s="38" t="s">
        <v>61</v>
      </c>
      <c r="F6" s="37" t="s">
        <v>892</v>
      </c>
      <c r="G6" s="37" t="s">
        <v>893</v>
      </c>
      <c r="H6" s="37" t="s">
        <v>75</v>
      </c>
      <c r="I6" s="39" t="s">
        <v>54</v>
      </c>
      <c r="J6" s="37"/>
      <c r="K6" s="43"/>
    </row>
    <row r="7" spans="1:11" ht="108" customHeight="1" x14ac:dyDescent="0.25">
      <c r="A7" s="40" t="s">
        <v>297</v>
      </c>
      <c r="B7" s="36" t="s">
        <v>669</v>
      </c>
      <c r="C7" s="41" t="s">
        <v>298</v>
      </c>
      <c r="D7" s="41" t="s">
        <v>528</v>
      </c>
      <c r="E7" s="38" t="s">
        <v>61</v>
      </c>
      <c r="F7" s="41" t="s">
        <v>894</v>
      </c>
      <c r="G7" s="41" t="s">
        <v>895</v>
      </c>
      <c r="H7" s="41" t="s">
        <v>75</v>
      </c>
      <c r="I7" s="39" t="s">
        <v>54</v>
      </c>
      <c r="J7" s="41"/>
      <c r="K7" s="44"/>
    </row>
    <row r="8" spans="1:11" ht="94.5" customHeight="1" x14ac:dyDescent="0.25">
      <c r="A8" s="35" t="s">
        <v>299</v>
      </c>
      <c r="B8" s="36" t="s">
        <v>669</v>
      </c>
      <c r="C8" s="37" t="s">
        <v>300</v>
      </c>
      <c r="D8" s="37" t="s">
        <v>896</v>
      </c>
      <c r="E8" s="38" t="s">
        <v>61</v>
      </c>
      <c r="F8" s="37" t="s">
        <v>897</v>
      </c>
      <c r="G8" s="37" t="s">
        <v>898</v>
      </c>
      <c r="H8" s="37" t="s">
        <v>75</v>
      </c>
      <c r="I8" s="39" t="s">
        <v>54</v>
      </c>
      <c r="J8" s="37"/>
      <c r="K8" s="43"/>
    </row>
    <row r="9" spans="1:11" ht="108" customHeight="1" x14ac:dyDescent="0.25">
      <c r="A9" s="40" t="s">
        <v>301</v>
      </c>
      <c r="B9" s="36" t="s">
        <v>669</v>
      </c>
      <c r="C9" s="41" t="s">
        <v>302</v>
      </c>
      <c r="D9" s="41" t="s">
        <v>674</v>
      </c>
      <c r="E9" s="38" t="s">
        <v>61</v>
      </c>
      <c r="F9" s="41" t="s">
        <v>899</v>
      </c>
      <c r="G9" s="41" t="s">
        <v>900</v>
      </c>
      <c r="H9" s="41" t="s">
        <v>75</v>
      </c>
      <c r="I9" s="39" t="s">
        <v>54</v>
      </c>
      <c r="J9" s="41"/>
      <c r="K9" s="44"/>
    </row>
    <row r="10" spans="1:11" ht="94.5" customHeight="1" x14ac:dyDescent="0.25">
      <c r="A10" s="35" t="s">
        <v>303</v>
      </c>
      <c r="B10" s="36" t="s">
        <v>669</v>
      </c>
      <c r="C10" s="37" t="s">
        <v>304</v>
      </c>
      <c r="D10" s="37" t="s">
        <v>837</v>
      </c>
      <c r="E10" s="38" t="s">
        <v>61</v>
      </c>
      <c r="F10" s="37" t="s">
        <v>901</v>
      </c>
      <c r="G10" s="37" t="s">
        <v>902</v>
      </c>
      <c r="H10" s="37" t="s">
        <v>75</v>
      </c>
      <c r="I10" s="39" t="s">
        <v>54</v>
      </c>
      <c r="J10" s="37"/>
      <c r="K10" s="43"/>
    </row>
    <row r="11" spans="1:11" ht="108" customHeight="1" x14ac:dyDescent="0.25">
      <c r="A11" s="40" t="s">
        <v>305</v>
      </c>
      <c r="B11" s="36" t="s">
        <v>669</v>
      </c>
      <c r="C11" s="41" t="s">
        <v>306</v>
      </c>
      <c r="D11" s="41" t="s">
        <v>903</v>
      </c>
      <c r="E11" s="38" t="s">
        <v>62</v>
      </c>
      <c r="F11" s="41" t="s">
        <v>904</v>
      </c>
      <c r="G11" s="41" t="s">
        <v>905</v>
      </c>
      <c r="H11" s="41" t="s">
        <v>75</v>
      </c>
      <c r="I11" s="39" t="s">
        <v>54</v>
      </c>
      <c r="J11" s="41"/>
      <c r="K11" s="44"/>
    </row>
    <row r="12" spans="1:11" ht="94.5" customHeight="1" x14ac:dyDescent="0.25">
      <c r="A12" s="35" t="s">
        <v>307</v>
      </c>
      <c r="B12" s="36" t="s">
        <v>669</v>
      </c>
      <c r="C12" s="37" t="s">
        <v>308</v>
      </c>
      <c r="D12" s="37" t="s">
        <v>906</v>
      </c>
      <c r="E12" s="38" t="s">
        <v>62</v>
      </c>
      <c r="F12" s="37" t="s">
        <v>907</v>
      </c>
      <c r="G12" s="37" t="s">
        <v>908</v>
      </c>
      <c r="H12" s="37" t="s">
        <v>75</v>
      </c>
      <c r="I12" s="39" t="s">
        <v>54</v>
      </c>
      <c r="J12" s="37"/>
      <c r="K12" s="43"/>
    </row>
  </sheetData>
  <mergeCells count="3">
    <mergeCell ref="A1:K1"/>
    <mergeCell ref="A2:K2"/>
    <mergeCell ref="A5:K5"/>
  </mergeCells>
  <dataValidations count="2">
    <dataValidation type="list" allowBlank="1" sqref="I6:I12" xr:uid="{00000000-0002-0000-0800-000000000000}">
      <formula1>"Not Run,Pass,Fail,Blocked,Skip"</formula1>
      <formula2>0</formula2>
    </dataValidation>
    <dataValidation type="list" allowBlank="1" sqref="E6:E12" xr:uid="{00000000-0002-0000-0800-000001000000}">
      <formula1>"P1,P2,P3"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4"/>
  <sheetViews>
    <sheetView showGridLines="0" zoomScaleNormal="100" workbookViewId="0">
      <pane ySplit="4" topLeftCell="A5" activePane="bottomLeft" state="frozen"/>
      <selection pane="bottomLeft" activeCell="M6" sqref="M6:M14"/>
    </sheetView>
  </sheetViews>
  <sheetFormatPr defaultColWidth="8.7109375" defaultRowHeight="15" x14ac:dyDescent="0.25"/>
  <cols>
    <col min="1" max="2" width="12" customWidth="1"/>
    <col min="3" max="3" width="14" customWidth="1"/>
    <col min="4" max="4" width="9" customWidth="1"/>
    <col min="5" max="5" width="34" customWidth="1"/>
    <col min="6" max="6" width="32" customWidth="1"/>
    <col min="7" max="7" width="24" customWidth="1"/>
    <col min="8" max="8" width="36" customWidth="1"/>
    <col min="9" max="10" width="18" customWidth="1"/>
    <col min="11" max="12" width="10" customWidth="1"/>
    <col min="13" max="13" width="26" customWidth="1"/>
  </cols>
  <sheetData>
    <row r="1" spans="1:13" ht="24" customHeight="1" x14ac:dyDescent="0.25">
      <c r="A1" s="1" t="s">
        <v>909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5" customHeight="1" x14ac:dyDescent="0.25">
      <c r="A2" s="52" t="s">
        <v>910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</row>
    <row r="4" spans="1:13" ht="27.75" customHeight="1" x14ac:dyDescent="0.25">
      <c r="A4" s="34" t="s">
        <v>13</v>
      </c>
      <c r="B4" s="34" t="s">
        <v>911</v>
      </c>
      <c r="C4" s="34" t="s">
        <v>67</v>
      </c>
      <c r="D4" s="34" t="s">
        <v>68</v>
      </c>
      <c r="E4" s="34" t="s">
        <v>912</v>
      </c>
      <c r="F4" s="34" t="s">
        <v>913</v>
      </c>
      <c r="G4" s="34" t="s">
        <v>914</v>
      </c>
      <c r="H4" s="34" t="s">
        <v>915</v>
      </c>
      <c r="I4" s="34" t="s">
        <v>916</v>
      </c>
      <c r="J4" s="34" t="s">
        <v>917</v>
      </c>
      <c r="K4" s="34" t="s">
        <v>31</v>
      </c>
      <c r="L4" s="34" t="s">
        <v>33</v>
      </c>
      <c r="M4" s="34" t="s">
        <v>35</v>
      </c>
    </row>
    <row r="5" spans="1:13" ht="15" customHeight="1" x14ac:dyDescent="0.25">
      <c r="A5" s="54" t="s">
        <v>918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</row>
    <row r="6" spans="1:13" ht="15" customHeight="1" x14ac:dyDescent="0.25">
      <c r="A6" s="35" t="s">
        <v>309</v>
      </c>
      <c r="B6" s="36" t="s">
        <v>919</v>
      </c>
      <c r="C6" s="37" t="s">
        <v>312</v>
      </c>
      <c r="D6" s="38" t="s">
        <v>61</v>
      </c>
      <c r="E6" s="37" t="s">
        <v>920</v>
      </c>
      <c r="F6" s="37" t="s">
        <v>921</v>
      </c>
      <c r="G6" s="37" t="s">
        <v>922</v>
      </c>
      <c r="H6" s="37" t="s">
        <v>923</v>
      </c>
      <c r="I6" s="37" t="s">
        <v>924</v>
      </c>
      <c r="J6" s="37" t="s">
        <v>924</v>
      </c>
      <c r="K6" s="39" t="s">
        <v>54</v>
      </c>
      <c r="L6" s="37"/>
      <c r="M6" s="37"/>
    </row>
    <row r="7" spans="1:13" ht="21.75" customHeight="1" x14ac:dyDescent="0.25">
      <c r="A7" s="40" t="s">
        <v>313</v>
      </c>
      <c r="B7" s="36" t="s">
        <v>919</v>
      </c>
      <c r="C7" s="41" t="s">
        <v>314</v>
      </c>
      <c r="D7" s="38" t="s">
        <v>61</v>
      </c>
      <c r="E7" s="41" t="s">
        <v>925</v>
      </c>
      <c r="F7" s="41" t="s">
        <v>926</v>
      </c>
      <c r="G7" s="41" t="s">
        <v>922</v>
      </c>
      <c r="H7" s="41" t="s">
        <v>927</v>
      </c>
      <c r="I7" s="41" t="s">
        <v>924</v>
      </c>
      <c r="J7" s="41" t="s">
        <v>924</v>
      </c>
      <c r="K7" s="39" t="s">
        <v>54</v>
      </c>
      <c r="L7" s="41"/>
      <c r="M7" s="41"/>
    </row>
    <row r="8" spans="1:13" ht="15" customHeight="1" x14ac:dyDescent="0.25">
      <c r="A8" s="35" t="s">
        <v>315</v>
      </c>
      <c r="B8" s="36" t="s">
        <v>919</v>
      </c>
      <c r="C8" s="37" t="s">
        <v>316</v>
      </c>
      <c r="D8" s="38" t="s">
        <v>61</v>
      </c>
      <c r="E8" s="37" t="s">
        <v>928</v>
      </c>
      <c r="F8" s="37" t="s">
        <v>929</v>
      </c>
      <c r="G8" s="37" t="s">
        <v>460</v>
      </c>
      <c r="H8" s="37" t="s">
        <v>930</v>
      </c>
      <c r="I8" s="37" t="s">
        <v>924</v>
      </c>
      <c r="J8" s="37" t="s">
        <v>924</v>
      </c>
      <c r="K8" s="39" t="s">
        <v>54</v>
      </c>
      <c r="L8" s="37"/>
      <c r="M8" s="37"/>
    </row>
    <row r="9" spans="1:13" ht="21.75" customHeight="1" x14ac:dyDescent="0.25">
      <c r="A9" s="40" t="s">
        <v>317</v>
      </c>
      <c r="B9" s="36" t="s">
        <v>919</v>
      </c>
      <c r="C9" s="41" t="s">
        <v>318</v>
      </c>
      <c r="D9" s="38" t="s">
        <v>61</v>
      </c>
      <c r="E9" s="41" t="s">
        <v>931</v>
      </c>
      <c r="F9" s="41" t="s">
        <v>932</v>
      </c>
      <c r="G9" s="41" t="s">
        <v>933</v>
      </c>
      <c r="H9" s="41" t="s">
        <v>934</v>
      </c>
      <c r="I9" s="41" t="s">
        <v>924</v>
      </c>
      <c r="J9" s="41" t="s">
        <v>924</v>
      </c>
      <c r="K9" s="39" t="s">
        <v>54</v>
      </c>
      <c r="L9" s="41"/>
      <c r="M9" s="41"/>
    </row>
    <row r="10" spans="1:13" ht="15" customHeight="1" x14ac:dyDescent="0.25">
      <c r="A10" s="35" t="s">
        <v>319</v>
      </c>
      <c r="B10" s="36" t="s">
        <v>919</v>
      </c>
      <c r="C10" s="37" t="s">
        <v>320</v>
      </c>
      <c r="D10" s="38" t="s">
        <v>61</v>
      </c>
      <c r="E10" s="37" t="s">
        <v>115</v>
      </c>
      <c r="F10" s="37" t="s">
        <v>935</v>
      </c>
      <c r="G10" s="37" t="s">
        <v>936</v>
      </c>
      <c r="H10" s="37" t="s">
        <v>937</v>
      </c>
      <c r="I10" s="37" t="s">
        <v>924</v>
      </c>
      <c r="J10" s="37" t="s">
        <v>924</v>
      </c>
      <c r="K10" s="39" t="s">
        <v>54</v>
      </c>
      <c r="L10" s="37"/>
      <c r="M10" s="37"/>
    </row>
    <row r="11" spans="1:13" ht="21.75" customHeight="1" x14ac:dyDescent="0.25">
      <c r="A11" s="40" t="s">
        <v>321</v>
      </c>
      <c r="B11" s="36" t="s">
        <v>919</v>
      </c>
      <c r="C11" s="41" t="s">
        <v>322</v>
      </c>
      <c r="D11" s="38" t="s">
        <v>62</v>
      </c>
      <c r="E11" s="41" t="s">
        <v>938</v>
      </c>
      <c r="F11" s="41" t="s">
        <v>939</v>
      </c>
      <c r="G11" s="41" t="s">
        <v>940</v>
      </c>
      <c r="H11" s="41" t="s">
        <v>941</v>
      </c>
      <c r="I11" s="41" t="s">
        <v>924</v>
      </c>
      <c r="J11" s="41" t="s">
        <v>924</v>
      </c>
      <c r="K11" s="39" t="s">
        <v>54</v>
      </c>
      <c r="L11" s="41"/>
      <c r="M11" s="41"/>
    </row>
    <row r="12" spans="1:13" ht="15" customHeight="1" x14ac:dyDescent="0.25">
      <c r="A12" s="35" t="s">
        <v>323</v>
      </c>
      <c r="B12" s="36" t="s">
        <v>919</v>
      </c>
      <c r="C12" s="37" t="s">
        <v>324</v>
      </c>
      <c r="D12" s="38" t="s">
        <v>62</v>
      </c>
      <c r="E12" s="37" t="s">
        <v>942</v>
      </c>
      <c r="F12" s="37" t="s">
        <v>943</v>
      </c>
      <c r="G12" s="37" t="s">
        <v>569</v>
      </c>
      <c r="H12" s="37" t="s">
        <v>944</v>
      </c>
      <c r="I12" s="37" t="s">
        <v>924</v>
      </c>
      <c r="J12" s="37" t="s">
        <v>924</v>
      </c>
      <c r="K12" s="39" t="s">
        <v>54</v>
      </c>
      <c r="L12" s="37"/>
      <c r="M12" s="37"/>
    </row>
    <row r="13" spans="1:13" ht="21.75" customHeight="1" x14ac:dyDescent="0.25">
      <c r="A13" s="40" t="s">
        <v>325</v>
      </c>
      <c r="B13" s="36" t="s">
        <v>945</v>
      </c>
      <c r="C13" s="41" t="s">
        <v>326</v>
      </c>
      <c r="D13" s="38" t="s">
        <v>61</v>
      </c>
      <c r="E13" s="41" t="s">
        <v>946</v>
      </c>
      <c r="F13" s="41" t="s">
        <v>947</v>
      </c>
      <c r="G13" s="41" t="s">
        <v>948</v>
      </c>
      <c r="H13" s="41" t="s">
        <v>949</v>
      </c>
      <c r="I13" s="41" t="s">
        <v>924</v>
      </c>
      <c r="J13" s="41" t="s">
        <v>924</v>
      </c>
      <c r="K13" s="39" t="s">
        <v>54</v>
      </c>
      <c r="L13" s="41"/>
      <c r="M13" s="41"/>
    </row>
    <row r="14" spans="1:13" ht="15" customHeight="1" x14ac:dyDescent="0.25">
      <c r="A14" s="35" t="s">
        <v>327</v>
      </c>
      <c r="B14" s="36" t="s">
        <v>919</v>
      </c>
      <c r="C14" s="37" t="s">
        <v>328</v>
      </c>
      <c r="D14" s="38" t="s">
        <v>62</v>
      </c>
      <c r="E14" s="37" t="s">
        <v>950</v>
      </c>
      <c r="F14" s="37" t="s">
        <v>951</v>
      </c>
      <c r="G14" s="37" t="s">
        <v>573</v>
      </c>
      <c r="H14" s="37" t="s">
        <v>952</v>
      </c>
      <c r="I14" s="37" t="s">
        <v>924</v>
      </c>
      <c r="J14" s="37" t="s">
        <v>924</v>
      </c>
      <c r="K14" s="39" t="s">
        <v>54</v>
      </c>
      <c r="L14" s="37"/>
      <c r="M14" s="37"/>
    </row>
  </sheetData>
  <mergeCells count="3">
    <mergeCell ref="A1:M1"/>
    <mergeCell ref="A2:M2"/>
    <mergeCell ref="A5:M5"/>
  </mergeCells>
  <dataValidations count="2">
    <dataValidation type="list" allowBlank="1" sqref="K6:K14" xr:uid="{00000000-0002-0000-0900-000000000000}">
      <formula1>"Not Run,Pass,Fail,Blocked,Skip"</formula1>
      <formula2>0</formula2>
    </dataValidation>
    <dataValidation type="list" allowBlank="1" sqref="D6:D14" xr:uid="{00000000-0002-0000-0900-000001000000}">
      <formula1>"P1,P2,P3"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27"/>
  <sheetViews>
    <sheetView showGridLines="0" zoomScaleNormal="100" workbookViewId="0">
      <pane ySplit="4" topLeftCell="A14" activePane="bottomLeft" state="frozen"/>
      <selection pane="bottomLeft" activeCell="L17" sqref="L17:L23"/>
    </sheetView>
  </sheetViews>
  <sheetFormatPr defaultColWidth="8.7109375" defaultRowHeight="15" x14ac:dyDescent="0.25"/>
  <cols>
    <col min="1" max="1" width="12" customWidth="1"/>
    <col min="2" max="2" width="24" customWidth="1"/>
    <col min="3" max="3" width="22" customWidth="1"/>
    <col min="4" max="4" width="9" customWidth="1"/>
    <col min="5" max="5" width="36" customWidth="1"/>
    <col min="6" max="6" width="14" customWidth="1"/>
    <col min="7" max="7" width="36" customWidth="1"/>
    <col min="8" max="8" width="38" customWidth="1"/>
    <col min="9" max="9" width="11" customWidth="1"/>
    <col min="10" max="11" width="10" customWidth="1"/>
    <col min="12" max="12" width="24" customWidth="1"/>
  </cols>
  <sheetData>
    <row r="1" spans="1:12" ht="24" customHeight="1" x14ac:dyDescent="0.25">
      <c r="A1" s="1" t="s">
        <v>953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5" customHeight="1" x14ac:dyDescent="0.25">
      <c r="A2" s="52" t="s">
        <v>954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</row>
    <row r="4" spans="1:12" ht="27.75" customHeight="1" x14ac:dyDescent="0.25">
      <c r="A4" s="34" t="s">
        <v>13</v>
      </c>
      <c r="B4" s="34" t="s">
        <v>955</v>
      </c>
      <c r="C4" s="34" t="s">
        <v>67</v>
      </c>
      <c r="D4" s="34" t="s">
        <v>68</v>
      </c>
      <c r="E4" s="34" t="s">
        <v>956</v>
      </c>
      <c r="F4" s="34" t="s">
        <v>957</v>
      </c>
      <c r="G4" s="34" t="s">
        <v>958</v>
      </c>
      <c r="H4" s="34" t="s">
        <v>959</v>
      </c>
      <c r="I4" s="34" t="s">
        <v>29</v>
      </c>
      <c r="J4" s="34" t="s">
        <v>31</v>
      </c>
      <c r="K4" s="34" t="s">
        <v>33</v>
      </c>
      <c r="L4" s="34" t="s">
        <v>35</v>
      </c>
    </row>
    <row r="5" spans="1:12" ht="15" customHeight="1" x14ac:dyDescent="0.25">
      <c r="A5" s="54" t="s">
        <v>960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</row>
    <row r="6" spans="1:12" ht="21.75" customHeight="1" x14ac:dyDescent="0.25">
      <c r="A6" s="35" t="s">
        <v>329</v>
      </c>
      <c r="B6" s="36" t="s">
        <v>961</v>
      </c>
      <c r="C6" s="37" t="s">
        <v>332</v>
      </c>
      <c r="D6" s="38" t="s">
        <v>61</v>
      </c>
      <c r="E6" s="37" t="s">
        <v>962</v>
      </c>
      <c r="F6" s="37" t="s">
        <v>963</v>
      </c>
      <c r="G6" s="37" t="s">
        <v>964</v>
      </c>
      <c r="H6" s="37" t="s">
        <v>965</v>
      </c>
      <c r="I6" s="45" t="s">
        <v>78</v>
      </c>
      <c r="J6" s="39" t="s">
        <v>54</v>
      </c>
      <c r="K6" s="37"/>
      <c r="L6" s="37"/>
    </row>
    <row r="7" spans="1:12" ht="32.25" customHeight="1" x14ac:dyDescent="0.25">
      <c r="A7" s="40" t="s">
        <v>333</v>
      </c>
      <c r="B7" s="36" t="s">
        <v>961</v>
      </c>
      <c r="C7" s="41" t="s">
        <v>334</v>
      </c>
      <c r="D7" s="38" t="s">
        <v>61</v>
      </c>
      <c r="E7" s="41" t="s">
        <v>966</v>
      </c>
      <c r="F7" s="41" t="s">
        <v>963</v>
      </c>
      <c r="G7" s="41" t="s">
        <v>967</v>
      </c>
      <c r="H7" s="41" t="s">
        <v>968</v>
      </c>
      <c r="I7" s="42" t="s">
        <v>78</v>
      </c>
      <c r="J7" s="39" t="s">
        <v>54</v>
      </c>
      <c r="K7" s="41"/>
      <c r="L7" s="44"/>
    </row>
    <row r="8" spans="1:12" ht="21.75" customHeight="1" x14ac:dyDescent="0.25">
      <c r="A8" s="35" t="s">
        <v>335</v>
      </c>
      <c r="B8" s="36" t="s">
        <v>961</v>
      </c>
      <c r="C8" s="37" t="s">
        <v>336</v>
      </c>
      <c r="D8" s="38" t="s">
        <v>61</v>
      </c>
      <c r="E8" s="37" t="s">
        <v>969</v>
      </c>
      <c r="F8" s="37" t="s">
        <v>963</v>
      </c>
      <c r="G8" s="37" t="s">
        <v>970</v>
      </c>
      <c r="H8" s="37" t="s">
        <v>971</v>
      </c>
      <c r="I8" s="45" t="s">
        <v>78</v>
      </c>
      <c r="J8" s="39" t="s">
        <v>54</v>
      </c>
      <c r="K8" s="37"/>
      <c r="L8" s="37"/>
    </row>
    <row r="9" spans="1:12" ht="32.25" customHeight="1" x14ac:dyDescent="0.25">
      <c r="A9" s="40" t="s">
        <v>337</v>
      </c>
      <c r="B9" s="36" t="s">
        <v>961</v>
      </c>
      <c r="C9" s="41" t="s">
        <v>94</v>
      </c>
      <c r="D9" s="38" t="s">
        <v>61</v>
      </c>
      <c r="E9" s="41" t="s">
        <v>972</v>
      </c>
      <c r="F9" s="41" t="s">
        <v>973</v>
      </c>
      <c r="G9" s="41" t="s">
        <v>974</v>
      </c>
      <c r="H9" s="41" t="s">
        <v>975</v>
      </c>
      <c r="I9" s="42" t="s">
        <v>78</v>
      </c>
      <c r="J9" s="39" t="s">
        <v>54</v>
      </c>
      <c r="K9" s="41"/>
      <c r="L9" s="44"/>
    </row>
    <row r="10" spans="1:12" ht="15" customHeight="1" x14ac:dyDescent="0.25">
      <c r="A10" s="54" t="s">
        <v>976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</row>
    <row r="11" spans="1:12" ht="21.75" customHeight="1" x14ac:dyDescent="0.25">
      <c r="A11" s="35" t="s">
        <v>338</v>
      </c>
      <c r="B11" s="36" t="s">
        <v>977</v>
      </c>
      <c r="C11" s="37" t="s">
        <v>340</v>
      </c>
      <c r="D11" s="38" t="s">
        <v>61</v>
      </c>
      <c r="E11" s="37" t="s">
        <v>978</v>
      </c>
      <c r="F11" s="37" t="s">
        <v>979</v>
      </c>
      <c r="G11" s="37" t="s">
        <v>980</v>
      </c>
      <c r="H11" s="37" t="s">
        <v>981</v>
      </c>
      <c r="I11" s="45" t="s">
        <v>78</v>
      </c>
      <c r="J11" s="39" t="s">
        <v>54</v>
      </c>
      <c r="K11" s="37"/>
      <c r="L11" s="37"/>
    </row>
    <row r="12" spans="1:12" ht="32.25" customHeight="1" x14ac:dyDescent="0.25">
      <c r="A12" s="40" t="s">
        <v>341</v>
      </c>
      <c r="B12" s="36" t="s">
        <v>977</v>
      </c>
      <c r="C12" s="41" t="s">
        <v>90</v>
      </c>
      <c r="D12" s="38" t="s">
        <v>61</v>
      </c>
      <c r="E12" s="41" t="s">
        <v>982</v>
      </c>
      <c r="F12" s="41" t="s">
        <v>983</v>
      </c>
      <c r="G12" s="41" t="s">
        <v>984</v>
      </c>
      <c r="H12" s="41" t="s">
        <v>985</v>
      </c>
      <c r="I12" s="42" t="s">
        <v>78</v>
      </c>
      <c r="J12" s="39" t="s">
        <v>54</v>
      </c>
      <c r="K12" s="41"/>
      <c r="L12" s="44"/>
    </row>
    <row r="13" spans="1:12" ht="21.75" customHeight="1" x14ac:dyDescent="0.25">
      <c r="A13" s="35" t="s">
        <v>342</v>
      </c>
      <c r="B13" s="36" t="s">
        <v>986</v>
      </c>
      <c r="C13" s="37" t="s">
        <v>90</v>
      </c>
      <c r="D13" s="38" t="s">
        <v>61</v>
      </c>
      <c r="E13" s="37" t="s">
        <v>987</v>
      </c>
      <c r="F13" s="37" t="s">
        <v>963</v>
      </c>
      <c r="G13" s="37" t="s">
        <v>988</v>
      </c>
      <c r="H13" s="37" t="s">
        <v>989</v>
      </c>
      <c r="I13" s="45" t="s">
        <v>78</v>
      </c>
      <c r="J13" s="39" t="s">
        <v>54</v>
      </c>
      <c r="K13" s="37"/>
      <c r="L13" s="37"/>
    </row>
    <row r="14" spans="1:12" ht="32.25" customHeight="1" x14ac:dyDescent="0.25">
      <c r="A14" s="40" t="s">
        <v>343</v>
      </c>
      <c r="B14" s="36" t="s">
        <v>986</v>
      </c>
      <c r="C14" s="41" t="s">
        <v>344</v>
      </c>
      <c r="D14" s="38" t="s">
        <v>61</v>
      </c>
      <c r="E14" s="41" t="s">
        <v>990</v>
      </c>
      <c r="F14" s="41" t="s">
        <v>991</v>
      </c>
      <c r="G14" s="41" t="s">
        <v>992</v>
      </c>
      <c r="H14" s="41" t="s">
        <v>993</v>
      </c>
      <c r="I14" s="42" t="s">
        <v>78</v>
      </c>
      <c r="J14" s="39" t="s">
        <v>54</v>
      </c>
      <c r="K14" s="41"/>
      <c r="L14" s="44"/>
    </row>
    <row r="15" spans="1:12" ht="21.75" customHeight="1" x14ac:dyDescent="0.25">
      <c r="A15" s="35" t="s">
        <v>345</v>
      </c>
      <c r="B15" s="36" t="s">
        <v>986</v>
      </c>
      <c r="C15" s="37" t="s">
        <v>90</v>
      </c>
      <c r="D15" s="38" t="s">
        <v>62</v>
      </c>
      <c r="E15" s="37" t="s">
        <v>994</v>
      </c>
      <c r="F15" s="37" t="s">
        <v>963</v>
      </c>
      <c r="G15" s="37" t="s">
        <v>995</v>
      </c>
      <c r="H15" s="37" t="s">
        <v>996</v>
      </c>
      <c r="I15" s="45" t="s">
        <v>78</v>
      </c>
      <c r="J15" s="39" t="s">
        <v>54</v>
      </c>
      <c r="K15" s="37"/>
      <c r="L15" s="37"/>
    </row>
    <row r="16" spans="1:12" ht="15" customHeight="1" x14ac:dyDescent="0.25">
      <c r="A16" s="54" t="s">
        <v>997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</row>
    <row r="17" spans="1:12" ht="21.75" customHeight="1" x14ac:dyDescent="0.25">
      <c r="A17" s="35" t="s">
        <v>346</v>
      </c>
      <c r="B17" s="36" t="s">
        <v>998</v>
      </c>
      <c r="C17" s="37" t="s">
        <v>94</v>
      </c>
      <c r="D17" s="38" t="s">
        <v>61</v>
      </c>
      <c r="E17" s="37" t="s">
        <v>999</v>
      </c>
      <c r="F17" s="37" t="s">
        <v>973</v>
      </c>
      <c r="G17" s="37" t="s">
        <v>1000</v>
      </c>
      <c r="H17" s="37" t="s">
        <v>1001</v>
      </c>
      <c r="I17" s="45" t="s">
        <v>78</v>
      </c>
      <c r="J17" s="39" t="s">
        <v>54</v>
      </c>
      <c r="K17" s="37"/>
      <c r="L17" s="37"/>
    </row>
    <row r="18" spans="1:12" ht="32.25" customHeight="1" x14ac:dyDescent="0.25">
      <c r="A18" s="40" t="s">
        <v>348</v>
      </c>
      <c r="B18" s="36" t="s">
        <v>998</v>
      </c>
      <c r="C18" s="41" t="s">
        <v>349</v>
      </c>
      <c r="D18" s="38" t="s">
        <v>62</v>
      </c>
      <c r="E18" s="41" t="s">
        <v>1002</v>
      </c>
      <c r="F18" s="41" t="s">
        <v>1003</v>
      </c>
      <c r="G18" s="41" t="s">
        <v>1004</v>
      </c>
      <c r="H18" s="41" t="s">
        <v>1005</v>
      </c>
      <c r="I18" s="42" t="s">
        <v>78</v>
      </c>
      <c r="J18" s="39" t="s">
        <v>54</v>
      </c>
      <c r="K18" s="41"/>
      <c r="L18" s="44"/>
    </row>
    <row r="19" spans="1:12" ht="21.75" customHeight="1" x14ac:dyDescent="0.25">
      <c r="A19" s="35" t="s">
        <v>350</v>
      </c>
      <c r="B19" s="36" t="s">
        <v>1006</v>
      </c>
      <c r="C19" s="37" t="s">
        <v>351</v>
      </c>
      <c r="D19" s="38" t="s">
        <v>61</v>
      </c>
      <c r="E19" s="37" t="s">
        <v>1007</v>
      </c>
      <c r="F19" s="37" t="s">
        <v>963</v>
      </c>
      <c r="G19" s="37" t="s">
        <v>1008</v>
      </c>
      <c r="H19" s="37" t="s">
        <v>1009</v>
      </c>
      <c r="I19" s="45" t="s">
        <v>78</v>
      </c>
      <c r="J19" s="39" t="s">
        <v>54</v>
      </c>
      <c r="K19" s="37"/>
      <c r="L19" s="37"/>
    </row>
    <row r="20" spans="1:12" ht="32.25" customHeight="1" x14ac:dyDescent="0.25">
      <c r="A20" s="40" t="s">
        <v>352</v>
      </c>
      <c r="B20" s="36" t="s">
        <v>1006</v>
      </c>
      <c r="C20" s="41" t="s">
        <v>353</v>
      </c>
      <c r="D20" s="38" t="s">
        <v>61</v>
      </c>
      <c r="E20" s="41" t="s">
        <v>1010</v>
      </c>
      <c r="F20" s="41" t="s">
        <v>1011</v>
      </c>
      <c r="G20" s="41" t="s">
        <v>1012</v>
      </c>
      <c r="H20" s="41" t="s">
        <v>1013</v>
      </c>
      <c r="I20" s="42" t="s">
        <v>78</v>
      </c>
      <c r="J20" s="39" t="s">
        <v>54</v>
      </c>
      <c r="K20" s="41"/>
      <c r="L20" s="44"/>
    </row>
    <row r="21" spans="1:12" ht="21.75" customHeight="1" x14ac:dyDescent="0.25">
      <c r="A21" s="35" t="s">
        <v>354</v>
      </c>
      <c r="B21" s="36" t="s">
        <v>1006</v>
      </c>
      <c r="C21" s="37" t="s">
        <v>355</v>
      </c>
      <c r="D21" s="38" t="s">
        <v>61</v>
      </c>
      <c r="E21" s="37" t="s">
        <v>1014</v>
      </c>
      <c r="F21" s="37" t="s">
        <v>963</v>
      </c>
      <c r="G21" s="37" t="s">
        <v>1015</v>
      </c>
      <c r="H21" s="37" t="s">
        <v>1016</v>
      </c>
      <c r="I21" s="45" t="s">
        <v>78</v>
      </c>
      <c r="J21" s="39" t="s">
        <v>54</v>
      </c>
      <c r="K21" s="37"/>
      <c r="L21" s="37"/>
    </row>
    <row r="22" spans="1:12" ht="32.25" customHeight="1" x14ac:dyDescent="0.25">
      <c r="A22" s="40" t="s">
        <v>356</v>
      </c>
      <c r="B22" s="36" t="s">
        <v>1017</v>
      </c>
      <c r="C22" s="41" t="s">
        <v>357</v>
      </c>
      <c r="D22" s="38" t="s">
        <v>61</v>
      </c>
      <c r="E22" s="41" t="s">
        <v>1018</v>
      </c>
      <c r="F22" s="41" t="s">
        <v>1019</v>
      </c>
      <c r="G22" s="41" t="s">
        <v>1020</v>
      </c>
      <c r="H22" s="41" t="s">
        <v>1021</v>
      </c>
      <c r="I22" s="42" t="s">
        <v>78</v>
      </c>
      <c r="J22" s="39" t="s">
        <v>54</v>
      </c>
      <c r="K22" s="41"/>
      <c r="L22" s="44"/>
    </row>
    <row r="23" spans="1:12" ht="21.75" customHeight="1" x14ac:dyDescent="0.25">
      <c r="A23" s="35" t="s">
        <v>358</v>
      </c>
      <c r="B23" s="36" t="s">
        <v>1006</v>
      </c>
      <c r="C23" s="37" t="s">
        <v>359</v>
      </c>
      <c r="D23" s="38" t="s">
        <v>61</v>
      </c>
      <c r="E23" s="37" t="s">
        <v>1022</v>
      </c>
      <c r="F23" s="37" t="s">
        <v>963</v>
      </c>
      <c r="G23" s="37" t="s">
        <v>1023</v>
      </c>
      <c r="H23" s="37" t="s">
        <v>1024</v>
      </c>
      <c r="I23" s="45" t="s">
        <v>78</v>
      </c>
      <c r="J23" s="39" t="s">
        <v>54</v>
      </c>
      <c r="K23" s="37"/>
      <c r="L23" s="37"/>
    </row>
    <row r="24" spans="1:12" ht="15" customHeight="1" x14ac:dyDescent="0.25">
      <c r="A24" s="54" t="s">
        <v>1025</v>
      </c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</row>
    <row r="25" spans="1:12" ht="21.75" customHeight="1" x14ac:dyDescent="0.25">
      <c r="A25" s="35" t="s">
        <v>360</v>
      </c>
      <c r="B25" s="36" t="s">
        <v>1026</v>
      </c>
      <c r="C25" s="37" t="s">
        <v>340</v>
      </c>
      <c r="D25" s="38" t="s">
        <v>62</v>
      </c>
      <c r="E25" s="37" t="s">
        <v>1027</v>
      </c>
      <c r="F25" s="37" t="s">
        <v>1003</v>
      </c>
      <c r="G25" s="37" t="s">
        <v>1028</v>
      </c>
      <c r="H25" s="37" t="s">
        <v>1029</v>
      </c>
      <c r="I25" s="45" t="s">
        <v>78</v>
      </c>
      <c r="J25" s="39" t="s">
        <v>54</v>
      </c>
      <c r="K25" s="37"/>
      <c r="L25" s="37"/>
    </row>
    <row r="26" spans="1:12" ht="32.25" customHeight="1" x14ac:dyDescent="0.25">
      <c r="A26" s="40" t="s">
        <v>362</v>
      </c>
      <c r="B26" s="36" t="s">
        <v>1030</v>
      </c>
      <c r="C26" s="41" t="s">
        <v>363</v>
      </c>
      <c r="D26" s="38" t="s">
        <v>61</v>
      </c>
      <c r="E26" s="41" t="s">
        <v>1031</v>
      </c>
      <c r="F26" s="41" t="s">
        <v>1032</v>
      </c>
      <c r="G26" s="41" t="s">
        <v>1033</v>
      </c>
      <c r="H26" s="41" t="s">
        <v>1034</v>
      </c>
      <c r="I26" s="42" t="s">
        <v>78</v>
      </c>
      <c r="J26" s="39" t="s">
        <v>54</v>
      </c>
      <c r="K26" s="41"/>
      <c r="L26" s="44"/>
    </row>
    <row r="27" spans="1:12" ht="21.75" customHeight="1" x14ac:dyDescent="0.25">
      <c r="A27" s="35" t="s">
        <v>364</v>
      </c>
      <c r="B27" s="36" t="s">
        <v>1017</v>
      </c>
      <c r="C27" s="37" t="s">
        <v>365</v>
      </c>
      <c r="D27" s="38" t="s">
        <v>61</v>
      </c>
      <c r="E27" s="37" t="s">
        <v>1035</v>
      </c>
      <c r="F27" s="37" t="s">
        <v>963</v>
      </c>
      <c r="G27" s="37" t="s">
        <v>1036</v>
      </c>
      <c r="H27" s="37" t="s">
        <v>1037</v>
      </c>
      <c r="I27" s="45" t="s">
        <v>78</v>
      </c>
      <c r="J27" s="39" t="s">
        <v>54</v>
      </c>
      <c r="K27" s="37"/>
      <c r="L27" s="37"/>
    </row>
  </sheetData>
  <mergeCells count="6">
    <mergeCell ref="A24:L24"/>
    <mergeCell ref="A1:L1"/>
    <mergeCell ref="A2:L2"/>
    <mergeCell ref="A5:L5"/>
    <mergeCell ref="A10:L10"/>
    <mergeCell ref="A16:L16"/>
  </mergeCells>
  <dataValidations count="2">
    <dataValidation type="list" allowBlank="1" sqref="J6:J9 J11:J15 J17:J23 J25:J27" xr:uid="{00000000-0002-0000-0A00-000000000000}">
      <formula1>"Not Run,Pass,Fail,Blocked,Skip"</formula1>
      <formula2>0</formula2>
    </dataValidation>
    <dataValidation type="list" allowBlank="1" sqref="D6:D9 D11:D15 D17:D23 D25:D27" xr:uid="{00000000-0002-0000-0A00-000001000000}">
      <formula1>"P1,P2,P3"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23"/>
  <sheetViews>
    <sheetView showGridLines="0" zoomScaleNormal="100" workbookViewId="0">
      <pane ySplit="4" topLeftCell="A10" activePane="bottomLeft" state="frozen"/>
      <selection pane="bottomLeft" activeCell="O13" sqref="O13:O23"/>
    </sheetView>
  </sheetViews>
  <sheetFormatPr defaultColWidth="8.7109375" defaultRowHeight="15" x14ac:dyDescent="0.25"/>
  <cols>
    <col min="1" max="1" width="12" customWidth="1"/>
    <col min="2" max="2" width="20" customWidth="1"/>
    <col min="3" max="3" width="24" customWidth="1"/>
    <col min="4" max="4" width="10" customWidth="1"/>
    <col min="5" max="5" width="9" customWidth="1"/>
    <col min="6" max="6" width="32" customWidth="1"/>
    <col min="7" max="7" width="24" customWidth="1"/>
    <col min="8" max="8" width="34" customWidth="1"/>
    <col min="9" max="9" width="16" customWidth="1"/>
    <col min="10" max="10" width="42" customWidth="1"/>
    <col min="11" max="11" width="26" customWidth="1"/>
    <col min="12" max="12" width="11" customWidth="1"/>
    <col min="13" max="14" width="10" customWidth="1"/>
    <col min="15" max="15" width="32" customWidth="1"/>
  </cols>
  <sheetData>
    <row r="1" spans="1:15" ht="24" customHeight="1" x14ac:dyDescent="0.25">
      <c r="A1" s="1" t="s">
        <v>1038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" customHeight="1" x14ac:dyDescent="0.25">
      <c r="A2" s="52" t="s">
        <v>1039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4" spans="1:15" ht="27.75" customHeight="1" x14ac:dyDescent="0.25">
      <c r="A4" s="25" t="s">
        <v>13</v>
      </c>
      <c r="B4" s="25" t="s">
        <v>15</v>
      </c>
      <c r="C4" s="25" t="s">
        <v>67</v>
      </c>
      <c r="D4" s="25" t="s">
        <v>438</v>
      </c>
      <c r="E4" s="25" t="s">
        <v>68</v>
      </c>
      <c r="F4" s="25" t="s">
        <v>17</v>
      </c>
      <c r="G4" s="25" t="s">
        <v>19</v>
      </c>
      <c r="H4" s="25" t="s">
        <v>21</v>
      </c>
      <c r="I4" s="25" t="s">
        <v>23</v>
      </c>
      <c r="J4" s="25" t="s">
        <v>25</v>
      </c>
      <c r="K4" s="25" t="s">
        <v>27</v>
      </c>
      <c r="L4" s="25" t="s">
        <v>29</v>
      </c>
      <c r="M4" s="25" t="s">
        <v>31</v>
      </c>
      <c r="N4" s="25" t="s">
        <v>33</v>
      </c>
      <c r="O4" s="25" t="s">
        <v>35</v>
      </c>
    </row>
    <row r="5" spans="1:15" ht="18" customHeight="1" x14ac:dyDescent="0.25">
      <c r="A5" s="53" t="s">
        <v>1040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</row>
    <row r="6" spans="1:15" ht="33.75" customHeight="1" x14ac:dyDescent="0.25">
      <c r="A6" s="46" t="s">
        <v>366</v>
      </c>
      <c r="B6" s="47" t="s">
        <v>440</v>
      </c>
      <c r="C6" s="48" t="s">
        <v>369</v>
      </c>
      <c r="D6" s="48" t="s">
        <v>867</v>
      </c>
      <c r="E6" s="28" t="s">
        <v>61</v>
      </c>
      <c r="F6" s="48" t="s">
        <v>1041</v>
      </c>
      <c r="G6" s="48" t="s">
        <v>872</v>
      </c>
      <c r="H6" s="48" t="s">
        <v>1042</v>
      </c>
      <c r="I6" s="48" t="s">
        <v>445</v>
      </c>
      <c r="J6" s="48" t="s">
        <v>1043</v>
      </c>
      <c r="K6" s="48" t="s">
        <v>447</v>
      </c>
      <c r="L6" s="48" t="s">
        <v>75</v>
      </c>
      <c r="M6" s="49" t="s">
        <v>54</v>
      </c>
      <c r="N6" s="48"/>
      <c r="O6" s="50"/>
    </row>
    <row r="7" spans="1:15" ht="33.75" customHeight="1" x14ac:dyDescent="0.25">
      <c r="A7" s="30" t="s">
        <v>370</v>
      </c>
      <c r="B7" s="47" t="s">
        <v>448</v>
      </c>
      <c r="C7" s="31" t="s">
        <v>94</v>
      </c>
      <c r="D7" s="31" t="s">
        <v>867</v>
      </c>
      <c r="E7" s="28" t="s">
        <v>61</v>
      </c>
      <c r="F7" s="31" t="s">
        <v>1041</v>
      </c>
      <c r="G7" s="31" t="s">
        <v>573</v>
      </c>
      <c r="H7" s="31" t="s">
        <v>1044</v>
      </c>
      <c r="I7" s="31" t="s">
        <v>542</v>
      </c>
      <c r="J7" s="31" t="s">
        <v>1045</v>
      </c>
      <c r="K7" s="31" t="s">
        <v>544</v>
      </c>
      <c r="L7" s="32" t="s">
        <v>78</v>
      </c>
      <c r="M7" s="49" t="s">
        <v>54</v>
      </c>
      <c r="N7" s="31"/>
      <c r="O7" s="31"/>
    </row>
    <row r="8" spans="1:15" ht="33.75" customHeight="1" x14ac:dyDescent="0.25">
      <c r="A8" s="46" t="s">
        <v>371</v>
      </c>
      <c r="B8" s="47" t="s">
        <v>448</v>
      </c>
      <c r="C8" s="48" t="s">
        <v>372</v>
      </c>
      <c r="D8" s="48" t="s">
        <v>867</v>
      </c>
      <c r="E8" s="28" t="s">
        <v>61</v>
      </c>
      <c r="F8" s="48" t="s">
        <v>1046</v>
      </c>
      <c r="G8" s="48" t="s">
        <v>872</v>
      </c>
      <c r="H8" s="48" t="s">
        <v>1047</v>
      </c>
      <c r="I8" s="48" t="s">
        <v>450</v>
      </c>
      <c r="J8" s="48" t="s">
        <v>1048</v>
      </c>
      <c r="K8" s="48" t="s">
        <v>447</v>
      </c>
      <c r="L8" s="48" t="s">
        <v>78</v>
      </c>
      <c r="M8" s="49" t="s">
        <v>54</v>
      </c>
      <c r="N8" s="48"/>
      <c r="O8" s="50"/>
    </row>
    <row r="9" spans="1:15" ht="33.75" customHeight="1" x14ac:dyDescent="0.25">
      <c r="A9" s="30" t="s">
        <v>373</v>
      </c>
      <c r="B9" s="47" t="s">
        <v>440</v>
      </c>
      <c r="C9" s="31" t="s">
        <v>374</v>
      </c>
      <c r="D9" s="31" t="s">
        <v>867</v>
      </c>
      <c r="E9" s="28" t="s">
        <v>61</v>
      </c>
      <c r="F9" s="31" t="s">
        <v>1049</v>
      </c>
      <c r="G9" s="31" t="s">
        <v>872</v>
      </c>
      <c r="H9" s="31" t="s">
        <v>1050</v>
      </c>
      <c r="I9" s="31" t="s">
        <v>482</v>
      </c>
      <c r="J9" s="31" t="s">
        <v>1051</v>
      </c>
      <c r="K9" s="31" t="s">
        <v>447</v>
      </c>
      <c r="L9" s="32" t="s">
        <v>75</v>
      </c>
      <c r="M9" s="49" t="s">
        <v>54</v>
      </c>
      <c r="N9" s="31"/>
      <c r="O9" s="31"/>
    </row>
    <row r="10" spans="1:15" ht="33.75" customHeight="1" x14ac:dyDescent="0.25">
      <c r="A10" s="46" t="s">
        <v>375</v>
      </c>
      <c r="B10" s="47" t="s">
        <v>458</v>
      </c>
      <c r="C10" s="48" t="s">
        <v>290</v>
      </c>
      <c r="D10" s="48" t="s">
        <v>867</v>
      </c>
      <c r="E10" s="28" t="s">
        <v>61</v>
      </c>
      <c r="F10" s="48" t="s">
        <v>1052</v>
      </c>
      <c r="G10" s="48" t="s">
        <v>872</v>
      </c>
      <c r="H10" s="48" t="s">
        <v>1053</v>
      </c>
      <c r="I10" s="48" t="s">
        <v>482</v>
      </c>
      <c r="J10" s="48" t="s">
        <v>1054</v>
      </c>
      <c r="K10" s="48" t="s">
        <v>447</v>
      </c>
      <c r="L10" s="48" t="s">
        <v>75</v>
      </c>
      <c r="M10" s="49" t="s">
        <v>54</v>
      </c>
      <c r="N10" s="48"/>
      <c r="O10" s="50"/>
    </row>
    <row r="11" spans="1:15" ht="33.75" customHeight="1" x14ac:dyDescent="0.25">
      <c r="A11" s="30" t="s">
        <v>376</v>
      </c>
      <c r="B11" s="47" t="s">
        <v>448</v>
      </c>
      <c r="C11" s="31" t="s">
        <v>377</v>
      </c>
      <c r="D11" s="31" t="s">
        <v>867</v>
      </c>
      <c r="E11" s="28" t="s">
        <v>61</v>
      </c>
      <c r="F11" s="31" t="s">
        <v>1049</v>
      </c>
      <c r="G11" s="31" t="s">
        <v>872</v>
      </c>
      <c r="H11" s="31" t="s">
        <v>1055</v>
      </c>
      <c r="I11" s="31" t="s">
        <v>450</v>
      </c>
      <c r="J11" s="31" t="s">
        <v>1056</v>
      </c>
      <c r="K11" s="31" t="s">
        <v>883</v>
      </c>
      <c r="L11" s="32" t="s">
        <v>78</v>
      </c>
      <c r="M11" s="49" t="s">
        <v>54</v>
      </c>
      <c r="N11" s="31"/>
      <c r="O11" s="31"/>
    </row>
    <row r="12" spans="1:15" ht="18" customHeight="1" x14ac:dyDescent="0.25">
      <c r="A12" s="53" t="s">
        <v>1057</v>
      </c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</row>
    <row r="13" spans="1:15" ht="33.75" customHeight="1" x14ac:dyDescent="0.25">
      <c r="A13" s="46" t="s">
        <v>378</v>
      </c>
      <c r="B13" s="47" t="s">
        <v>448</v>
      </c>
      <c r="C13" s="48" t="s">
        <v>288</v>
      </c>
      <c r="D13" s="48" t="s">
        <v>867</v>
      </c>
      <c r="E13" s="28" t="s">
        <v>61</v>
      </c>
      <c r="F13" s="48" t="s">
        <v>876</v>
      </c>
      <c r="G13" s="48" t="s">
        <v>872</v>
      </c>
      <c r="H13" s="48" t="s">
        <v>877</v>
      </c>
      <c r="I13" s="48" t="s">
        <v>542</v>
      </c>
      <c r="J13" s="48" t="s">
        <v>878</v>
      </c>
      <c r="K13" s="48" t="s">
        <v>879</v>
      </c>
      <c r="L13" s="48" t="s">
        <v>78</v>
      </c>
      <c r="M13" s="49" t="s">
        <v>54</v>
      </c>
      <c r="N13" s="48"/>
      <c r="O13" s="50"/>
    </row>
    <row r="14" spans="1:15" ht="33.75" customHeight="1" x14ac:dyDescent="0.25">
      <c r="A14" s="30" t="s">
        <v>380</v>
      </c>
      <c r="B14" s="47" t="s">
        <v>440</v>
      </c>
      <c r="C14" s="31" t="s">
        <v>381</v>
      </c>
      <c r="D14" s="31" t="s">
        <v>867</v>
      </c>
      <c r="E14" s="28" t="s">
        <v>62</v>
      </c>
      <c r="F14" s="31" t="s">
        <v>1058</v>
      </c>
      <c r="G14" s="31" t="s">
        <v>872</v>
      </c>
      <c r="H14" s="31" t="s">
        <v>1059</v>
      </c>
      <c r="I14" s="31" t="s">
        <v>482</v>
      </c>
      <c r="J14" s="31" t="s">
        <v>1060</v>
      </c>
      <c r="K14" s="31" t="s">
        <v>447</v>
      </c>
      <c r="L14" s="32" t="s">
        <v>75</v>
      </c>
      <c r="M14" s="49" t="s">
        <v>54</v>
      </c>
      <c r="N14" s="31"/>
      <c r="O14" s="31"/>
    </row>
    <row r="15" spans="1:15" ht="33.75" customHeight="1" x14ac:dyDescent="0.25">
      <c r="A15" s="46" t="s">
        <v>382</v>
      </c>
      <c r="B15" s="47" t="s">
        <v>440</v>
      </c>
      <c r="C15" s="48" t="s">
        <v>383</v>
      </c>
      <c r="D15" s="48" t="s">
        <v>674</v>
      </c>
      <c r="E15" s="28" t="s">
        <v>61</v>
      </c>
      <c r="F15" s="48" t="s">
        <v>1061</v>
      </c>
      <c r="G15" s="48" t="s">
        <v>569</v>
      </c>
      <c r="H15" s="48" t="s">
        <v>1062</v>
      </c>
      <c r="I15" s="48" t="s">
        <v>482</v>
      </c>
      <c r="J15" s="48" t="s">
        <v>1063</v>
      </c>
      <c r="K15" s="48" t="s">
        <v>447</v>
      </c>
      <c r="L15" s="48" t="s">
        <v>75</v>
      </c>
      <c r="M15" s="49" t="s">
        <v>54</v>
      </c>
      <c r="N15" s="48"/>
      <c r="O15" s="50"/>
    </row>
    <row r="16" spans="1:15" ht="33.75" customHeight="1" x14ac:dyDescent="0.25">
      <c r="A16" s="30" t="s">
        <v>384</v>
      </c>
      <c r="B16" s="47" t="s">
        <v>448</v>
      </c>
      <c r="C16" s="31" t="s">
        <v>385</v>
      </c>
      <c r="D16" s="31" t="s">
        <v>674</v>
      </c>
      <c r="E16" s="28" t="s">
        <v>62</v>
      </c>
      <c r="F16" s="31" t="s">
        <v>1064</v>
      </c>
      <c r="G16" s="31" t="s">
        <v>872</v>
      </c>
      <c r="H16" s="31" t="s">
        <v>1065</v>
      </c>
      <c r="I16" s="31" t="s">
        <v>450</v>
      </c>
      <c r="J16" s="31" t="s">
        <v>1066</v>
      </c>
      <c r="K16" s="31" t="s">
        <v>447</v>
      </c>
      <c r="L16" s="32" t="s">
        <v>78</v>
      </c>
      <c r="M16" s="49" t="s">
        <v>54</v>
      </c>
      <c r="N16" s="31"/>
      <c r="O16" s="31"/>
    </row>
    <row r="17" spans="1:15" ht="33.75" customHeight="1" x14ac:dyDescent="0.25">
      <c r="A17" s="46" t="s">
        <v>386</v>
      </c>
      <c r="B17" s="47" t="s">
        <v>458</v>
      </c>
      <c r="C17" s="48" t="s">
        <v>387</v>
      </c>
      <c r="D17" s="48" t="s">
        <v>528</v>
      </c>
      <c r="E17" s="28" t="s">
        <v>61</v>
      </c>
      <c r="F17" s="48" t="s">
        <v>1067</v>
      </c>
      <c r="G17" s="48" t="s">
        <v>460</v>
      </c>
      <c r="H17" s="48" t="s">
        <v>1068</v>
      </c>
      <c r="I17" s="48" t="s">
        <v>482</v>
      </c>
      <c r="J17" s="48" t="s">
        <v>1069</v>
      </c>
      <c r="K17" s="48" t="s">
        <v>447</v>
      </c>
      <c r="L17" s="48" t="s">
        <v>75</v>
      </c>
      <c r="M17" s="49" t="s">
        <v>54</v>
      </c>
      <c r="N17" s="48"/>
      <c r="O17" s="50"/>
    </row>
    <row r="18" spans="1:15" ht="33.75" customHeight="1" x14ac:dyDescent="0.25">
      <c r="A18" s="30" t="s">
        <v>388</v>
      </c>
      <c r="B18" s="47" t="s">
        <v>448</v>
      </c>
      <c r="C18" s="31" t="s">
        <v>389</v>
      </c>
      <c r="D18" s="31" t="s">
        <v>528</v>
      </c>
      <c r="E18" s="28" t="s">
        <v>61</v>
      </c>
      <c r="F18" s="31" t="s">
        <v>1070</v>
      </c>
      <c r="G18" s="31" t="s">
        <v>872</v>
      </c>
      <c r="H18" s="31" t="s">
        <v>1071</v>
      </c>
      <c r="I18" s="31" t="s">
        <v>1072</v>
      </c>
      <c r="J18" s="31" t="s">
        <v>1073</v>
      </c>
      <c r="K18" s="31" t="s">
        <v>447</v>
      </c>
      <c r="L18" s="32" t="s">
        <v>78</v>
      </c>
      <c r="M18" s="49" t="s">
        <v>54</v>
      </c>
      <c r="N18" s="31"/>
      <c r="O18" s="31"/>
    </row>
    <row r="19" spans="1:15" ht="33.75" customHeight="1" x14ac:dyDescent="0.25">
      <c r="A19" s="46" t="s">
        <v>390</v>
      </c>
      <c r="B19" s="47" t="s">
        <v>448</v>
      </c>
      <c r="C19" s="48" t="s">
        <v>391</v>
      </c>
      <c r="D19" s="48" t="s">
        <v>867</v>
      </c>
      <c r="E19" s="28" t="s">
        <v>61</v>
      </c>
      <c r="F19" s="48" t="s">
        <v>1074</v>
      </c>
      <c r="G19" s="48" t="s">
        <v>1075</v>
      </c>
      <c r="H19" s="48" t="s">
        <v>1076</v>
      </c>
      <c r="I19" s="48" t="s">
        <v>542</v>
      </c>
      <c r="J19" s="48" t="s">
        <v>1077</v>
      </c>
      <c r="K19" s="48" t="s">
        <v>871</v>
      </c>
      <c r="L19" s="48" t="s">
        <v>78</v>
      </c>
      <c r="M19" s="49" t="s">
        <v>54</v>
      </c>
      <c r="N19" s="48"/>
      <c r="O19" s="50"/>
    </row>
    <row r="20" spans="1:15" ht="33.75" customHeight="1" x14ac:dyDescent="0.25">
      <c r="A20" s="30" t="s">
        <v>392</v>
      </c>
      <c r="B20" s="47" t="s">
        <v>440</v>
      </c>
      <c r="C20" s="31" t="s">
        <v>393</v>
      </c>
      <c r="D20" s="31" t="s">
        <v>867</v>
      </c>
      <c r="E20" s="28" t="s">
        <v>62</v>
      </c>
      <c r="F20" s="31" t="s">
        <v>1078</v>
      </c>
      <c r="G20" s="31" t="s">
        <v>872</v>
      </c>
      <c r="H20" s="31" t="s">
        <v>1079</v>
      </c>
      <c r="I20" s="31" t="s">
        <v>482</v>
      </c>
      <c r="J20" s="31" t="s">
        <v>1080</v>
      </c>
      <c r="K20" s="31" t="s">
        <v>447</v>
      </c>
      <c r="L20" s="32" t="s">
        <v>75</v>
      </c>
      <c r="M20" s="49" t="s">
        <v>54</v>
      </c>
      <c r="N20" s="31"/>
      <c r="O20" s="31"/>
    </row>
    <row r="21" spans="1:15" ht="33.75" customHeight="1" x14ac:dyDescent="0.25">
      <c r="A21" s="46" t="s">
        <v>394</v>
      </c>
      <c r="B21" s="47" t="s">
        <v>559</v>
      </c>
      <c r="C21" s="48" t="s">
        <v>122</v>
      </c>
      <c r="D21" s="48" t="s">
        <v>546</v>
      </c>
      <c r="E21" s="28" t="s">
        <v>61</v>
      </c>
      <c r="F21" s="48" t="s">
        <v>1081</v>
      </c>
      <c r="G21" s="48" t="s">
        <v>872</v>
      </c>
      <c r="H21" s="48" t="s">
        <v>1082</v>
      </c>
      <c r="I21" s="48" t="s">
        <v>482</v>
      </c>
      <c r="J21" s="48" t="s">
        <v>1083</v>
      </c>
      <c r="K21" s="48" t="s">
        <v>562</v>
      </c>
      <c r="L21" s="48" t="s">
        <v>78</v>
      </c>
      <c r="M21" s="49" t="s">
        <v>54</v>
      </c>
      <c r="N21" s="48"/>
      <c r="O21" s="50"/>
    </row>
    <row r="22" spans="1:15" ht="33.75" customHeight="1" x14ac:dyDescent="0.25">
      <c r="A22" s="30" t="s">
        <v>395</v>
      </c>
      <c r="B22" s="47" t="s">
        <v>458</v>
      </c>
      <c r="C22" s="31" t="s">
        <v>396</v>
      </c>
      <c r="D22" s="31" t="s">
        <v>867</v>
      </c>
      <c r="E22" s="28" t="s">
        <v>61</v>
      </c>
      <c r="F22" s="31" t="s">
        <v>1078</v>
      </c>
      <c r="G22" s="31" t="s">
        <v>872</v>
      </c>
      <c r="H22" s="31" t="s">
        <v>1084</v>
      </c>
      <c r="I22" s="31" t="s">
        <v>482</v>
      </c>
      <c r="J22" s="31" t="s">
        <v>1085</v>
      </c>
      <c r="K22" s="31" t="s">
        <v>447</v>
      </c>
      <c r="L22" s="32" t="s">
        <v>75</v>
      </c>
      <c r="M22" s="49" t="s">
        <v>54</v>
      </c>
      <c r="N22" s="31"/>
      <c r="O22" s="31"/>
    </row>
    <row r="23" spans="1:15" ht="33.75" customHeight="1" x14ac:dyDescent="0.25">
      <c r="A23" s="46" t="s">
        <v>397</v>
      </c>
      <c r="B23" s="47" t="s">
        <v>440</v>
      </c>
      <c r="C23" s="48" t="s">
        <v>398</v>
      </c>
      <c r="D23" s="48" t="s">
        <v>867</v>
      </c>
      <c r="E23" s="28" t="s">
        <v>62</v>
      </c>
      <c r="F23" s="48" t="s">
        <v>1086</v>
      </c>
      <c r="G23" s="48" t="s">
        <v>1087</v>
      </c>
      <c r="H23" s="48" t="s">
        <v>1088</v>
      </c>
      <c r="I23" s="48" t="s">
        <v>482</v>
      </c>
      <c r="J23" s="48" t="s">
        <v>1089</v>
      </c>
      <c r="K23" s="48" t="s">
        <v>447</v>
      </c>
      <c r="L23" s="48" t="s">
        <v>75</v>
      </c>
      <c r="M23" s="49" t="s">
        <v>54</v>
      </c>
      <c r="N23" s="48"/>
      <c r="O23" s="50"/>
    </row>
  </sheetData>
  <mergeCells count="4">
    <mergeCell ref="A1:O1"/>
    <mergeCell ref="A2:O2"/>
    <mergeCell ref="A5:O5"/>
    <mergeCell ref="A12:O12"/>
  </mergeCells>
  <dataValidations count="2">
    <dataValidation type="list" allowBlank="1" sqref="M6:M11 M13:M23" xr:uid="{00000000-0002-0000-0B00-000000000000}">
      <formula1>"Not Run,Pass,Fail,Blocked,Skip,N/A"</formula1>
      <formula2>0</formula2>
    </dataValidation>
    <dataValidation type="list" allowBlank="1" sqref="E6:E11 E13:E23" xr:uid="{00000000-0002-0000-0B00-000001000000}">
      <formula1>"P1,P2,P3"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23"/>
  <sheetViews>
    <sheetView showGridLines="0" zoomScaleNormal="100" workbookViewId="0">
      <pane ySplit="4" topLeftCell="A13" activePane="bottomLeft" state="frozen"/>
      <selection pane="bottomLeft" activeCell="O18" sqref="O18:O23"/>
    </sheetView>
  </sheetViews>
  <sheetFormatPr defaultColWidth="8.7109375" defaultRowHeight="15" x14ac:dyDescent="0.25"/>
  <cols>
    <col min="1" max="1" width="12" customWidth="1"/>
    <col min="2" max="2" width="20" customWidth="1"/>
    <col min="3" max="3" width="24" customWidth="1"/>
    <col min="4" max="4" width="10" customWidth="1"/>
    <col min="5" max="5" width="9" customWidth="1"/>
    <col min="6" max="6" width="32" customWidth="1"/>
    <col min="7" max="7" width="24" customWidth="1"/>
    <col min="8" max="8" width="34" customWidth="1"/>
    <col min="9" max="9" width="16" customWidth="1"/>
    <col min="10" max="10" width="42" customWidth="1"/>
    <col min="11" max="11" width="26" customWidth="1"/>
    <col min="12" max="12" width="11" customWidth="1"/>
    <col min="13" max="14" width="10" customWidth="1"/>
    <col min="15" max="15" width="32" customWidth="1"/>
  </cols>
  <sheetData>
    <row r="1" spans="1:15" ht="24" customHeight="1" x14ac:dyDescent="0.25">
      <c r="A1" s="1" t="s">
        <v>1090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" customHeight="1" x14ac:dyDescent="0.25">
      <c r="A2" s="52" t="s">
        <v>1039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</row>
    <row r="4" spans="1:15" ht="27.75" customHeight="1" x14ac:dyDescent="0.25">
      <c r="A4" s="25" t="s">
        <v>13</v>
      </c>
      <c r="B4" s="25" t="s">
        <v>15</v>
      </c>
      <c r="C4" s="25" t="s">
        <v>67</v>
      </c>
      <c r="D4" s="25" t="s">
        <v>438</v>
      </c>
      <c r="E4" s="25" t="s">
        <v>68</v>
      </c>
      <c r="F4" s="25" t="s">
        <v>17</v>
      </c>
      <c r="G4" s="25" t="s">
        <v>19</v>
      </c>
      <c r="H4" s="25" t="s">
        <v>21</v>
      </c>
      <c r="I4" s="25" t="s">
        <v>23</v>
      </c>
      <c r="J4" s="25" t="s">
        <v>25</v>
      </c>
      <c r="K4" s="25" t="s">
        <v>27</v>
      </c>
      <c r="L4" s="25" t="s">
        <v>29</v>
      </c>
      <c r="M4" s="25" t="s">
        <v>31</v>
      </c>
      <c r="N4" s="25" t="s">
        <v>33</v>
      </c>
      <c r="O4" s="25" t="s">
        <v>35</v>
      </c>
    </row>
    <row r="5" spans="1:15" ht="18" customHeight="1" x14ac:dyDescent="0.25">
      <c r="A5" s="53" t="s">
        <v>1091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</row>
    <row r="6" spans="1:15" ht="33.75" customHeight="1" x14ac:dyDescent="0.25">
      <c r="A6" s="46" t="s">
        <v>399</v>
      </c>
      <c r="B6" s="47" t="s">
        <v>440</v>
      </c>
      <c r="C6" s="48" t="s">
        <v>402</v>
      </c>
      <c r="D6" s="48" t="s">
        <v>906</v>
      </c>
      <c r="E6" s="28" t="s">
        <v>61</v>
      </c>
      <c r="F6" s="48" t="s">
        <v>1092</v>
      </c>
      <c r="G6" s="48" t="s">
        <v>569</v>
      </c>
      <c r="H6" s="48" t="s">
        <v>1093</v>
      </c>
      <c r="I6" s="48" t="s">
        <v>445</v>
      </c>
      <c r="J6" s="48" t="s">
        <v>1094</v>
      </c>
      <c r="K6" s="48" t="s">
        <v>447</v>
      </c>
      <c r="L6" s="48" t="s">
        <v>75</v>
      </c>
      <c r="M6" s="49" t="s">
        <v>54</v>
      </c>
      <c r="N6" s="48"/>
      <c r="O6" s="50"/>
    </row>
    <row r="7" spans="1:15" ht="33.75" customHeight="1" x14ac:dyDescent="0.25">
      <c r="A7" s="30" t="s">
        <v>403</v>
      </c>
      <c r="B7" s="47" t="s">
        <v>448</v>
      </c>
      <c r="C7" s="31" t="s">
        <v>404</v>
      </c>
      <c r="D7" s="31" t="s">
        <v>906</v>
      </c>
      <c r="E7" s="28" t="s">
        <v>61</v>
      </c>
      <c r="F7" s="31" t="s">
        <v>1095</v>
      </c>
      <c r="G7" s="31" t="s">
        <v>1096</v>
      </c>
      <c r="H7" s="31" t="s">
        <v>1097</v>
      </c>
      <c r="I7" s="31" t="s">
        <v>542</v>
      </c>
      <c r="J7" s="31" t="s">
        <v>1098</v>
      </c>
      <c r="K7" s="31" t="s">
        <v>1099</v>
      </c>
      <c r="L7" s="32" t="s">
        <v>78</v>
      </c>
      <c r="M7" s="49" t="s">
        <v>54</v>
      </c>
      <c r="N7" s="31"/>
      <c r="O7" s="51"/>
    </row>
    <row r="8" spans="1:15" ht="33.75" customHeight="1" x14ac:dyDescent="0.25">
      <c r="A8" s="46" t="s">
        <v>405</v>
      </c>
      <c r="B8" s="47" t="s">
        <v>448</v>
      </c>
      <c r="C8" s="48" t="s">
        <v>406</v>
      </c>
      <c r="D8" s="48" t="s">
        <v>906</v>
      </c>
      <c r="E8" s="28" t="s">
        <v>61</v>
      </c>
      <c r="F8" s="48" t="s">
        <v>1100</v>
      </c>
      <c r="G8" s="48" t="s">
        <v>573</v>
      </c>
      <c r="H8" s="48" t="s">
        <v>1101</v>
      </c>
      <c r="I8" s="48" t="s">
        <v>450</v>
      </c>
      <c r="J8" s="48" t="s">
        <v>1102</v>
      </c>
      <c r="K8" s="48" t="s">
        <v>1103</v>
      </c>
      <c r="L8" s="48" t="s">
        <v>78</v>
      </c>
      <c r="M8" s="49" t="s">
        <v>54</v>
      </c>
      <c r="N8" s="48"/>
      <c r="O8" s="50"/>
    </row>
    <row r="9" spans="1:15" ht="33.75" customHeight="1" x14ac:dyDescent="0.25">
      <c r="A9" s="30" t="s">
        <v>407</v>
      </c>
      <c r="B9" s="47" t="s">
        <v>440</v>
      </c>
      <c r="C9" s="31" t="s">
        <v>408</v>
      </c>
      <c r="D9" s="31" t="s">
        <v>906</v>
      </c>
      <c r="E9" s="28" t="s">
        <v>61</v>
      </c>
      <c r="F9" s="31" t="s">
        <v>1100</v>
      </c>
      <c r="G9" s="31" t="s">
        <v>573</v>
      </c>
      <c r="H9" s="31" t="s">
        <v>1104</v>
      </c>
      <c r="I9" s="31" t="s">
        <v>1105</v>
      </c>
      <c r="J9" s="31" t="s">
        <v>1106</v>
      </c>
      <c r="K9" s="31" t="s">
        <v>447</v>
      </c>
      <c r="L9" s="32" t="s">
        <v>75</v>
      </c>
      <c r="M9" s="49" t="s">
        <v>54</v>
      </c>
      <c r="N9" s="31"/>
      <c r="O9" s="51"/>
    </row>
    <row r="10" spans="1:15" ht="33.75" customHeight="1" x14ac:dyDescent="0.25">
      <c r="A10" s="46" t="s">
        <v>409</v>
      </c>
      <c r="B10" s="47" t="s">
        <v>559</v>
      </c>
      <c r="C10" s="48" t="s">
        <v>410</v>
      </c>
      <c r="D10" s="48" t="s">
        <v>906</v>
      </c>
      <c r="E10" s="28" t="s">
        <v>61</v>
      </c>
      <c r="F10" s="48" t="s">
        <v>1107</v>
      </c>
      <c r="G10" s="48" t="s">
        <v>1108</v>
      </c>
      <c r="H10" s="48" t="s">
        <v>1109</v>
      </c>
      <c r="I10" s="48" t="s">
        <v>482</v>
      </c>
      <c r="J10" s="48" t="s">
        <v>1110</v>
      </c>
      <c r="K10" s="48" t="s">
        <v>1111</v>
      </c>
      <c r="L10" s="48" t="s">
        <v>78</v>
      </c>
      <c r="M10" s="49" t="s">
        <v>54</v>
      </c>
      <c r="N10" s="48"/>
      <c r="O10" s="50"/>
    </row>
    <row r="11" spans="1:15" ht="33.75" customHeight="1" x14ac:dyDescent="0.25">
      <c r="A11" s="30" t="s">
        <v>411</v>
      </c>
      <c r="B11" s="47" t="s">
        <v>448</v>
      </c>
      <c r="C11" s="31" t="s">
        <v>412</v>
      </c>
      <c r="D11" s="31" t="s">
        <v>906</v>
      </c>
      <c r="E11" s="28" t="s">
        <v>61</v>
      </c>
      <c r="F11" s="31" t="s">
        <v>1107</v>
      </c>
      <c r="G11" s="31" t="s">
        <v>554</v>
      </c>
      <c r="H11" s="31" t="s">
        <v>1112</v>
      </c>
      <c r="I11" s="31" t="s">
        <v>482</v>
      </c>
      <c r="J11" s="31" t="s">
        <v>1113</v>
      </c>
      <c r="K11" s="31" t="s">
        <v>447</v>
      </c>
      <c r="L11" s="32" t="s">
        <v>78</v>
      </c>
      <c r="M11" s="49" t="s">
        <v>54</v>
      </c>
      <c r="N11" s="31"/>
      <c r="O11" s="51"/>
    </row>
    <row r="12" spans="1:15" ht="33.75" customHeight="1" x14ac:dyDescent="0.25">
      <c r="A12" s="46" t="s">
        <v>413</v>
      </c>
      <c r="B12" s="47" t="s">
        <v>458</v>
      </c>
      <c r="C12" s="48" t="s">
        <v>414</v>
      </c>
      <c r="D12" s="48" t="s">
        <v>906</v>
      </c>
      <c r="E12" s="28" t="s">
        <v>61</v>
      </c>
      <c r="F12" s="48" t="s">
        <v>1095</v>
      </c>
      <c r="G12" s="48" t="s">
        <v>573</v>
      </c>
      <c r="H12" s="48" t="s">
        <v>1114</v>
      </c>
      <c r="I12" s="48" t="s">
        <v>1115</v>
      </c>
      <c r="J12" s="48" t="s">
        <v>1116</v>
      </c>
      <c r="K12" s="48" t="s">
        <v>1117</v>
      </c>
      <c r="L12" s="48" t="s">
        <v>78</v>
      </c>
      <c r="M12" s="49" t="s">
        <v>54</v>
      </c>
      <c r="N12" s="48"/>
      <c r="O12" s="50"/>
    </row>
    <row r="13" spans="1:15" ht="33.75" customHeight="1" x14ac:dyDescent="0.25">
      <c r="A13" s="30" t="s">
        <v>415</v>
      </c>
      <c r="B13" s="47" t="s">
        <v>458</v>
      </c>
      <c r="C13" s="31" t="s">
        <v>416</v>
      </c>
      <c r="D13" s="31" t="s">
        <v>906</v>
      </c>
      <c r="E13" s="28" t="s">
        <v>61</v>
      </c>
      <c r="F13" s="31" t="s">
        <v>1095</v>
      </c>
      <c r="G13" s="31" t="s">
        <v>573</v>
      </c>
      <c r="H13" s="31" t="s">
        <v>1118</v>
      </c>
      <c r="I13" s="31" t="s">
        <v>1119</v>
      </c>
      <c r="J13" s="31" t="s">
        <v>1120</v>
      </c>
      <c r="K13" s="31" t="s">
        <v>1121</v>
      </c>
      <c r="L13" s="32" t="s">
        <v>78</v>
      </c>
      <c r="M13" s="49" t="s">
        <v>54</v>
      </c>
      <c r="N13" s="31"/>
      <c r="O13" s="51"/>
    </row>
    <row r="14" spans="1:15" ht="33.75" customHeight="1" x14ac:dyDescent="0.25">
      <c r="A14" s="46" t="s">
        <v>417</v>
      </c>
      <c r="B14" s="47" t="s">
        <v>448</v>
      </c>
      <c r="C14" s="48" t="s">
        <v>418</v>
      </c>
      <c r="D14" s="48" t="s">
        <v>906</v>
      </c>
      <c r="E14" s="28" t="s">
        <v>61</v>
      </c>
      <c r="F14" s="48" t="s">
        <v>1122</v>
      </c>
      <c r="G14" s="48" t="s">
        <v>569</v>
      </c>
      <c r="H14" s="48" t="s">
        <v>1123</v>
      </c>
      <c r="I14" s="48" t="s">
        <v>1124</v>
      </c>
      <c r="J14" s="48" t="s">
        <v>1125</v>
      </c>
      <c r="K14" s="48" t="s">
        <v>1126</v>
      </c>
      <c r="L14" s="48" t="s">
        <v>78</v>
      </c>
      <c r="M14" s="49" t="s">
        <v>54</v>
      </c>
      <c r="N14" s="48"/>
      <c r="O14" s="50"/>
    </row>
    <row r="15" spans="1:15" ht="33.75" customHeight="1" x14ac:dyDescent="0.25">
      <c r="A15" s="30" t="s">
        <v>419</v>
      </c>
      <c r="B15" s="47" t="s">
        <v>458</v>
      </c>
      <c r="C15" s="31" t="s">
        <v>420</v>
      </c>
      <c r="D15" s="31" t="s">
        <v>906</v>
      </c>
      <c r="E15" s="28" t="s">
        <v>62</v>
      </c>
      <c r="F15" s="31" t="s">
        <v>1122</v>
      </c>
      <c r="G15" s="31" t="s">
        <v>569</v>
      </c>
      <c r="H15" s="31" t="s">
        <v>1127</v>
      </c>
      <c r="I15" s="31" t="s">
        <v>1128</v>
      </c>
      <c r="J15" s="31" t="s">
        <v>1129</v>
      </c>
      <c r="K15" s="31" t="s">
        <v>1130</v>
      </c>
      <c r="L15" s="32" t="s">
        <v>78</v>
      </c>
      <c r="M15" s="49" t="s">
        <v>54</v>
      </c>
      <c r="N15" s="31"/>
      <c r="O15" s="51"/>
    </row>
    <row r="16" spans="1:15" ht="33.75" customHeight="1" x14ac:dyDescent="0.25">
      <c r="A16" s="46" t="s">
        <v>421</v>
      </c>
      <c r="B16" s="47" t="s">
        <v>440</v>
      </c>
      <c r="C16" s="48" t="s">
        <v>422</v>
      </c>
      <c r="D16" s="48" t="s">
        <v>906</v>
      </c>
      <c r="E16" s="28" t="s">
        <v>62</v>
      </c>
      <c r="F16" s="48" t="s">
        <v>1131</v>
      </c>
      <c r="G16" s="48" t="s">
        <v>1132</v>
      </c>
      <c r="H16" s="48" t="s">
        <v>1133</v>
      </c>
      <c r="I16" s="48" t="s">
        <v>482</v>
      </c>
      <c r="J16" s="48" t="s">
        <v>1134</v>
      </c>
      <c r="K16" s="48" t="s">
        <v>447</v>
      </c>
      <c r="L16" s="48" t="s">
        <v>75</v>
      </c>
      <c r="M16" s="49" t="s">
        <v>54</v>
      </c>
      <c r="N16" s="48"/>
      <c r="O16" s="50"/>
    </row>
    <row r="17" spans="1:15" ht="18" customHeight="1" x14ac:dyDescent="0.25">
      <c r="A17" s="53" t="s">
        <v>1135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</row>
    <row r="18" spans="1:15" ht="33.75" customHeight="1" x14ac:dyDescent="0.25">
      <c r="A18" s="46" t="s">
        <v>423</v>
      </c>
      <c r="B18" s="47" t="s">
        <v>440</v>
      </c>
      <c r="C18" s="48" t="s">
        <v>425</v>
      </c>
      <c r="D18" s="48" t="s">
        <v>837</v>
      </c>
      <c r="E18" s="28" t="s">
        <v>61</v>
      </c>
      <c r="F18" s="48" t="s">
        <v>1136</v>
      </c>
      <c r="G18" s="48" t="s">
        <v>460</v>
      </c>
      <c r="H18" s="48" t="s">
        <v>1137</v>
      </c>
      <c r="I18" s="48" t="s">
        <v>445</v>
      </c>
      <c r="J18" s="48" t="s">
        <v>1138</v>
      </c>
      <c r="K18" s="48" t="s">
        <v>447</v>
      </c>
      <c r="L18" s="48" t="s">
        <v>75</v>
      </c>
      <c r="M18" s="49" t="s">
        <v>54</v>
      </c>
      <c r="N18" s="48"/>
      <c r="O18" s="50"/>
    </row>
    <row r="19" spans="1:15" ht="33.75" customHeight="1" x14ac:dyDescent="0.25">
      <c r="A19" s="30" t="s">
        <v>426</v>
      </c>
      <c r="B19" s="47" t="s">
        <v>458</v>
      </c>
      <c r="C19" s="31" t="s">
        <v>427</v>
      </c>
      <c r="D19" s="31" t="s">
        <v>837</v>
      </c>
      <c r="E19" s="28" t="s">
        <v>61</v>
      </c>
      <c r="F19" s="31" t="s">
        <v>1136</v>
      </c>
      <c r="G19" s="31" t="s">
        <v>460</v>
      </c>
      <c r="H19" s="31" t="s">
        <v>1139</v>
      </c>
      <c r="I19" s="31" t="s">
        <v>1140</v>
      </c>
      <c r="J19" s="31" t="s">
        <v>1141</v>
      </c>
      <c r="K19" s="31" t="s">
        <v>447</v>
      </c>
      <c r="L19" s="32" t="s">
        <v>78</v>
      </c>
      <c r="M19" s="49" t="s">
        <v>54</v>
      </c>
      <c r="N19" s="31"/>
      <c r="O19" s="51"/>
    </row>
    <row r="20" spans="1:15" ht="33.75" customHeight="1" x14ac:dyDescent="0.25">
      <c r="A20" s="46" t="s">
        <v>428</v>
      </c>
      <c r="B20" s="47" t="s">
        <v>448</v>
      </c>
      <c r="C20" s="48" t="s">
        <v>429</v>
      </c>
      <c r="D20" s="48" t="s">
        <v>837</v>
      </c>
      <c r="E20" s="28" t="s">
        <v>61</v>
      </c>
      <c r="F20" s="48" t="s">
        <v>1142</v>
      </c>
      <c r="G20" s="48" t="s">
        <v>569</v>
      </c>
      <c r="H20" s="48" t="s">
        <v>1143</v>
      </c>
      <c r="I20" s="48" t="s">
        <v>542</v>
      </c>
      <c r="J20" s="48" t="s">
        <v>1144</v>
      </c>
      <c r="K20" s="48" t="s">
        <v>544</v>
      </c>
      <c r="L20" s="48" t="s">
        <v>78</v>
      </c>
      <c r="M20" s="49" t="s">
        <v>54</v>
      </c>
      <c r="N20" s="48"/>
      <c r="O20" s="50"/>
    </row>
    <row r="21" spans="1:15" ht="33.75" customHeight="1" x14ac:dyDescent="0.25">
      <c r="A21" s="30" t="s">
        <v>430</v>
      </c>
      <c r="B21" s="47" t="s">
        <v>448</v>
      </c>
      <c r="C21" s="31" t="s">
        <v>431</v>
      </c>
      <c r="D21" s="31" t="s">
        <v>837</v>
      </c>
      <c r="E21" s="28" t="s">
        <v>61</v>
      </c>
      <c r="F21" s="31" t="s">
        <v>1145</v>
      </c>
      <c r="G21" s="31" t="s">
        <v>460</v>
      </c>
      <c r="H21" s="31" t="s">
        <v>1146</v>
      </c>
      <c r="I21" s="31" t="s">
        <v>450</v>
      </c>
      <c r="J21" s="31" t="s">
        <v>1147</v>
      </c>
      <c r="K21" s="31" t="s">
        <v>447</v>
      </c>
      <c r="L21" s="32" t="s">
        <v>78</v>
      </c>
      <c r="M21" s="49" t="s">
        <v>54</v>
      </c>
      <c r="N21" s="31"/>
      <c r="O21" s="51"/>
    </row>
    <row r="22" spans="1:15" ht="33.75" customHeight="1" x14ac:dyDescent="0.25">
      <c r="A22" s="46" t="s">
        <v>432</v>
      </c>
      <c r="B22" s="47" t="s">
        <v>440</v>
      </c>
      <c r="C22" s="48" t="s">
        <v>433</v>
      </c>
      <c r="D22" s="48" t="s">
        <v>837</v>
      </c>
      <c r="E22" s="28" t="s">
        <v>61</v>
      </c>
      <c r="F22" s="48" t="s">
        <v>1148</v>
      </c>
      <c r="G22" s="48" t="s">
        <v>569</v>
      </c>
      <c r="H22" s="48" t="s">
        <v>1149</v>
      </c>
      <c r="I22" s="48" t="s">
        <v>482</v>
      </c>
      <c r="J22" s="48" t="s">
        <v>1150</v>
      </c>
      <c r="K22" s="48" t="s">
        <v>447</v>
      </c>
      <c r="L22" s="48" t="s">
        <v>75</v>
      </c>
      <c r="M22" s="49" t="s">
        <v>54</v>
      </c>
      <c r="N22" s="48"/>
      <c r="O22" s="50"/>
    </row>
    <row r="23" spans="1:15" ht="33.75" customHeight="1" x14ac:dyDescent="0.25">
      <c r="A23" s="30" t="s">
        <v>434</v>
      </c>
      <c r="B23" s="47" t="s">
        <v>448</v>
      </c>
      <c r="C23" s="31" t="s">
        <v>435</v>
      </c>
      <c r="D23" s="31" t="s">
        <v>837</v>
      </c>
      <c r="E23" s="28" t="s">
        <v>62</v>
      </c>
      <c r="F23" s="31" t="s">
        <v>1148</v>
      </c>
      <c r="G23" s="31" t="s">
        <v>569</v>
      </c>
      <c r="H23" s="31" t="s">
        <v>1151</v>
      </c>
      <c r="I23" s="31" t="s">
        <v>450</v>
      </c>
      <c r="J23" s="31" t="s">
        <v>1152</v>
      </c>
      <c r="K23" s="31" t="s">
        <v>447</v>
      </c>
      <c r="L23" s="32" t="s">
        <v>78</v>
      </c>
      <c r="M23" s="49" t="s">
        <v>54</v>
      </c>
      <c r="N23" s="31"/>
      <c r="O23" s="51"/>
    </row>
  </sheetData>
  <mergeCells count="4">
    <mergeCell ref="A1:O1"/>
    <mergeCell ref="A2:O2"/>
    <mergeCell ref="A5:O5"/>
    <mergeCell ref="A17:O17"/>
  </mergeCells>
  <dataValidations count="2">
    <dataValidation type="list" allowBlank="1" sqref="M6:M16 M18:M23" xr:uid="{00000000-0002-0000-0C00-000000000000}">
      <formula1>"Not Run,Pass,Fail,Blocked,Skip,N/A"</formula1>
      <formula2>0</formula2>
    </dataValidation>
    <dataValidation type="list" allowBlank="1" sqref="E6:E16 E18:E23" xr:uid="{00000000-0002-0000-0C00-000001000000}">
      <formula1>"P1,P2,P3"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Introduction</vt:lpstr>
      <vt:lpstr>TestCase List</vt:lpstr>
      <vt:lpstr>L3-AuthAPI</vt:lpstr>
      <vt:lpstr>L3-OrderPaymentAPI</vt:lpstr>
      <vt:lpstr>L3-QuotationAPI</vt:lpstr>
      <vt:lpstr>L3-FulfilmentDeliveryAPI</vt:lpstr>
      <vt:lpstr>L3-PurchasingInventoryAPI</vt:lpstr>
      <vt:lpstr>L3-AfterSalesAdminAPI</vt:lpstr>
      <vt:lpstr>L3-APIFlows</vt:lpstr>
      <vt:lpstr>L3-Performance</vt:lpstr>
      <vt:lpstr>L3-Security</vt:lpstr>
      <vt:lpstr>L3-AdminConfigAPI</vt:lpstr>
      <vt:lpstr>L3-MarketingReturnAPI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Khánh Trần</cp:lastModifiedBy>
  <cp:revision>0</cp:revision>
  <dcterms:created xsi:type="dcterms:W3CDTF">2026-05-24T04:21:42Z</dcterms:created>
  <dcterms:modified xsi:type="dcterms:W3CDTF">2026-08-11T16:07:59Z</dcterms:modified>
  <dc:language>en-US</dc:language>
</cp:coreProperties>
</file>