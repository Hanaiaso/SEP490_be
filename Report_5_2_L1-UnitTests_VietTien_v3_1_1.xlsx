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3920" tabRatio="500" firstSheet="0" activeTab="3" autoFilterDateGrouping="1"/>
  </bookViews>
  <sheets>
    <sheet name="Introduction" sheetId="1" state="visible" r:id="rId1"/>
    <sheet name="TestCase List" sheetId="2" state="visible" r:id="rId2"/>
    <sheet name="Coverage Appendix" sheetId="3" state="visible" r:id="rId3"/>
    <sheet name="AuthService" sheetId="4" state="visible" r:id="rId4"/>
    <sheet name="CartService" sheetId="5" state="visible" r:id="rId5"/>
    <sheet name="ProductService" sheetId="6" state="visible" r:id="rId6"/>
    <sheet name="OrderService" sheetId="7" state="visible" r:id="rId7"/>
    <sheet name="QuotationService" sheetId="8" state="visible" r:id="rId8"/>
    <sheet name="ManualPaymentService" sheetId="9" state="visible" r:id="rId9"/>
    <sheet name="WarehouseService" sheetId="10" state="visible" r:id="rId10"/>
    <sheet name="PurchaseOrderService" sheetId="11" state="visible" r:id="rId11"/>
    <sheet name="GoodsReceiptService" sheetId="12" state="visible" r:id="rId12"/>
    <sheet name="SalesAllocationService" sheetId="13" state="visible" r:id="rId13"/>
    <sheet name="JwtService" sheetId="14" state="visible" r:id="rId14"/>
    <sheet name="AddressService" sheetId="15" state="visible" r:id="rId15"/>
    <sheet name="UserProfileService" sheetId="16" state="visible" r:id="rId16"/>
    <sheet name="SupplierService" sheetId="17" state="visible" r:id="rId17"/>
    <sheet name="InventoryService" sheetId="18" state="visible" r:id="rId18"/>
    <sheet name="GoodsIssueService" sheetId="19" state="visible" r:id="rId19"/>
    <sheet name="StockTransferService" sheetId="20" state="visible" r:id="rId20"/>
    <sheet name="WarehouseManagementService" sheetId="21" state="visible" r:id="rId21"/>
    <sheet name="MaterialService" sheetId="22" state="visible" r:id="rId22"/>
    <sheet name="SalesChangeRequestService" sheetId="23" state="visible" r:id="rId23"/>
    <sheet name="NotificationService" sheetId="24" state="visible" r:id="rId24"/>
    <sheet name="FE-Services" sheetId="25" state="visible" r:id="rId25"/>
    <sheet name="FE-Contexts" sheetId="26" state="visible" r:id="rId26"/>
    <sheet name="FE-Components" sheetId="27" state="visible" r:id="rId27"/>
    <sheet name="InventoryReservationService" sheetId="28" state="visible" r:id="rId28"/>
    <sheet name="DiscountTierService" sheetId="29" state="visible" r:id="rId29"/>
    <sheet name="SystemConfigService" sheetId="30" state="visible" r:id="rId30"/>
    <sheet name="AdminUserService" sheetId="31" state="visible" r:id="rId31"/>
    <sheet name="VehicleService" sheetId="32" state="visible" r:id="rId32"/>
    <sheet name="WebhookLogService" sheetId="33" state="visible" r:id="rId33"/>
    <sheet name="AuditLogService" sheetId="34" state="visible" r:id="rId34"/>
    <sheet name="MarketingPostService" sheetId="35" state="visible" r:id="rId35"/>
    <sheet name="DashboardKpiServices" sheetId="36" state="visible" r:id="rId36"/>
    <sheet name="JobRunService" sheetId="37" state="visible" r:id="rId37"/>
    <sheet name="ScheduledJobs" sheetId="38" state="visible" r:id="rId38"/>
    <sheet name="ExternalIntegrations" sheetId="39" state="visible" r:id="rId39"/>
    <sheet name="RegressionFixes" sheetId="40" state="visible" r:id="rId40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color rgb="FF000000"/>
      <sz val="9"/>
    </font>
    <font>
      <name val="Arial"/>
      <charset val="1"/>
      <b val="1"/>
      <color rgb="FF5C3292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595959"/>
      <sz val="9"/>
    </font>
    <font>
      <name val="Arial"/>
      <charset val="1"/>
      <b val="1"/>
      <color rgb="FF375623"/>
      <sz val="9"/>
    </font>
    <font>
      <name val="Arial"/>
      <charset val="1"/>
      <b val="1"/>
      <color rgb="FFC00000"/>
      <sz val="9"/>
    </font>
    <font>
      <name val="Arial"/>
      <charset val="1"/>
      <b val="1"/>
      <color rgb="FF7F6000"/>
      <sz val="9"/>
    </font>
    <font>
      <name val="Arial"/>
      <charset val="1"/>
      <b val="1"/>
      <color rgb="FFFFFFFF"/>
      <sz val="12"/>
    </font>
    <font>
      <name val="Arial"/>
      <charset val="1"/>
      <b val="1"/>
      <color rgb="FF000000"/>
      <sz val="10"/>
    </font>
    <font>
      <name val="Arial"/>
      <charset val="1"/>
      <color rgb="FF595959"/>
      <sz val="8"/>
    </font>
    <font>
      <name val="Arial"/>
      <charset val="1"/>
      <color rgb="FF2E7D32"/>
      <sz val="9"/>
    </font>
    <font>
      <name val="Arial"/>
      <charset val="1"/>
      <b val="1"/>
      <color rgb="FF806000"/>
      <sz val="9"/>
    </font>
    <font>
      <name val="Arial"/>
      <charset val="1"/>
      <color rgb="FF5C3292"/>
      <sz val="9"/>
    </font>
    <font>
      <name val="Arial"/>
      <charset val="1"/>
      <b val="1"/>
      <color rgb="FF2E7D32"/>
      <sz val="9"/>
    </font>
    <font>
      <name val="Arial"/>
      <charset val="1"/>
      <color rgb="FFC00000"/>
      <sz val="8"/>
    </font>
    <font>
      <name val="Arial"/>
      <charset val="1"/>
      <color rgb="FF595959"/>
      <sz val="9"/>
    </font>
    <font>
      <name val="Arial"/>
      <charset val="1"/>
      <color theme="1"/>
      <sz val="9"/>
    </font>
    <font>
      <name val="Arial"/>
      <charset val="1"/>
      <color rgb="FFC00000"/>
      <sz val="9"/>
    </font>
  </fonts>
  <fills count="16">
    <fill>
      <patternFill/>
    </fill>
    <fill>
      <patternFill patternType="gray125"/>
    </fill>
    <fill>
      <patternFill patternType="solid">
        <fgColor rgb="FF5C3292"/>
        <bgColor rgb="FF595959"/>
      </patternFill>
    </fill>
    <fill>
      <patternFill patternType="solid">
        <fgColor rgb="FFF2F2F2"/>
        <bgColor rgb="FFE2EFDA"/>
      </patternFill>
    </fill>
    <fill>
      <patternFill patternType="solid">
        <fgColor rgb="FFEBE2F5"/>
        <bgColor rgb="FFDEEAF1"/>
      </patternFill>
    </fill>
    <fill>
      <patternFill patternType="solid">
        <fgColor rgb="FF1F6B75"/>
        <bgColor rgb="FF008080"/>
      </patternFill>
    </fill>
    <fill>
      <patternFill patternType="solid">
        <fgColor rgb="FFD6EEF0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1F3864"/>
        <bgColor rgb="FF375623"/>
      </patternFill>
    </fill>
    <fill>
      <patternFill patternType="solid">
        <fgColor rgb="FFDEEAF1"/>
        <bgColor rgb="FFD6EEF0"/>
      </patternFill>
    </fill>
    <fill>
      <patternFill patternType="solid">
        <fgColor rgb="FFC00000"/>
        <bgColor rgb="FF800000"/>
      </patternFill>
    </fill>
    <fill>
      <patternFill patternType="solid">
        <fgColor rgb="FF7F6000"/>
        <bgColor rgb="FF806000"/>
      </patternFill>
    </fill>
    <fill>
      <patternFill patternType="solid">
        <fgColor rgb="FF2E75B6"/>
        <bgColor rgb="FF1F6B75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1" fillId="2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top" wrapText="1"/>
    </xf>
    <xf numFmtId="0" fontId="4" fillId="9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2" pivotButton="0" quotePrefix="0" xfId="0"/>
    <xf numFmtId="0" fontId="12" fillId="0" borderId="2" pivotButton="0" quotePrefix="0" xfId="0"/>
    <xf numFmtId="0" fontId="3" fillId="2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9" fillId="14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14" fillId="4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14" fillId="7" borderId="2" applyAlignment="1" pivotButton="0" quotePrefix="0" xfId="0">
      <alignment vertical="top" wrapText="1"/>
    </xf>
    <xf numFmtId="0" fontId="15" fillId="4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15" fillId="7" borderId="2" applyAlignment="1" pivotButton="0" quotePrefix="0" xfId="0">
      <alignment vertical="top" wrapText="1"/>
    </xf>
    <xf numFmtId="0" fontId="4" fillId="15" borderId="2" applyAlignment="1" pivotButton="0" quotePrefix="0" xfId="0">
      <alignment vertical="top" wrapText="1"/>
    </xf>
    <xf numFmtId="0" fontId="13" fillId="7" borderId="2" applyAlignment="1" pivotButton="0" quotePrefix="0" xfId="0">
      <alignment vertical="top" wrapText="1"/>
    </xf>
    <xf numFmtId="0" fontId="17" fillId="3" borderId="2" applyAlignment="1" pivotButton="0" quotePrefix="0" xfId="0">
      <alignment vertical="top" wrapText="1"/>
    </xf>
    <xf numFmtId="0" fontId="13" fillId="4" borderId="2" applyAlignment="1" pivotButton="0" quotePrefix="0" xfId="0">
      <alignment vertical="top" wrapText="1"/>
    </xf>
    <xf numFmtId="0" fontId="18" fillId="4" borderId="2" applyAlignment="1" pivotButton="0" quotePrefix="0" xfId="0">
      <alignment vertical="top" wrapText="1"/>
    </xf>
    <xf numFmtId="0" fontId="18" fillId="7" borderId="2" applyAlignment="1" pivotButton="0" quotePrefix="0" xfId="0">
      <alignment vertical="top" wrapText="1"/>
    </xf>
    <xf numFmtId="0" fontId="19" fillId="3" borderId="2" applyAlignment="1" pivotButton="0" quotePrefix="0" xfId="0">
      <alignment vertical="top" wrapText="1"/>
    </xf>
    <xf numFmtId="0" fontId="20" fillId="4" borderId="2" applyAlignment="1" pivotButton="0" quotePrefix="0" xfId="0">
      <alignment vertical="top" wrapText="1"/>
    </xf>
    <xf numFmtId="0" fontId="21" fillId="4" borderId="2" applyAlignment="1" pivotButton="0" quotePrefix="0" xfId="0">
      <alignment vertical="top" wrapText="1"/>
    </xf>
    <xf numFmtId="0" fontId="21" fillId="7" borderId="2" applyAlignment="1" pivotButton="0" quotePrefix="0" xfId="0">
      <alignment vertical="top" wrapText="1"/>
    </xf>
    <xf numFmtId="0" fontId="20" fillId="7" borderId="2" applyAlignment="1" pivotButton="0" quotePrefix="0" xfId="0">
      <alignment vertical="top" wrapText="1"/>
    </xf>
    <xf numFmtId="0" fontId="11" fillId="2" borderId="0" applyAlignment="1" pivotButton="0" quotePrefix="0" xfId="0">
      <alignment vertical="center" wrapText="1"/>
    </xf>
    <xf numFmtId="0" fontId="16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0" fontId="3" fillId="2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1F6B75"/>
      <rgbColor rgb="FFCCCCCC"/>
      <rgbColor rgb="FF808080"/>
      <rgbColor rgb="FF9999FF"/>
      <rgbColor rgb="FF993366"/>
      <rgbColor rgb="FFFFF2CC"/>
      <rgbColor rgb="FFD6EEF0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EBE2F5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7F6000"/>
      <rgbColor rgb="FF993366"/>
      <rgbColor rgb="FF5C3292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5C3292"/>
    <outlinePr summaryBelow="1" summaryRight="1"/>
    <pageSetUpPr/>
  </sheetPr>
  <dimension ref="B1:D54"/>
  <sheetViews>
    <sheetView showGridLines="0" zoomScaleNormal="100" workbookViewId="0">
      <selection activeCell="A1" sqref="A1"/>
    </sheetView>
  </sheetViews>
  <sheetFormatPr baseColWidth="8" defaultColWidth="14.42578125" defaultRowHeight="15"/>
  <cols>
    <col width="2" customWidth="1" min="1" max="1"/>
    <col width="28" customWidth="1" min="2" max="2"/>
    <col width="60" customWidth="1" min="3" max="3"/>
    <col width="50.85546875" customWidth="1" min="4" max="4"/>
    <col width="2" customWidth="1" min="5" max="5"/>
    <col width="8.7109375" customWidth="1" min="6" max="26"/>
  </cols>
  <sheetData>
    <row r="1" ht="39.75" customHeight="1">
      <c r="B1" s="13" t="inlineStr">
        <is>
          <t>Level 1 — Unit Test  |  Test Case Specification Template</t>
        </is>
      </c>
    </row>
    <row r="2" ht="30" customHeight="1">
      <c r="B2" s="12" t="inlineStr">
        <is>
          <t>xUnit + Moq + FluentAssertions + Coverlet (backend .NET 8)  ·  Vitest + React Testing Library + MSW (frontend TypeScript)  ·  EF Core InMemory cho service inject ApplicationDbContext  ·  Mock IClock/ITimeProvider cho mọi test phụ thuộc thời gian</t>
        </is>
      </c>
    </row>
    <row r="4" ht="19.5" customHeight="1">
      <c r="B4" s="11" t="inlineStr">
        <is>
          <t>🎯  Purpose — What does this test level verify?</t>
        </is>
      </c>
    </row>
    <row r="5" ht="42" customHeight="1">
      <c r="B5" s="10" t="inlineStr">
        <is>
          <t>Verify that a single method or function produces the correct output for a given input — in complete isolation from all external dependencies.
Key question: 'Does this method's logic work correctly?'</t>
        </is>
      </c>
    </row>
    <row r="7" ht="19.5" customHeight="1">
      <c r="B7" s="11" t="inlineStr">
        <is>
          <t>✅  In Scope</t>
        </is>
      </c>
    </row>
    <row r="8" ht="55.5" customHeight="1">
      <c r="B8" s="10" t="inlineStr">
        <is>
          <t>• One class under test per sheet
• One method per block within the sheet
• All dependencies (DB, queue, external APIs) replaced by mocks
• Domain logic: state machine transitions, business rule enforcement, boundary value validation, error handling paths</t>
        </is>
      </c>
    </row>
    <row r="10" ht="19.5" customHeight="1">
      <c r="B10" s="11" t="inlineStr">
        <is>
          <t>❌  Out of Scope</t>
        </is>
      </c>
    </row>
    <row r="11" ht="69.75" customHeight="1">
      <c r="B11" s="10" t="inlineStr">
        <is>
          <t>• Database read/write (→ L2)
• Message broker events (→ L2)
• HTTP layer and API contracts (→ L3)
• Browser UI rendering (→ L4)
• Integration between two real components (→ L2)</t>
        </is>
      </c>
    </row>
    <row r="13" ht="19.5" customHeight="1">
      <c r="B13" s="11" t="inlineStr">
        <is>
          <t>🔬  Coverage Techniques</t>
        </is>
      </c>
    </row>
    <row r="14" ht="181.5" customHeight="1">
      <c r="B14" s="10" t="inlineStr">
        <is>
          <t>Branch Coverage (BC): Every if/switch/ternary must be tested TRUE and FALSE.
  → Minimum: one test per branch direction.
Condition Coverage (CC): For compound conditions (A &amp;&amp; B), each sub-condition must be tested TRUE and FALSE independently.
  → Use when method contains &amp;&amp;  or  || operators.
Equivalence Partitioning (EP): Divide input domain into groups the system treats identically. Test one representative value per group.
  → Groups: valid range / below minimum / above maximum / null / wrong type.
Boundary Value Analysis (BVA): Test at the exact edges of each partition.
  → Test points: min, min-1, max, max+1, and the default value.
State Transition: Each valid transition (source state + event → target state) and each invalid transition (must throw exception) gets its own test.</t>
        </is>
      </c>
    </row>
    <row r="16" ht="19.5" customHeight="1">
      <c r="B16" s="9" t="inlineStr">
        <is>
          <t>🛠️  Primary Tool</t>
        </is>
      </c>
    </row>
    <row r="17" ht="27.75" customHeight="1">
      <c r="B17" s="8" t="inlineStr">
        <is>
          <t>xUnit + Moq + FluentAssertions + Coverlet (backend .NET 8)  ·  Vitest + React Testing Library + MSW (frontend TypeScript)  ·  EF Core InMemory cho service inject ApplicationDbContext  ·  Mock IClock/ITimeProvider cho mọi test phụ thuộc thời gian</t>
        </is>
      </c>
    </row>
    <row r="19" ht="19.5" customHeight="1">
      <c r="B19" s="11" t="inlineStr">
        <is>
          <t>📋  Column Definitions — How to fill each column</t>
        </is>
      </c>
    </row>
    <row r="20" ht="39" customHeight="1">
      <c r="B20" s="14" t="inlineStr">
        <is>
          <t>Test ID</t>
        </is>
      </c>
      <c r="C20" s="7" t="inlineStr">
        <is>
          <t>Format: L1-[ClassName abbr]-[NN]
Example: L1-SM-01, L1-BR-03, L1-BV-06
Numbering resets per block.</t>
        </is>
      </c>
      <c r="D20" s="53" t="n"/>
    </row>
    <row r="21" ht="25.5" customHeight="1">
      <c r="B21" s="14" t="inlineStr">
        <is>
          <t>Coverage Technique</t>
        </is>
      </c>
      <c r="C21" s="6" t="inlineStr">
        <is>
          <t>Which technique generated this test case.
Values: BC-TRUE, BC-FALSE, CC, EP-Valid, EP-Invalid, BVA-Min, BVA-Max, BVA-Min-1, BVA-Max+1, State-Valid, State-Invalid, Guard-TRUE, Guard-FALSE</t>
        </is>
      </c>
      <c r="D21" s="53" t="n"/>
    </row>
    <row r="22" ht="51.75" customHeight="1">
      <c r="B22" s="14" t="inlineStr">
        <is>
          <t>Covers (Decision/Condition)</t>
        </is>
      </c>
      <c r="C22" s="7" t="inlineStr">
        <is>
          <t>The specific branch, condition, or partition this test exercises.
Example: 'webhookSignatureValid = FALSE'
Example: 'quantity partition: above maximum (&gt; 10)'
Example: 'transition: Processing + DEFECT_REPORTED → ManualReview'</t>
        </is>
      </c>
      <c r="D22" s="53" t="n"/>
    </row>
    <row r="23" ht="39" customHeight="1">
      <c r="B23" s="14" t="inlineStr">
        <is>
          <t>SRS Reference</t>
        </is>
      </c>
      <c r="C23" s="6" t="inlineStr">
        <is>
          <t>The SRS element this test traces to.
Format: AC-xx | NAC-xx | BV-xx | DC-xx | BR-xx
Example: BR-04, BV-02a, DC-02, NAC-03c</t>
        </is>
      </c>
      <c r="D23" s="53" t="n"/>
    </row>
    <row r="24" ht="39" customHeight="1">
      <c r="B24" s="14" t="inlineStr">
        <is>
          <t>Priority</t>
        </is>
      </c>
      <c r="C24" s="7" t="inlineStr">
        <is>
          <t>P1 Critical — must pass before release
P2 High — should pass
P3 Medium — nice to have</t>
        </is>
      </c>
      <c r="D24" s="53" t="n"/>
    </row>
    <row r="25" ht="51.75" customHeight="1">
      <c r="B25" s="14" t="inlineStr">
        <is>
          <t>Given (Precondition / Mock Setup)</t>
        </is>
      </c>
      <c r="C25" s="6" t="inlineStr">
        <is>
          <t>System state before the method is called.
List each mock explicitly:
  _repoMock.Setup(r =&gt; r.FindById("X")).Returns(order)
  _svcMock.Setup(s =&gt; s.Check()).Returns(true)</t>
        </is>
      </c>
      <c r="D25" s="53" t="n"/>
    </row>
    <row r="26" ht="51.75" customHeight="1">
      <c r="B26" s="14" t="inlineStr">
        <is>
          <t>When (Input / Act)</t>
        </is>
      </c>
      <c r="C26" s="7" t="inlineStr">
        <is>
          <t>The exact method call being tested.
Format: methodName(param1, param2)
Include parameter values explicitly.
For [Theory]+[InlineData]: list all input rows.</t>
        </is>
      </c>
      <c r="D26" s="53" t="n"/>
    </row>
    <row r="27" ht="78" customHeight="1">
      <c r="B27" s="14" t="inlineStr">
        <is>
          <t>Then (Expected Output / Assert)</t>
        </is>
      </c>
      <c r="C27" s="6" t="inlineStr">
        <is>
          <t>What must be true after the call.
Cover ALL of:
  • Return value or exception thrown
  • Mock interactions verified (called / never called)
  • Side effects (state changes, events published)
  • For exceptions: message content</t>
        </is>
      </c>
      <c r="D27" s="53" t="n"/>
    </row>
    <row r="28" ht="25.5" customHeight="1">
      <c r="B28" s="14" t="inlineStr">
        <is>
          <t>Negative?</t>
        </is>
      </c>
      <c r="C28" s="7" t="inlineStr">
        <is>
          <t>Yes = test expects an exception or rejection.
No  = test expects success.</t>
        </is>
      </c>
      <c r="D28" s="53" t="n"/>
    </row>
    <row r="29" ht="25.5" customHeight="1">
      <c r="B29" s="14" t="inlineStr">
        <is>
          <t>Status</t>
        </is>
      </c>
      <c r="C29" s="6" t="inlineStr">
        <is>
          <t>Not Run / Pass / Fail / Blocked / Skip
Dropdown — updated after each test run.</t>
        </is>
      </c>
      <c r="D29" s="53" t="n"/>
    </row>
    <row r="30" ht="25.5" customHeight="1">
      <c r="B30" s="14" t="inlineStr">
        <is>
          <t>Defect ID</t>
        </is>
      </c>
      <c r="C30" s="7" t="inlineStr">
        <is>
          <t>Issue tracker reference when Status = Fail.
Example: GH-142</t>
        </is>
      </c>
      <c r="D30" s="53" t="n"/>
    </row>
    <row r="31" ht="18" customHeight="1">
      <c r="B31" s="14" t="inlineStr">
        <is>
          <t>Notes</t>
        </is>
      </c>
      <c r="C31" s="6" t="inlineStr">
        <is>
          <t>Optional: test data file, known limitation, or why this case was added.</t>
        </is>
      </c>
      <c r="D31" s="53" t="n"/>
    </row>
    <row r="32" ht="15.75" customHeight="1"/>
    <row r="33" ht="19.5" customHeight="1">
      <c r="B33" s="5" t="inlineStr">
        <is>
          <t>📝  How to Fill — Step by step</t>
        </is>
      </c>
    </row>
    <row r="34" ht="15.75" customHeight="1">
      <c r="B34" s="4" t="inlineStr">
        <is>
          <t>1. Identify the CLASS under test → create one sheet per class.</t>
        </is>
      </c>
    </row>
    <row r="35" ht="15.75" customHeight="1">
      <c r="B35" s="3" t="inlineStr">
        <is>
          <t>2. Identify each METHOD in the class → create one block per method within the sheet.</t>
        </is>
      </c>
    </row>
    <row r="36" ht="15.75" customHeight="1">
      <c r="B36" s="4" t="inlineStr">
        <is>
          <t>3. For each method, list all decision points (if/switch/ternary) → write BC-TRUE and BC-FALSE test for each.</t>
        </is>
      </c>
    </row>
    <row r="37" ht="15.75" customHeight="1">
      <c r="B37" s="3" t="inlineStr">
        <is>
          <t>4. Check for compound conditions (&amp;&amp;, ||) → add CC tests for each sub-condition.</t>
        </is>
      </c>
    </row>
    <row r="38" ht="15.75" customHeight="1">
      <c r="B38" s="4" t="inlineStr">
        <is>
          <t>5. Identify numeric parameters → apply BVA: test min, min-1, max, max+1, default.</t>
        </is>
      </c>
    </row>
    <row r="39" ht="15.75" customHeight="1">
      <c r="B39" s="3" t="inlineStr">
        <is>
          <t>6. Identify categorical parameters (enum, status) → apply EP: one test per partition.</t>
        </is>
      </c>
    </row>
    <row r="40" ht="15.75" customHeight="1">
      <c r="B40" s="4" t="inlineStr">
        <is>
          <t>7. For state machine methods → one test per row in SRS Part 4.4 state transition table.</t>
        </is>
      </c>
    </row>
    <row r="41" ht="15.75" customHeight="1">
      <c r="B41" s="3" t="inlineStr">
        <is>
          <t>8. For every NAC-xx in SRS → write a Negative test (Negative? = Yes).</t>
        </is>
      </c>
    </row>
    <row r="42" ht="15.75" customHeight="1">
      <c r="B42" s="4" t="inlineStr">
        <is>
          <t>9. Fill Coverage Technique and Covers columns to make coverage traceable.</t>
        </is>
      </c>
    </row>
    <row r="43" ht="15.75" customHeight="1">
      <c r="B43" s="3" t="inlineStr">
        <is>
          <t>10. Run tests → update Status column → add Defect ID if Fail.</t>
        </is>
      </c>
    </row>
    <row r="44" ht="15.75" customHeight="1"/>
    <row r="45" ht="18" customHeight="1">
      <c r="B45" s="5" t="inlineStr">
        <is>
          <t>🎨  Priority &amp; Status Legend</t>
        </is>
      </c>
    </row>
    <row r="46" ht="18" customHeight="1">
      <c r="B46" s="15" t="inlineStr">
        <is>
          <t>P1 — Critical</t>
        </is>
      </c>
      <c r="C46" s="2" t="inlineStr">
        <is>
          <t>Must pass before any release. Blocking.</t>
        </is>
      </c>
      <c r="D46" s="53" t="n"/>
    </row>
    <row r="47" ht="18" customHeight="1">
      <c r="B47" s="16" t="inlineStr">
        <is>
          <t>P2 — High</t>
        </is>
      </c>
      <c r="C47" s="2" t="inlineStr">
        <is>
          <t>Should pass. Non-blocking but important.</t>
        </is>
      </c>
      <c r="D47" s="53" t="n"/>
    </row>
    <row r="48" ht="18" customHeight="1">
      <c r="B48" s="17" t="inlineStr">
        <is>
          <t>P3 — Medium</t>
        </is>
      </c>
      <c r="C48" s="2" t="inlineStr">
        <is>
          <t>Nice to have in this cycle.</t>
        </is>
      </c>
      <c r="D48" s="53" t="n"/>
    </row>
    <row r="49" ht="15.75" customHeight="1"/>
    <row r="50" ht="18" customHeight="1">
      <c r="B50" s="18" t="inlineStr">
        <is>
          <t>Not Run</t>
        </is>
      </c>
    </row>
    <row r="51" ht="18" customHeight="1">
      <c r="B51" s="19" t="inlineStr">
        <is>
          <t>Pass</t>
        </is>
      </c>
    </row>
    <row r="52" ht="18" customHeight="1">
      <c r="B52" s="20" t="inlineStr">
        <is>
          <t>Fail</t>
        </is>
      </c>
    </row>
    <row r="53" ht="18" customHeight="1">
      <c r="B53" s="21" t="inlineStr">
        <is>
          <t>Blocked</t>
        </is>
      </c>
    </row>
    <row r="54" ht="18" customHeight="1">
      <c r="B54" s="22" t="inlineStr">
        <is>
          <t>Skip</t>
        </is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B42:D42"/>
    <mergeCell ref="B11:D11"/>
    <mergeCell ref="B14:D14"/>
    <mergeCell ref="C24:D24"/>
    <mergeCell ref="C30:D30"/>
    <mergeCell ref="B1:D1"/>
    <mergeCell ref="B8:D8"/>
    <mergeCell ref="B17:D17"/>
    <mergeCell ref="B13:D13"/>
    <mergeCell ref="C26:D26"/>
    <mergeCell ref="B38:D38"/>
    <mergeCell ref="B34:D34"/>
    <mergeCell ref="B10:D10"/>
    <mergeCell ref="C20:D20"/>
    <mergeCell ref="B19:D19"/>
    <mergeCell ref="B37:D37"/>
    <mergeCell ref="C47:D47"/>
    <mergeCell ref="C29:D29"/>
    <mergeCell ref="C25:D25"/>
    <mergeCell ref="B40:D40"/>
    <mergeCell ref="C22:D22"/>
    <mergeCell ref="C31:D31"/>
    <mergeCell ref="B33:D33"/>
    <mergeCell ref="B36:D36"/>
    <mergeCell ref="C46:D46"/>
    <mergeCell ref="C21:D21"/>
    <mergeCell ref="B5:D5"/>
    <mergeCell ref="B45:D45"/>
    <mergeCell ref="B41:D41"/>
    <mergeCell ref="B35:D35"/>
    <mergeCell ref="C27:D27"/>
    <mergeCell ref="B4:D4"/>
    <mergeCell ref="C48:D48"/>
    <mergeCell ref="C23:D23"/>
    <mergeCell ref="B7:D7"/>
    <mergeCell ref="B16:D16"/>
    <mergeCell ref="C28:D28"/>
    <mergeCell ref="B43:D43"/>
    <mergeCell ref="B39:D39"/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6"/>
  <sheetViews>
    <sheetView showGridLines="0" zoomScaleNormal="100" workbookViewId="0">
      <pane ySplit="5" topLeftCell="A30" activePane="bottomLeft" state="frozen"/>
      <selection pane="bottomLeft" activeCell="H49" sqref="H49"/>
    </sheetView>
  </sheetViews>
  <sheetFormatPr baseColWidth="8" defaultColWidth="14.42578125" defaultRowHeight="15"/>
  <cols>
    <col width="12" customWidth="1" min="1" max="1"/>
    <col width="26" customWidth="1" min="2" max="2"/>
    <col width="34" customWidth="1" min="3" max="3"/>
    <col width="28" customWidth="1" min="4" max="4"/>
    <col width="9" customWidth="1" min="5" max="5"/>
    <col width="10" customWidth="1" min="6" max="6"/>
    <col width="14" customWidth="1" min="7" max="8"/>
    <col width="55" customWidth="1" min="9" max="26"/>
  </cols>
  <sheetData>
    <row r="1" ht="24" customHeight="1">
      <c r="A1" s="1" t="inlineStr">
        <is>
          <t>TestCase List  |  L1 Unit Test index — 390 test case truy vết SRS  |  v3.1</t>
        </is>
      </c>
    </row>
    <row r="3">
      <c r="A3" s="23" t="inlineStr">
        <is>
          <t>Total test cases</t>
        </is>
      </c>
      <c r="B3" s="24">
        <f>COUNTA(A6:A794)</f>
        <v/>
      </c>
      <c r="C3" s="23" t="inlineStr">
        <is>
          <t>P1</t>
        </is>
      </c>
      <c r="D3" s="24">
        <f>COUNTIF(E6:E794,"P1")</f>
        <v/>
      </c>
      <c r="E3" s="23" t="inlineStr">
        <is>
          <t>P2</t>
        </is>
      </c>
      <c r="F3" s="24">
        <f>COUNTIF(E6:E794,"P2")</f>
        <v/>
      </c>
      <c r="G3" s="23" t="inlineStr">
        <is>
          <t>P3</t>
        </is>
      </c>
      <c r="H3" s="24">
        <f>COUNTIF(E6:E794,"P3")</f>
        <v/>
      </c>
    </row>
    <row r="4">
      <c r="A4" s="23" t="inlineStr">
        <is>
          <t>Negative tests</t>
        </is>
      </c>
      <c r="B4" s="24">
        <f>COUNTIF(F6:F794,"Yes")</f>
        <v/>
      </c>
      <c r="C4" s="23" t="inlineStr">
        <is>
          <t>Pass</t>
        </is>
      </c>
      <c r="D4" s="24">
        <f>COUNTIF(G6:G794,"Pass")</f>
        <v/>
      </c>
      <c r="E4" s="23" t="inlineStr">
        <is>
          <t>Fail</t>
        </is>
      </c>
      <c r="F4" s="24">
        <f>COUNTIF(G6:G794,"Fail")</f>
        <v/>
      </c>
      <c r="G4" s="23" t="inlineStr">
        <is>
          <t>Not Run</t>
        </is>
      </c>
      <c r="H4" s="24">
        <f>COUNTIF(G6:G794,"Not Run")</f>
        <v/>
      </c>
    </row>
    <row r="6" ht="25.5" customHeight="1">
      <c r="A6" s="25" t="inlineStr">
        <is>
          <t>Test ID</t>
        </is>
      </c>
      <c r="B6" s="25" t="inlineStr">
        <is>
          <t>Class (Sheet)</t>
        </is>
      </c>
      <c r="C6" s="25" t="inlineStr">
        <is>
          <t>Method / Block</t>
        </is>
      </c>
      <c r="D6" s="25" t="inlineStr">
        <is>
          <t>SRS Reference</t>
        </is>
      </c>
      <c r="E6" s="25" t="inlineStr">
        <is>
          <t>Priority</t>
        </is>
      </c>
      <c r="F6" s="25" t="inlineStr">
        <is>
          <t>Negative?</t>
        </is>
      </c>
      <c r="G6" s="25" t="inlineStr">
        <is>
          <t>Status (live link)</t>
        </is>
      </c>
      <c r="H6" s="25" t="inlineStr">
        <is>
          <t>Defect ID (live link)</t>
        </is>
      </c>
      <c r="I6" s="25" t="inlineStr">
        <is>
          <t>Fix Status (live link)</t>
        </is>
      </c>
    </row>
    <row r="7">
      <c r="A7" s="26" t="inlineStr">
        <is>
          <t>L1-AUTH-01</t>
        </is>
      </c>
      <c r="B7" s="27" t="inlineStr">
        <is>
          <t>AuthService</t>
        </is>
      </c>
      <c r="C7" s="27" t="inlineStr">
        <is>
          <t>RegisterAsync()</t>
        </is>
      </c>
      <c r="D7" s="27" t="inlineStr">
        <is>
          <t>FT-01 NAC-01; BR-023</t>
        </is>
      </c>
      <c r="E7" s="28" t="inlineStr">
        <is>
          <t>P1</t>
        </is>
      </c>
      <c r="F7" s="29" t="inlineStr">
        <is>
          <t>Yes</t>
        </is>
      </c>
      <c r="G7" s="30">
        <f>AuthService!J6</f>
        <v/>
      </c>
      <c r="H7" s="30">
        <f>AuthService!K6</f>
        <v/>
      </c>
      <c r="I7" s="54">
        <f>AuthService!M6</f>
        <v/>
      </c>
    </row>
    <row r="8" ht="24" customHeight="1">
      <c r="A8" s="31" t="inlineStr">
        <is>
          <t>L1-AUTH-02</t>
        </is>
      </c>
      <c r="B8" s="32" t="inlineStr">
        <is>
          <t>AuthService</t>
        </is>
      </c>
      <c r="C8" s="32" t="inlineStr">
        <is>
          <t>RegisterAsync()</t>
        </is>
      </c>
      <c r="D8" s="32" t="inlineStr">
        <is>
          <t>FT-01 AC-02; BR-023; NFR-SEC02</t>
        </is>
      </c>
      <c r="E8" s="28" t="inlineStr">
        <is>
          <t>P1</t>
        </is>
      </c>
      <c r="F8" s="32" t="inlineStr">
        <is>
          <t>No</t>
        </is>
      </c>
      <c r="G8" s="33">
        <f>AuthService!J7</f>
        <v/>
      </c>
      <c r="H8" s="33">
        <f>AuthService!K7</f>
        <v/>
      </c>
      <c r="I8" s="54">
        <f>AuthService!M7</f>
        <v/>
      </c>
    </row>
    <row r="9">
      <c r="A9" s="26" t="inlineStr">
        <is>
          <t>L1-AUTH-03</t>
        </is>
      </c>
      <c r="B9" s="27" t="inlineStr">
        <is>
          <t>AuthService</t>
        </is>
      </c>
      <c r="C9" s="27" t="inlineStr">
        <is>
          <t>RegisterAsync()</t>
        </is>
      </c>
      <c r="D9" s="27" t="inlineStr">
        <is>
          <t>FT-01 NAC-01; BR-023</t>
        </is>
      </c>
      <c r="E9" s="34" t="inlineStr">
        <is>
          <t>P2</t>
        </is>
      </c>
      <c r="F9" s="29" t="inlineStr">
        <is>
          <t>Yes</t>
        </is>
      </c>
      <c r="G9" s="30">
        <f>AuthService!J8</f>
        <v/>
      </c>
      <c r="H9" s="30">
        <f>AuthService!K8</f>
        <v/>
      </c>
      <c r="I9" s="54">
        <f>AuthService!M8</f>
        <v/>
      </c>
    </row>
    <row r="10">
      <c r="A10" s="31" t="inlineStr">
        <is>
          <t>L1-AUTH-04</t>
        </is>
      </c>
      <c r="B10" s="32" t="inlineStr">
        <is>
          <t>AuthService</t>
        </is>
      </c>
      <c r="C10" s="32" t="inlineStr">
        <is>
          <t>VerifyOtpAsync()</t>
        </is>
      </c>
      <c r="D10" s="32" t="inlineStr">
        <is>
          <t>FT-01 NAC-02; BV-02; BR-024</t>
        </is>
      </c>
      <c r="E10" s="28" t="inlineStr">
        <is>
          <t>P1</t>
        </is>
      </c>
      <c r="F10" s="35" t="inlineStr">
        <is>
          <t>Yes</t>
        </is>
      </c>
      <c r="G10" s="33">
        <f>AuthService!J10</f>
        <v/>
      </c>
      <c r="H10" s="33">
        <f>AuthService!K10</f>
        <v/>
      </c>
      <c r="I10" s="54">
        <f>AuthService!M10</f>
        <v/>
      </c>
    </row>
    <row r="11">
      <c r="A11" s="26" t="inlineStr">
        <is>
          <t>L1-AUTH-05</t>
        </is>
      </c>
      <c r="B11" s="27" t="inlineStr">
        <is>
          <t>AuthService</t>
        </is>
      </c>
      <c r="C11" s="27" t="inlineStr">
        <is>
          <t>VerifyOtpAsync()</t>
        </is>
      </c>
      <c r="D11" s="27" t="inlineStr">
        <is>
          <t>FT-01 NAC-02; BV-02; BR-024</t>
        </is>
      </c>
      <c r="E11" s="34" t="inlineStr">
        <is>
          <t>P2</t>
        </is>
      </c>
      <c r="F11" s="29" t="inlineStr">
        <is>
          <t>Yes</t>
        </is>
      </c>
      <c r="G11" s="30">
        <f>AuthService!J11</f>
        <v/>
      </c>
      <c r="H11" s="30">
        <f>AuthService!K11</f>
        <v/>
      </c>
      <c r="I11" s="54">
        <f>AuthService!M11</f>
        <v/>
      </c>
    </row>
    <row r="12">
      <c r="A12" s="31" t="inlineStr">
        <is>
          <t>L1-AUTH-06</t>
        </is>
      </c>
      <c r="B12" s="32" t="inlineStr">
        <is>
          <t>AuthService</t>
        </is>
      </c>
      <c r="C12" s="32" t="inlineStr">
        <is>
          <t>VerifyOtpAsync()</t>
        </is>
      </c>
      <c r="D12" s="32" t="inlineStr">
        <is>
          <t>FT-01 AC-04; BV-02; BR-024</t>
        </is>
      </c>
      <c r="E12" s="28" t="inlineStr">
        <is>
          <t>P1</t>
        </is>
      </c>
      <c r="F12" s="32" t="inlineStr">
        <is>
          <t>No</t>
        </is>
      </c>
      <c r="G12" s="33">
        <f>AuthService!J12</f>
        <v/>
      </c>
      <c r="H12" s="33">
        <f>AuthService!K12</f>
        <v/>
      </c>
      <c r="I12" s="54">
        <f>AuthService!M12</f>
        <v/>
      </c>
    </row>
    <row r="13">
      <c r="A13" s="26" t="inlineStr">
        <is>
          <t>L1-AUTH-07</t>
        </is>
      </c>
      <c r="B13" s="27" t="inlineStr">
        <is>
          <t>AuthService</t>
        </is>
      </c>
      <c r="C13" s="27" t="inlineStr">
        <is>
          <t>LoginAsync()</t>
        </is>
      </c>
      <c r="D13" s="27" t="inlineStr">
        <is>
          <t>NFR-SEC02; NFR-SEC03</t>
        </is>
      </c>
      <c r="E13" s="28" t="inlineStr">
        <is>
          <t>P1</t>
        </is>
      </c>
      <c r="F13" s="27" t="inlineStr">
        <is>
          <t>No</t>
        </is>
      </c>
      <c r="G13" s="30">
        <f>AuthService!J14</f>
        <v/>
      </c>
      <c r="H13" s="30">
        <f>AuthService!K14</f>
        <v/>
      </c>
      <c r="I13" s="54">
        <f>AuthService!M14</f>
        <v/>
      </c>
    </row>
    <row r="14">
      <c r="A14" s="31" t="inlineStr">
        <is>
          <t>L1-AUTH-08</t>
        </is>
      </c>
      <c r="B14" s="32" t="inlineStr">
        <is>
          <t>AuthService</t>
        </is>
      </c>
      <c r="C14" s="32" t="inlineStr">
        <is>
          <t>LoginAsync()</t>
        </is>
      </c>
      <c r="D14" s="32" t="inlineStr">
        <is>
          <t>NFR-SEC02</t>
        </is>
      </c>
      <c r="E14" s="28" t="inlineStr">
        <is>
          <t>P1</t>
        </is>
      </c>
      <c r="F14" s="35" t="inlineStr">
        <is>
          <t>Yes</t>
        </is>
      </c>
      <c r="G14" s="33">
        <f>AuthService!J15</f>
        <v/>
      </c>
      <c r="H14" s="33">
        <f>AuthService!K15</f>
        <v/>
      </c>
      <c r="I14" s="54">
        <f>AuthService!M15</f>
        <v/>
      </c>
    </row>
    <row r="15">
      <c r="A15" s="26" t="inlineStr">
        <is>
          <t>L1-AUTH-09</t>
        </is>
      </c>
      <c r="B15" s="27" t="inlineStr">
        <is>
          <t>AuthService</t>
        </is>
      </c>
      <c r="C15" s="27" t="inlineStr">
        <is>
          <t>LoginAsync()</t>
        </is>
      </c>
      <c r="D15" s="27" t="inlineStr">
        <is>
          <t>NFR-SEC02</t>
        </is>
      </c>
      <c r="E15" s="34" t="inlineStr">
        <is>
          <t>P2</t>
        </is>
      </c>
      <c r="F15" s="29" t="inlineStr">
        <is>
          <t>Yes</t>
        </is>
      </c>
      <c r="G15" s="30">
        <f>AuthService!J16</f>
        <v/>
      </c>
      <c r="H15" s="30">
        <f>AuthService!K16</f>
        <v/>
      </c>
      <c r="I15" s="54">
        <f>AuthService!M16</f>
        <v/>
      </c>
    </row>
    <row r="16" ht="24" customHeight="1">
      <c r="A16" s="31" t="inlineStr">
        <is>
          <t>L1-AUTH-10</t>
        </is>
      </c>
      <c r="B16" s="32" t="inlineStr">
        <is>
          <t>AuthService</t>
        </is>
      </c>
      <c r="C16" s="32" t="inlineStr">
        <is>
          <t>LoginWithGoogleAsync()</t>
        </is>
      </c>
      <c r="D16" s="32" t="inlineStr">
        <is>
          <t>FT-01 AC-02; FT-04 AC-02; BR-002; BR-023</t>
        </is>
      </c>
      <c r="E16" s="36" t="inlineStr">
        <is>
          <t>P2</t>
        </is>
      </c>
      <c r="F16" s="32" t="inlineStr">
        <is>
          <t>No</t>
        </is>
      </c>
      <c r="G16" s="33">
        <f>AuthService!J18</f>
        <v/>
      </c>
      <c r="H16" s="33">
        <f>AuthService!K18</f>
        <v/>
      </c>
      <c r="I16" s="54">
        <f>AuthService!M18</f>
        <v/>
      </c>
    </row>
    <row r="17" ht="15.75" customHeight="1">
      <c r="A17" s="26" t="inlineStr">
        <is>
          <t>L1-AUTH-11</t>
        </is>
      </c>
      <c r="B17" s="27" t="inlineStr">
        <is>
          <t>AuthService</t>
        </is>
      </c>
      <c r="C17" s="27" t="inlineStr">
        <is>
          <t>LoginWithGoogleAsync()</t>
        </is>
      </c>
      <c r="D17" s="27" t="inlineStr">
        <is>
          <t>FT-01 AC-02; NAC-01; BR-023</t>
        </is>
      </c>
      <c r="E17" s="34" t="inlineStr">
        <is>
          <t>P2</t>
        </is>
      </c>
      <c r="F17" s="27" t="inlineStr">
        <is>
          <t>No</t>
        </is>
      </c>
      <c r="G17" s="30">
        <f>AuthService!J19</f>
        <v/>
      </c>
      <c r="H17" s="30">
        <f>AuthService!K19</f>
        <v/>
      </c>
      <c r="I17" s="54">
        <f>AuthService!M19</f>
        <v/>
      </c>
    </row>
    <row r="18" ht="15.75" customHeight="1">
      <c r="A18" s="31" t="inlineStr">
        <is>
          <t>L1-AUTH-12</t>
        </is>
      </c>
      <c r="B18" s="32" t="inlineStr">
        <is>
          <t>AuthService</t>
        </is>
      </c>
      <c r="C18" s="32" t="inlineStr">
        <is>
          <t>RefreshTokenAsync()</t>
        </is>
      </c>
      <c r="D18" s="32" t="inlineStr">
        <is>
          <t>NFR-SEC02</t>
        </is>
      </c>
      <c r="E18" s="28" t="inlineStr">
        <is>
          <t>P1</t>
        </is>
      </c>
      <c r="F18" s="32" t="inlineStr">
        <is>
          <t>No</t>
        </is>
      </c>
      <c r="G18" s="33">
        <f>AuthService!J21</f>
        <v/>
      </c>
      <c r="H18" s="33">
        <f>AuthService!K21</f>
        <v/>
      </c>
      <c r="I18" s="54">
        <f>AuthService!M21</f>
        <v/>
      </c>
    </row>
    <row r="19" ht="15.75" customHeight="1">
      <c r="A19" s="26" t="inlineStr">
        <is>
          <t>L1-AUTH-13</t>
        </is>
      </c>
      <c r="B19" s="27" t="inlineStr">
        <is>
          <t>AuthService</t>
        </is>
      </c>
      <c r="C19" s="27" t="inlineStr">
        <is>
          <t>RefreshTokenAsync()</t>
        </is>
      </c>
      <c r="D19" s="27" t="inlineStr">
        <is>
          <t>NFR-SEC02</t>
        </is>
      </c>
      <c r="E19" s="28" t="inlineStr">
        <is>
          <t>P1</t>
        </is>
      </c>
      <c r="F19" s="29" t="inlineStr">
        <is>
          <t>Yes</t>
        </is>
      </c>
      <c r="G19" s="30">
        <f>AuthService!J22</f>
        <v/>
      </c>
      <c r="H19" s="30">
        <f>AuthService!K22</f>
        <v/>
      </c>
      <c r="I19" s="54">
        <f>AuthService!M22</f>
        <v/>
      </c>
    </row>
    <row r="20" ht="15.75" customHeight="1">
      <c r="A20" s="31" t="inlineStr">
        <is>
          <t>L1-AUTH-14</t>
        </is>
      </c>
      <c r="B20" s="32" t="inlineStr">
        <is>
          <t>AuthService</t>
        </is>
      </c>
      <c r="C20" s="32" t="inlineStr">
        <is>
          <t>ResetPasswordAsync() / LogoutAsync()</t>
        </is>
      </c>
      <c r="D20" s="32" t="inlineStr">
        <is>
          <t>NFR-SEC02</t>
        </is>
      </c>
      <c r="E20" s="28" t="inlineStr">
        <is>
          <t>P1</t>
        </is>
      </c>
      <c r="F20" s="35" t="inlineStr">
        <is>
          <t>Yes</t>
        </is>
      </c>
      <c r="G20" s="33">
        <f>AuthService!J24</f>
        <v/>
      </c>
      <c r="H20" s="33">
        <f>AuthService!K24</f>
        <v/>
      </c>
      <c r="I20" s="54">
        <f>AuthService!M24</f>
        <v/>
      </c>
    </row>
    <row r="21" ht="15.75" customHeight="1">
      <c r="A21" s="26" t="inlineStr">
        <is>
          <t>L1-AUTH-15</t>
        </is>
      </c>
      <c r="B21" s="27" t="inlineStr">
        <is>
          <t>AuthService</t>
        </is>
      </c>
      <c r="C21" s="27" t="inlineStr">
        <is>
          <t>ResetPasswordAsync() / LogoutAsync()</t>
        </is>
      </c>
      <c r="D21" s="27" t="inlineStr">
        <is>
          <t>NFR-SEC02</t>
        </is>
      </c>
      <c r="E21" s="28" t="inlineStr">
        <is>
          <t>P1</t>
        </is>
      </c>
      <c r="F21" s="27" t="inlineStr">
        <is>
          <t>No</t>
        </is>
      </c>
      <c r="G21" s="30">
        <f>AuthService!J25</f>
        <v/>
      </c>
      <c r="H21" s="30">
        <f>AuthService!K25</f>
        <v/>
      </c>
      <c r="I21" s="54">
        <f>AuthService!M25</f>
        <v/>
      </c>
    </row>
    <row r="22" ht="15.75" customHeight="1">
      <c r="A22" s="31" t="inlineStr">
        <is>
          <t>L1-AUTH-16</t>
        </is>
      </c>
      <c r="B22" s="32" t="inlineStr">
        <is>
          <t>AuthService</t>
        </is>
      </c>
      <c r="C22" s="32" t="inlineStr">
        <is>
          <t>ResetPasswordAsync() / LogoutAsync()</t>
        </is>
      </c>
      <c r="D22" s="32" t="inlineStr">
        <is>
          <t>NFR-SEC02</t>
        </is>
      </c>
      <c r="E22" s="36" t="inlineStr">
        <is>
          <t>P2</t>
        </is>
      </c>
      <c r="F22" s="32" t="inlineStr">
        <is>
          <t>No</t>
        </is>
      </c>
      <c r="G22" s="33">
        <f>AuthService!J26</f>
        <v/>
      </c>
      <c r="H22" s="33">
        <f>AuthService!K26</f>
        <v/>
      </c>
      <c r="I22" s="54">
        <f>AuthService!M26</f>
        <v/>
      </c>
    </row>
    <row r="23" ht="15.75" customHeight="1">
      <c r="A23" s="26" t="inlineStr">
        <is>
          <t>L1-AUTH-17</t>
        </is>
      </c>
      <c r="B23" s="27" t="inlineStr">
        <is>
          <t>AuthService</t>
        </is>
      </c>
      <c r="C23" s="27" t="inlineStr">
        <is>
          <t>Xác thực SĐT qua SMS</t>
        </is>
      </c>
      <c r="D23" s="27" t="inlineStr">
        <is>
          <t>FT-01 AC-04; BR-024; NFR-SEC04</t>
        </is>
      </c>
      <c r="E23" s="28" t="inlineStr">
        <is>
          <t>P1</t>
        </is>
      </c>
      <c r="F23" s="27" t="inlineStr">
        <is>
          <t>No</t>
        </is>
      </c>
      <c r="G23" s="30">
        <f>AuthService!J28</f>
        <v/>
      </c>
      <c r="H23" s="30">
        <f>AuthService!K28</f>
        <v/>
      </c>
      <c r="I23" s="54">
        <f>AuthService!M28</f>
        <v/>
      </c>
    </row>
    <row r="24" ht="15.75" customHeight="1">
      <c r="A24" s="31" t="inlineStr">
        <is>
          <t>L1-AUTH-18</t>
        </is>
      </c>
      <c r="B24" s="32" t="inlineStr">
        <is>
          <t>AuthService</t>
        </is>
      </c>
      <c r="C24" s="32" t="inlineStr">
        <is>
          <t>Xác thực SĐT qua SMS</t>
        </is>
      </c>
      <c r="D24" s="32" t="inlineStr">
        <is>
          <t>FT-01 BV-02; NAC-02</t>
        </is>
      </c>
      <c r="E24" s="28" t="inlineStr">
        <is>
          <t>P1</t>
        </is>
      </c>
      <c r="F24" s="35" t="inlineStr">
        <is>
          <t>Yes</t>
        </is>
      </c>
      <c r="G24" s="33">
        <f>AuthService!J29</f>
        <v/>
      </c>
      <c r="H24" s="33">
        <f>AuthService!K29</f>
        <v/>
      </c>
      <c r="I24" s="54">
        <f>AuthService!M29</f>
        <v/>
      </c>
    </row>
    <row r="25" ht="15.75" customHeight="1">
      <c r="A25" s="26" t="inlineStr">
        <is>
          <t>L1-AUTH-19</t>
        </is>
      </c>
      <c r="B25" s="27" t="inlineStr">
        <is>
          <t>AuthService</t>
        </is>
      </c>
      <c r="C25" s="27" t="inlineStr">
        <is>
          <t>Xác thực SĐT qua SMS</t>
        </is>
      </c>
      <c r="D25" s="27" t="inlineStr">
        <is>
          <t>FT-01 BV-02</t>
        </is>
      </c>
      <c r="E25" s="28" t="inlineStr">
        <is>
          <t>P1</t>
        </is>
      </c>
      <c r="F25" s="27" t="inlineStr">
        <is>
          <t>No</t>
        </is>
      </c>
      <c r="G25" s="30">
        <f>AuthService!J30</f>
        <v/>
      </c>
      <c r="H25" s="30">
        <f>AuthService!K30</f>
        <v/>
      </c>
      <c r="I25" s="54">
        <f>AuthService!M30</f>
        <v/>
      </c>
    </row>
    <row r="26" ht="15.75" customHeight="1">
      <c r="A26" s="31" t="inlineStr">
        <is>
          <t>L1-AUTH-20</t>
        </is>
      </c>
      <c r="B26" s="32" t="inlineStr">
        <is>
          <t>AuthService</t>
        </is>
      </c>
      <c r="C26" s="32" t="inlineStr">
        <is>
          <t>Xác thực SĐT qua SMS</t>
        </is>
      </c>
      <c r="D26" s="32" t="inlineStr">
        <is>
          <t>FT-01 BV-02; NAC-02; BR-024</t>
        </is>
      </c>
      <c r="E26" s="28" t="inlineStr">
        <is>
          <t>P1</t>
        </is>
      </c>
      <c r="F26" s="35" t="inlineStr">
        <is>
          <t>Yes</t>
        </is>
      </c>
      <c r="G26" s="33">
        <f>AuthService!J31</f>
        <v/>
      </c>
      <c r="H26" s="33">
        <f>AuthService!K31</f>
        <v/>
      </c>
      <c r="I26" s="54">
        <f>AuthService!M31</f>
        <v/>
      </c>
    </row>
    <row r="27" ht="15.75" customHeight="1">
      <c r="A27" s="26" t="inlineStr">
        <is>
          <t>L1-AUTH-21</t>
        </is>
      </c>
      <c r="B27" s="27" t="inlineStr">
        <is>
          <t>AuthService</t>
        </is>
      </c>
      <c r="C27" s="27" t="inlineStr">
        <is>
          <t>Xác thực SĐT qua SMS</t>
        </is>
      </c>
      <c r="D27" s="27" t="inlineStr">
        <is>
          <t>FT-01 AC-04; BV-02</t>
        </is>
      </c>
      <c r="E27" s="28" t="inlineStr">
        <is>
          <t>P1</t>
        </is>
      </c>
      <c r="F27" s="27" t="inlineStr">
        <is>
          <t>No</t>
        </is>
      </c>
      <c r="G27" s="30">
        <f>AuthService!J32</f>
        <v/>
      </c>
      <c r="H27" s="30">
        <f>AuthService!K32</f>
        <v/>
      </c>
      <c r="I27" s="54">
        <f>AuthService!M32</f>
        <v/>
      </c>
    </row>
    <row r="28" ht="15.75" customHeight="1">
      <c r="A28" s="31" t="inlineStr">
        <is>
          <t>L1-AUTH-22</t>
        </is>
      </c>
      <c r="B28" s="32" t="inlineStr">
        <is>
          <t>AuthService</t>
        </is>
      </c>
      <c r="C28" s="32" t="inlineStr">
        <is>
          <t>Xác thực SĐT qua SMS</t>
        </is>
      </c>
      <c r="D28" s="32" t="inlineStr">
        <is>
          <t>FT-01 BV-02; NAC-02</t>
        </is>
      </c>
      <c r="E28" s="28" t="inlineStr">
        <is>
          <t>P1</t>
        </is>
      </c>
      <c r="F28" s="35" t="inlineStr">
        <is>
          <t>Yes</t>
        </is>
      </c>
      <c r="G28" s="33">
        <f>AuthService!J33</f>
        <v/>
      </c>
      <c r="H28" s="33">
        <f>AuthService!K33</f>
        <v/>
      </c>
      <c r="I28" s="54">
        <f>AuthService!M33</f>
        <v/>
      </c>
    </row>
    <row r="29" ht="15.75" customHeight="1">
      <c r="A29" s="26" t="inlineStr">
        <is>
          <t>L1-AUTH-23</t>
        </is>
      </c>
      <c r="B29" s="27" t="inlineStr">
        <is>
          <t>AuthService</t>
        </is>
      </c>
      <c r="C29" s="27" t="inlineStr">
        <is>
          <t>Xác thực SĐT qua SMS</t>
        </is>
      </c>
      <c r="D29" s="27" t="inlineStr">
        <is>
          <t>FT-01 BV-02; NAC-02</t>
        </is>
      </c>
      <c r="E29" s="28" t="inlineStr">
        <is>
          <t>P1</t>
        </is>
      </c>
      <c r="F29" s="29" t="inlineStr">
        <is>
          <t>Yes</t>
        </is>
      </c>
      <c r="G29" s="30">
        <f>AuthService!J34</f>
        <v/>
      </c>
      <c r="H29" s="30">
        <f>AuthService!K34</f>
        <v/>
      </c>
      <c r="I29" s="54">
        <f>AuthService!M34</f>
        <v/>
      </c>
    </row>
    <row r="30" ht="15.75" customHeight="1">
      <c r="A30" s="31" t="inlineStr">
        <is>
          <t>L1-AUTH-24</t>
        </is>
      </c>
      <c r="B30" s="32" t="inlineStr">
        <is>
          <t>AuthService</t>
        </is>
      </c>
      <c r="C30" s="32" t="inlineStr">
        <is>
          <t>Xác thực SĐT qua SMS</t>
        </is>
      </c>
      <c r="D30" s="32" t="inlineStr">
        <is>
          <t>FT-01 AC-04; BR-024</t>
        </is>
      </c>
      <c r="E30" s="28" t="inlineStr">
        <is>
          <t>P1</t>
        </is>
      </c>
      <c r="F30" s="32" t="inlineStr">
        <is>
          <t>No</t>
        </is>
      </c>
      <c r="G30" s="33">
        <f>AuthService!J35</f>
        <v/>
      </c>
      <c r="H30" s="33">
        <f>AuthService!K35</f>
        <v/>
      </c>
      <c r="I30" s="54">
        <f>AuthService!M35</f>
        <v/>
      </c>
    </row>
    <row r="31" ht="15.75" customHeight="1">
      <c r="A31" s="26" t="inlineStr">
        <is>
          <t>L1-AUTH-25</t>
        </is>
      </c>
      <c r="B31" s="27" t="inlineStr">
        <is>
          <t>AuthService</t>
        </is>
      </c>
      <c r="C31" s="27" t="inlineStr">
        <is>
          <t>Xác thực SĐT qua SMS</t>
        </is>
      </c>
      <c r="D31" s="27" t="inlineStr">
        <is>
          <t>FT-01 AC-02</t>
        </is>
      </c>
      <c r="E31" s="34" t="inlineStr">
        <is>
          <t>P2</t>
        </is>
      </c>
      <c r="F31" s="27" t="inlineStr">
        <is>
          <t>No</t>
        </is>
      </c>
      <c r="G31" s="30">
        <f>AuthService!J36</f>
        <v/>
      </c>
      <c r="H31" s="30">
        <f>AuthService!K36</f>
        <v/>
      </c>
      <c r="I31" s="54">
        <f>AuthService!M36</f>
        <v/>
      </c>
    </row>
    <row r="32" ht="15.75" customHeight="1">
      <c r="A32" s="31" t="inlineStr">
        <is>
          <t>L1-AUTH-26</t>
        </is>
      </c>
      <c r="B32" s="32" t="inlineStr">
        <is>
          <t>AuthService</t>
        </is>
      </c>
      <c r="C32" s="32" t="inlineStr">
        <is>
          <t>Gửi lại OTP qua email</t>
        </is>
      </c>
      <c r="D32" s="32" t="inlineStr">
        <is>
          <t>FT-01 NAC-02; BR-024</t>
        </is>
      </c>
      <c r="E32" s="28" t="inlineStr">
        <is>
          <t>P1</t>
        </is>
      </c>
      <c r="F32" s="35" t="inlineStr">
        <is>
          <t>Yes</t>
        </is>
      </c>
      <c r="G32" s="33">
        <f>AuthService!J41</f>
        <v/>
      </c>
      <c r="H32" s="33">
        <f>AuthService!K41</f>
        <v/>
      </c>
      <c r="I32" s="54">
        <f>AuthService!M41</f>
        <v/>
      </c>
    </row>
    <row r="33" ht="15.75" customHeight="1">
      <c r="A33" s="26" t="inlineStr">
        <is>
          <t>L1-AUTH-27</t>
        </is>
      </c>
      <c r="B33" s="27" t="inlineStr">
        <is>
          <t>AuthService</t>
        </is>
      </c>
      <c r="C33" s="27" t="inlineStr">
        <is>
          <t>Gửi lại OTP qua email</t>
        </is>
      </c>
      <c r="D33" s="27" t="inlineStr">
        <is>
          <t>FT-01 AC-04; NAC-02</t>
        </is>
      </c>
      <c r="E33" s="28" t="inlineStr">
        <is>
          <t>P1</t>
        </is>
      </c>
      <c r="F33" s="29" t="inlineStr">
        <is>
          <t>Yes</t>
        </is>
      </c>
      <c r="G33" s="30">
        <f>AuthService!J42</f>
        <v/>
      </c>
      <c r="H33" s="30">
        <f>AuthService!K42</f>
        <v/>
      </c>
      <c r="I33" s="54">
        <f>AuthService!M42</f>
        <v/>
      </c>
    </row>
    <row r="34" ht="15.75" customHeight="1">
      <c r="A34" s="31" t="inlineStr">
        <is>
          <t>L1-AUTH-28</t>
        </is>
      </c>
      <c r="B34" s="32" t="inlineStr">
        <is>
          <t>AuthService</t>
        </is>
      </c>
      <c r="C34" s="32" t="inlineStr">
        <is>
          <t>Gửi lại OTP qua email</t>
        </is>
      </c>
      <c r="D34" s="32" t="inlineStr">
        <is>
          <t>FT-01 AC-04; BV-02; BR-024</t>
        </is>
      </c>
      <c r="E34" s="28" t="inlineStr">
        <is>
          <t>P1</t>
        </is>
      </c>
      <c r="F34" s="32" t="inlineStr">
        <is>
          <t>No</t>
        </is>
      </c>
      <c r="G34" s="33">
        <f>AuthService!J43</f>
        <v/>
      </c>
      <c r="H34" s="33">
        <f>AuthService!K43</f>
        <v/>
      </c>
      <c r="I34" s="54">
        <f>AuthService!M43</f>
        <v/>
      </c>
    </row>
    <row r="35" ht="15.75" customHeight="1">
      <c r="A35" s="26" t="inlineStr">
        <is>
          <t>L1-AUTH-29</t>
        </is>
      </c>
      <c r="B35" s="27" t="inlineStr">
        <is>
          <t>AuthService</t>
        </is>
      </c>
      <c r="C35" s="27" t="inlineStr">
        <is>
          <t>Gửi lại OTP qua email</t>
        </is>
      </c>
      <c r="D35" s="27" t="inlineStr">
        <is>
          <t>FT-01 BV-02; BR-024</t>
        </is>
      </c>
      <c r="E35" s="28" t="inlineStr">
        <is>
          <t>P1</t>
        </is>
      </c>
      <c r="F35" s="29" t="inlineStr">
        <is>
          <t>Yes</t>
        </is>
      </c>
      <c r="G35" s="30">
        <f>AuthService!J44</f>
        <v/>
      </c>
      <c r="H35" s="30">
        <f>AuthService!K44</f>
        <v/>
      </c>
      <c r="I35" s="54">
        <f>AuthService!M44</f>
        <v/>
      </c>
    </row>
    <row r="36" ht="15.75" customHeight="1">
      <c r="A36" s="31" t="inlineStr">
        <is>
          <t>L1-AUTH-30</t>
        </is>
      </c>
      <c r="B36" s="32" t="inlineStr">
        <is>
          <t>AuthService</t>
        </is>
      </c>
      <c r="C36" s="32" t="inlineStr">
        <is>
          <t>Gửi lại OTP qua email</t>
        </is>
      </c>
      <c r="D36" s="32" t="inlineStr">
        <is>
          <t>FT-01 BV-02; BR-024</t>
        </is>
      </c>
      <c r="E36" s="28" t="inlineStr">
        <is>
          <t>P1</t>
        </is>
      </c>
      <c r="F36" s="35" t="inlineStr">
        <is>
          <t>Yes</t>
        </is>
      </c>
      <c r="G36" s="33">
        <f>AuthService!J45</f>
        <v/>
      </c>
      <c r="H36" s="33">
        <f>AuthService!K45</f>
        <v/>
      </c>
      <c r="I36" s="54">
        <f>AuthService!M45</f>
        <v/>
      </c>
    </row>
    <row r="37" ht="15.75" customHeight="1">
      <c r="A37" s="26" t="inlineStr">
        <is>
          <t>L1-AUTH-31</t>
        </is>
      </c>
      <c r="B37" s="27" t="inlineStr">
        <is>
          <t>AuthService</t>
        </is>
      </c>
      <c r="C37" s="27" t="inlineStr">
        <is>
          <t>Gửi lại OTP qua email</t>
        </is>
      </c>
      <c r="D37" s="27" t="inlineStr">
        <is>
          <t>FT-01 BV-02; BR-024</t>
        </is>
      </c>
      <c r="E37" s="28" t="inlineStr">
        <is>
          <t>P1</t>
        </is>
      </c>
      <c r="F37" s="29" t="inlineStr">
        <is>
          <t>Yes</t>
        </is>
      </c>
      <c r="G37" s="30">
        <f>AuthService!J46</f>
        <v/>
      </c>
      <c r="H37" s="30">
        <f>AuthService!K46</f>
        <v/>
      </c>
      <c r="I37" s="54">
        <f>AuthService!M46</f>
        <v/>
      </c>
    </row>
    <row r="38" ht="15.75" customHeight="1">
      <c r="A38" s="31" t="inlineStr">
        <is>
          <t>L1-AUTH-32</t>
        </is>
      </c>
      <c r="B38" s="32" t="inlineStr">
        <is>
          <t>AuthService</t>
        </is>
      </c>
      <c r="C38" s="32" t="inlineStr">
        <is>
          <t>Gửi lại OTP qua email</t>
        </is>
      </c>
      <c r="D38" s="32" t="inlineStr">
        <is>
          <t>NFR-SEC02; FT-01 NAC-02</t>
        </is>
      </c>
      <c r="E38" s="28" t="inlineStr">
        <is>
          <t>P1</t>
        </is>
      </c>
      <c r="F38" s="35" t="inlineStr">
        <is>
          <t>Yes</t>
        </is>
      </c>
      <c r="G38" s="33">
        <f>AuthService!J47</f>
        <v/>
      </c>
      <c r="H38" s="33">
        <f>AuthService!K47</f>
        <v/>
      </c>
      <c r="I38" s="54">
        <f>AuthService!M47</f>
        <v/>
      </c>
    </row>
    <row r="39" ht="15.75" customHeight="1">
      <c r="A39" s="26" t="inlineStr">
        <is>
          <t>L1-AUTH-33</t>
        </is>
      </c>
      <c r="B39" s="27" t="inlineStr">
        <is>
          <t>AuthService</t>
        </is>
      </c>
      <c r="C39" s="27" t="inlineStr">
        <is>
          <t>Gửi lại OTP qua email</t>
        </is>
      </c>
      <c r="D39" s="27" t="inlineStr">
        <is>
          <t>NFR-SEC02</t>
        </is>
      </c>
      <c r="E39" s="28" t="inlineStr">
        <is>
          <t>P1</t>
        </is>
      </c>
      <c r="F39" s="27" t="inlineStr">
        <is>
          <t>No</t>
        </is>
      </c>
      <c r="G39" s="30">
        <f>AuthService!J48</f>
        <v/>
      </c>
      <c r="H39" s="30">
        <f>AuthService!K48</f>
        <v/>
      </c>
      <c r="I39" s="54">
        <f>AuthService!M48</f>
        <v/>
      </c>
    </row>
    <row r="40" ht="15.75" customHeight="1">
      <c r="A40" s="31" t="inlineStr">
        <is>
          <t>L1-CART-01</t>
        </is>
      </c>
      <c r="B40" s="32" t="inlineStr">
        <is>
          <t>CartService</t>
        </is>
      </c>
      <c r="C40" s="32" t="inlineStr">
        <is>
          <t>GetCartAsync()</t>
        </is>
      </c>
      <c r="D40" s="32" t="inlineStr">
        <is>
          <t>FT-01 AC-05; BR-025</t>
        </is>
      </c>
      <c r="E40" s="28" t="inlineStr">
        <is>
          <t>P1</t>
        </is>
      </c>
      <c r="F40" s="32" t="inlineStr">
        <is>
          <t>No</t>
        </is>
      </c>
      <c r="G40" s="33">
        <f>CartService!J6</f>
        <v/>
      </c>
      <c r="H40" s="33">
        <f>CartService!K6</f>
        <v/>
      </c>
      <c r="I40" s="54">
        <f>CartService!M6</f>
        <v/>
      </c>
    </row>
    <row r="41" ht="15.75" customHeight="1">
      <c r="A41" s="26" t="inlineStr">
        <is>
          <t>L1-CART-02</t>
        </is>
      </c>
      <c r="B41" s="27" t="inlineStr">
        <is>
          <t>CartService</t>
        </is>
      </c>
      <c r="C41" s="27" t="inlineStr">
        <is>
          <t>GetCartAsync()</t>
        </is>
      </c>
      <c r="D41" s="27" t="inlineStr">
        <is>
          <t>FT-01 AC-05</t>
        </is>
      </c>
      <c r="E41" s="34" t="inlineStr">
        <is>
          <t>P2</t>
        </is>
      </c>
      <c r="F41" s="27" t="inlineStr">
        <is>
          <t>No</t>
        </is>
      </c>
      <c r="G41" s="30">
        <f>CartService!J7</f>
        <v/>
      </c>
      <c r="H41" s="30">
        <f>CartService!K7</f>
        <v/>
      </c>
      <c r="I41" s="54">
        <f>CartService!M7</f>
        <v/>
      </c>
    </row>
    <row r="42" ht="15.75" customHeight="1">
      <c r="A42" s="31" t="inlineStr">
        <is>
          <t>L1-CART-03</t>
        </is>
      </c>
      <c r="B42" s="32" t="inlineStr">
        <is>
          <t>CartService</t>
        </is>
      </c>
      <c r="C42" s="32" t="inlineStr">
        <is>
          <t>GetCartAsync()</t>
        </is>
      </c>
      <c r="D42" s="32" t="inlineStr">
        <is>
          <t>FT-01 BV-01; NAC-03; BR-025</t>
        </is>
      </c>
      <c r="E42" s="28" t="inlineStr">
        <is>
          <t>P1</t>
        </is>
      </c>
      <c r="F42" s="32" t="inlineStr">
        <is>
          <t>No</t>
        </is>
      </c>
      <c r="G42" s="33">
        <f>CartService!J8</f>
        <v/>
      </c>
      <c r="H42" s="33">
        <f>CartService!K8</f>
        <v/>
      </c>
      <c r="I42" s="54">
        <f>CartService!M8</f>
        <v/>
      </c>
    </row>
    <row r="43" ht="15.75" customHeight="1">
      <c r="A43" s="26" t="inlineStr">
        <is>
          <t>L1-CART-04</t>
        </is>
      </c>
      <c r="B43" s="27" t="inlineStr">
        <is>
          <t>CartService</t>
        </is>
      </c>
      <c r="C43" s="27" t="inlineStr">
        <is>
          <t>GetCartAsync()</t>
        </is>
      </c>
      <c r="D43" s="27" t="inlineStr">
        <is>
          <t>FT-01 BV-01; BR-025</t>
        </is>
      </c>
      <c r="E43" s="28" t="inlineStr">
        <is>
          <t>P1</t>
        </is>
      </c>
      <c r="F43" s="27" t="inlineStr">
        <is>
          <t>No</t>
        </is>
      </c>
      <c r="G43" s="30">
        <f>CartService!J9</f>
        <v/>
      </c>
      <c r="H43" s="30">
        <f>CartService!K9</f>
        <v/>
      </c>
      <c r="I43" s="54">
        <f>CartService!M9</f>
        <v/>
      </c>
    </row>
    <row r="44" ht="15.75" customHeight="1">
      <c r="A44" s="31" t="inlineStr">
        <is>
          <t>L1-CART-05</t>
        </is>
      </c>
      <c r="B44" s="32" t="inlineStr">
        <is>
          <t>CartService</t>
        </is>
      </c>
      <c r="C44" s="32" t="inlineStr">
        <is>
          <t>AddItemToCartAsync()</t>
        </is>
      </c>
      <c r="D44" s="32" t="inlineStr">
        <is>
          <t>FT-01 AC-05; FT-02 AC-02; BR-005</t>
        </is>
      </c>
      <c r="E44" s="28" t="inlineStr">
        <is>
          <t>P1</t>
        </is>
      </c>
      <c r="F44" s="32" t="inlineStr">
        <is>
          <t>No</t>
        </is>
      </c>
      <c r="G44" s="33">
        <f>CartService!J11</f>
        <v/>
      </c>
      <c r="H44" s="33">
        <f>CartService!K11</f>
        <v/>
      </c>
      <c r="I44" s="54">
        <f>CartService!M11</f>
        <v/>
      </c>
    </row>
    <row r="45" ht="15.75" customHeight="1">
      <c r="A45" s="26" t="inlineStr">
        <is>
          <t>L1-CART-06</t>
        </is>
      </c>
      <c r="B45" s="27" t="inlineStr">
        <is>
          <t>CartService</t>
        </is>
      </c>
      <c r="C45" s="27" t="inlineStr">
        <is>
          <t>AddItemToCartAsync()</t>
        </is>
      </c>
      <c r="D45" s="27" t="inlineStr">
        <is>
          <t>FT-01 AC-05</t>
        </is>
      </c>
      <c r="E45" s="28" t="inlineStr">
        <is>
          <t>P1</t>
        </is>
      </c>
      <c r="F45" s="27" t="inlineStr">
        <is>
          <t>No</t>
        </is>
      </c>
      <c r="G45" s="30">
        <f>CartService!J12</f>
        <v/>
      </c>
      <c r="H45" s="30">
        <f>CartService!K12</f>
        <v/>
      </c>
      <c r="I45" s="54">
        <f>CartService!M12</f>
        <v/>
      </c>
    </row>
    <row r="46" ht="15.75" customHeight="1">
      <c r="A46" s="31" t="inlineStr">
        <is>
          <t>L1-CART-07</t>
        </is>
      </c>
      <c r="B46" s="32" t="inlineStr">
        <is>
          <t>CartService</t>
        </is>
      </c>
      <c r="C46" s="32" t="inlineStr">
        <is>
          <t>AddItemToCartAsync()</t>
        </is>
      </c>
      <c r="D46" s="32" t="inlineStr">
        <is>
          <t>FT-01 AC-05</t>
        </is>
      </c>
      <c r="E46" s="28" t="inlineStr">
        <is>
          <t>P1</t>
        </is>
      </c>
      <c r="F46" s="35" t="inlineStr">
        <is>
          <t>Yes</t>
        </is>
      </c>
      <c r="G46" s="33">
        <f>CartService!J13</f>
        <v/>
      </c>
      <c r="H46" s="33">
        <f>CartService!K13</f>
        <v/>
      </c>
      <c r="I46" s="54">
        <f>CartService!M13</f>
        <v/>
      </c>
    </row>
    <row r="47" ht="15.75" customHeight="1">
      <c r="A47" s="26" t="inlineStr">
        <is>
          <t>L1-CART-08</t>
        </is>
      </c>
      <c r="B47" s="27" t="inlineStr">
        <is>
          <t>CartService</t>
        </is>
      </c>
      <c r="C47" s="27" t="inlineStr">
        <is>
          <t>AddItemToCartAsync()</t>
        </is>
      </c>
      <c r="D47" s="27" t="inlineStr">
        <is>
          <t>FT-01 NAC-04; BR-047</t>
        </is>
      </c>
      <c r="E47" s="28" t="inlineStr">
        <is>
          <t>P1</t>
        </is>
      </c>
      <c r="F47" s="29" t="inlineStr">
        <is>
          <t>Yes</t>
        </is>
      </c>
      <c r="G47" s="30">
        <f>CartService!J14</f>
        <v/>
      </c>
      <c r="H47" s="30">
        <f>CartService!K14</f>
        <v/>
      </c>
      <c r="I47" s="54">
        <f>CartService!M14</f>
        <v/>
      </c>
    </row>
    <row r="48" ht="15.75" customHeight="1">
      <c r="A48" s="31" t="inlineStr">
        <is>
          <t>L1-CART-09</t>
        </is>
      </c>
      <c r="B48" s="32" t="inlineStr">
        <is>
          <t>CartService</t>
        </is>
      </c>
      <c r="C48" s="32" t="inlineStr">
        <is>
          <t>UpdateCartItemAsync() / RemoveItemFromCartAsync() / ClearCartAsync()</t>
        </is>
      </c>
      <c r="D48" s="32" t="inlineStr">
        <is>
          <t>FT-01 NAC-05; NFR-SEC03</t>
        </is>
      </c>
      <c r="E48" s="28" t="inlineStr">
        <is>
          <t>P1</t>
        </is>
      </c>
      <c r="F48" s="35" t="inlineStr">
        <is>
          <t>Yes</t>
        </is>
      </c>
      <c r="G48" s="33">
        <f>CartService!J16</f>
        <v/>
      </c>
      <c r="H48" s="33">
        <f>CartService!K16</f>
        <v/>
      </c>
      <c r="I48" s="54">
        <f>CartService!M16</f>
        <v/>
      </c>
    </row>
    <row r="49" ht="15.75" customHeight="1">
      <c r="A49" s="26" t="inlineStr">
        <is>
          <t>L1-CART-10</t>
        </is>
      </c>
      <c r="B49" s="27" t="inlineStr">
        <is>
          <t>CartService</t>
        </is>
      </c>
      <c r="C49" s="27" t="inlineStr">
        <is>
          <t>UpdateCartItemAsync() / RemoveItemFromCartAsync() / ClearCartAsync()</t>
        </is>
      </c>
      <c r="D49" s="27" t="inlineStr">
        <is>
          <t>FT-01 AC-05</t>
        </is>
      </c>
      <c r="E49" s="34" t="inlineStr">
        <is>
          <t>P2</t>
        </is>
      </c>
      <c r="F49" s="27" t="inlineStr">
        <is>
          <t>No</t>
        </is>
      </c>
      <c r="G49" s="30">
        <f>CartService!J17</f>
        <v/>
      </c>
      <c r="H49" s="30">
        <f>CartService!K17</f>
        <v/>
      </c>
      <c r="I49" s="54">
        <f>CartService!M17</f>
        <v/>
      </c>
    </row>
    <row r="50" ht="15.75" customHeight="1">
      <c r="A50" s="31" t="inlineStr">
        <is>
          <t>L1-PROD-01</t>
        </is>
      </c>
      <c r="B50" s="32" t="inlineStr">
        <is>
          <t>ProductService</t>
        </is>
      </c>
      <c r="C50" s="32" t="inlineStr">
        <is>
          <t>GetProductsAsync()</t>
        </is>
      </c>
      <c r="D50" s="32" t="inlineStr">
        <is>
          <t>FT-01 AC-01</t>
        </is>
      </c>
      <c r="E50" s="36" t="inlineStr">
        <is>
          <t>P2</t>
        </is>
      </c>
      <c r="F50" s="32" t="inlineStr">
        <is>
          <t>No</t>
        </is>
      </c>
      <c r="G50" s="33">
        <f>ProductService!J6</f>
        <v/>
      </c>
      <c r="H50" s="33">
        <f>ProductService!K6</f>
        <v/>
      </c>
      <c r="I50" s="54">
        <f>ProductService!M6</f>
        <v/>
      </c>
    </row>
    <row r="51" ht="15.75" customHeight="1">
      <c r="A51" s="26" t="inlineStr">
        <is>
          <t>L1-PROD-02</t>
        </is>
      </c>
      <c r="B51" s="27" t="inlineStr">
        <is>
          <t>ProductService</t>
        </is>
      </c>
      <c r="C51" s="27" t="inlineStr">
        <is>
          <t>GetProductsAsync()</t>
        </is>
      </c>
      <c r="D51" s="27" t="inlineStr">
        <is>
          <t>FT-01 AC-01</t>
        </is>
      </c>
      <c r="E51" s="34" t="inlineStr">
        <is>
          <t>P2</t>
        </is>
      </c>
      <c r="F51" s="27" t="inlineStr">
        <is>
          <t>No</t>
        </is>
      </c>
      <c r="G51" s="30">
        <f>ProductService!J7</f>
        <v/>
      </c>
      <c r="H51" s="30">
        <f>ProductService!K7</f>
        <v/>
      </c>
      <c r="I51" s="54">
        <f>ProductService!M7</f>
        <v/>
      </c>
    </row>
    <row r="52" ht="15.75" customHeight="1">
      <c r="A52" s="31" t="inlineStr">
        <is>
          <t>L1-PROD-03</t>
        </is>
      </c>
      <c r="B52" s="32" t="inlineStr">
        <is>
          <t>ProductService</t>
        </is>
      </c>
      <c r="C52" s="32" t="inlineStr">
        <is>
          <t>GetProductsAsync()</t>
        </is>
      </c>
      <c r="D52" s="32" t="inlineStr">
        <is>
          <t>FT-01 AC-01; NAC-04; BR-047</t>
        </is>
      </c>
      <c r="E52" s="28" t="inlineStr">
        <is>
          <t>P1</t>
        </is>
      </c>
      <c r="F52" s="32" t="inlineStr">
        <is>
          <t>No</t>
        </is>
      </c>
      <c r="G52" s="33">
        <f>ProductService!J8</f>
        <v/>
      </c>
      <c r="H52" s="33">
        <f>ProductService!K8</f>
        <v/>
      </c>
      <c r="I52" s="54">
        <f>ProductService!M8</f>
        <v/>
      </c>
    </row>
    <row r="53" ht="15.75" customHeight="1">
      <c r="A53" s="26" t="inlineStr">
        <is>
          <t>L1-PROD-04</t>
        </is>
      </c>
      <c r="B53" s="27" t="inlineStr">
        <is>
          <t>ProductService</t>
        </is>
      </c>
      <c r="C53" s="27" t="inlineStr">
        <is>
          <t>GetProductsAsync()</t>
        </is>
      </c>
      <c r="D53" s="27" t="inlineStr">
        <is>
          <t>FT-01 AC-01</t>
        </is>
      </c>
      <c r="E53" s="34" t="inlineStr">
        <is>
          <t>P3</t>
        </is>
      </c>
      <c r="F53" s="27" t="inlineStr">
        <is>
          <t>No</t>
        </is>
      </c>
      <c r="G53" s="30">
        <f>ProductService!J9</f>
        <v/>
      </c>
      <c r="H53" s="30">
        <f>ProductService!K9</f>
        <v/>
      </c>
      <c r="I53" s="54">
        <f>ProductService!M9</f>
        <v/>
      </c>
    </row>
    <row r="54" ht="15.75" customHeight="1">
      <c r="A54" s="31" t="inlineStr">
        <is>
          <t>L1-PROD-05</t>
        </is>
      </c>
      <c r="B54" s="32" t="inlineStr">
        <is>
          <t>ProductService</t>
        </is>
      </c>
      <c r="C54" s="32" t="inlineStr">
        <is>
          <t>GetProductByIdAsync()</t>
        </is>
      </c>
      <c r="D54" s="32" t="inlineStr">
        <is>
          <t>FT-01 AC-01</t>
        </is>
      </c>
      <c r="E54" s="36" t="inlineStr">
        <is>
          <t>P2</t>
        </is>
      </c>
      <c r="F54" s="32" t="inlineStr">
        <is>
          <t>No</t>
        </is>
      </c>
      <c r="G54" s="33">
        <f>ProductService!J11</f>
        <v/>
      </c>
      <c r="H54" s="33">
        <f>ProductService!K11</f>
        <v/>
      </c>
      <c r="I54" s="54">
        <f>ProductService!M11</f>
        <v/>
      </c>
    </row>
    <row r="55" ht="15.75" customHeight="1">
      <c r="A55" s="26" t="inlineStr">
        <is>
          <t>L1-ORD-01</t>
        </is>
      </c>
      <c r="B55" s="27" t="inlineStr">
        <is>
          <t>OrderService</t>
        </is>
      </c>
      <c r="C55" s="27" t="inlineStr">
        <is>
          <t>GetCheckoutSummaryAsync() — tiered pricing</t>
        </is>
      </c>
      <c r="D55" s="27" t="inlineStr">
        <is>
          <t>FT-02 AC-01; BV-01; BR-006</t>
        </is>
      </c>
      <c r="E55" s="28" t="inlineStr">
        <is>
          <t>P1</t>
        </is>
      </c>
      <c r="F55" s="27" t="inlineStr">
        <is>
          <t>No</t>
        </is>
      </c>
      <c r="G55" s="30">
        <f>OrderService!J6</f>
        <v/>
      </c>
      <c r="H55" s="30">
        <f>OrderService!K6</f>
        <v/>
      </c>
      <c r="I55" s="54">
        <f>OrderService!M6</f>
        <v/>
      </c>
    </row>
    <row r="56" ht="15.75" customHeight="1">
      <c r="A56" s="31" t="inlineStr">
        <is>
          <t>L1-ORD-02</t>
        </is>
      </c>
      <c r="B56" s="32" t="inlineStr">
        <is>
          <t>OrderService</t>
        </is>
      </c>
      <c r="C56" s="32" t="inlineStr">
        <is>
          <t>GetCheckoutSummaryAsync() — tiered pricing</t>
        </is>
      </c>
      <c r="D56" s="32" t="inlineStr">
        <is>
          <t>FT-02 AC-01; BV-01; BR-006</t>
        </is>
      </c>
      <c r="E56" s="28" t="inlineStr">
        <is>
          <t>P1</t>
        </is>
      </c>
      <c r="F56" s="32" t="inlineStr">
        <is>
          <t>No</t>
        </is>
      </c>
      <c r="G56" s="33">
        <f>OrderService!J7</f>
        <v/>
      </c>
      <c r="H56" s="33">
        <f>OrderService!K7</f>
        <v/>
      </c>
      <c r="I56" s="54">
        <f>OrderService!M7</f>
        <v/>
      </c>
    </row>
    <row r="57" ht="15.75" customHeight="1">
      <c r="A57" s="26" t="inlineStr">
        <is>
          <t>L1-ORD-03</t>
        </is>
      </c>
      <c r="B57" s="27" t="inlineStr">
        <is>
          <t>OrderService</t>
        </is>
      </c>
      <c r="C57" s="27" t="inlineStr">
        <is>
          <t>GetCheckoutSummaryAsync() — tiered pricing</t>
        </is>
      </c>
      <c r="D57" s="27" t="inlineStr">
        <is>
          <t>FT-02 AC-01; BV-01; BR-006</t>
        </is>
      </c>
      <c r="E57" s="28" t="inlineStr">
        <is>
          <t>P1</t>
        </is>
      </c>
      <c r="F57" s="27" t="inlineStr">
        <is>
          <t>No</t>
        </is>
      </c>
      <c r="G57" s="30">
        <f>OrderService!J8</f>
        <v/>
      </c>
      <c r="H57" s="30">
        <f>OrderService!K8</f>
        <v/>
      </c>
      <c r="I57" s="54">
        <f>OrderService!M8</f>
        <v/>
      </c>
    </row>
    <row r="58" ht="15.75" customHeight="1">
      <c r="A58" s="31" t="inlineStr">
        <is>
          <t>L1-ORD-04</t>
        </is>
      </c>
      <c r="B58" s="32" t="inlineStr">
        <is>
          <t>OrderService</t>
        </is>
      </c>
      <c r="C58" s="32" t="inlineStr">
        <is>
          <t>GetCheckoutSummaryAsync() — tiered pricing</t>
        </is>
      </c>
      <c r="D58" s="32" t="inlineStr">
        <is>
          <t>FT-02 AC-01; AC-05; BV-01; BR-026</t>
        </is>
      </c>
      <c r="E58" s="28" t="inlineStr">
        <is>
          <t>P1</t>
        </is>
      </c>
      <c r="F58" s="32" t="inlineStr">
        <is>
          <t>No</t>
        </is>
      </c>
      <c r="G58" s="33">
        <f>OrderService!J9</f>
        <v/>
      </c>
      <c r="H58" s="33">
        <f>OrderService!K9</f>
        <v/>
      </c>
      <c r="I58" s="54">
        <f>OrderService!M9</f>
        <v/>
      </c>
    </row>
    <row r="59" ht="15.75" customHeight="1">
      <c r="A59" s="26" t="inlineStr">
        <is>
          <t>L1-ORD-05</t>
        </is>
      </c>
      <c r="B59" s="27" t="inlineStr">
        <is>
          <t>OrderService</t>
        </is>
      </c>
      <c r="C59" s="27" t="inlineStr">
        <is>
          <t>GetCheckoutSummaryAsync() — tiered pricing</t>
        </is>
      </c>
      <c r="D59" s="27" t="inlineStr">
        <is>
          <t>FT-02 AC-03; BV-01; BR-026</t>
        </is>
      </c>
      <c r="E59" s="28" t="inlineStr">
        <is>
          <t>P1</t>
        </is>
      </c>
      <c r="F59" s="27" t="inlineStr">
        <is>
          <t>No</t>
        </is>
      </c>
      <c r="G59" s="30">
        <f>OrderService!J10</f>
        <v/>
      </c>
      <c r="H59" s="30">
        <f>OrderService!K10</f>
        <v/>
      </c>
      <c r="I59" s="54">
        <f>OrderService!M10</f>
        <v/>
      </c>
    </row>
    <row r="60" ht="15.75" customHeight="1">
      <c r="A60" s="31" t="inlineStr">
        <is>
          <t>L1-ORD-06</t>
        </is>
      </c>
      <c r="B60" s="32" t="inlineStr">
        <is>
          <t>OrderService</t>
        </is>
      </c>
      <c r="C60" s="32" t="inlineStr">
        <is>
          <t>GetCheckoutSummaryAsync() — tiered pricing</t>
        </is>
      </c>
      <c r="D60" s="32" t="inlineStr">
        <is>
          <t>FT-02 NAC-02; BV-01</t>
        </is>
      </c>
      <c r="E60" s="28" t="inlineStr">
        <is>
          <t>P1</t>
        </is>
      </c>
      <c r="F60" s="35" t="inlineStr">
        <is>
          <t>Yes</t>
        </is>
      </c>
      <c r="G60" s="33">
        <f>OrderService!J11</f>
        <v/>
      </c>
      <c r="H60" s="33">
        <f>OrderService!K11</f>
        <v/>
      </c>
      <c r="I60" s="54">
        <f>OrderService!M11</f>
        <v/>
      </c>
    </row>
    <row r="61" ht="15.75" customHeight="1">
      <c r="A61" s="26" t="inlineStr">
        <is>
          <t>L1-ORD-07</t>
        </is>
      </c>
      <c r="B61" s="27" t="inlineStr">
        <is>
          <t>OrderService</t>
        </is>
      </c>
      <c r="C61" s="27" t="inlineStr">
        <is>
          <t>PlaceOrderAsync()</t>
        </is>
      </c>
      <c r="D61" s="27" t="inlineStr">
        <is>
          <t>FT-01 AC-05; FT-03 AC-04; BR-030</t>
        </is>
      </c>
      <c r="E61" s="28" t="inlineStr">
        <is>
          <t>P1</t>
        </is>
      </c>
      <c r="F61" s="27" t="inlineStr">
        <is>
          <t>No</t>
        </is>
      </c>
      <c r="G61" s="30">
        <f>OrderService!J13</f>
        <v/>
      </c>
      <c r="H61" s="30">
        <f>OrderService!K13</f>
        <v/>
      </c>
      <c r="I61" s="54">
        <f>OrderService!M13</f>
        <v/>
      </c>
    </row>
    <row r="62" ht="15.75" customHeight="1">
      <c r="A62" s="31" t="inlineStr">
        <is>
          <t>L1-ORD-08</t>
        </is>
      </c>
      <c r="B62" s="32" t="inlineStr">
        <is>
          <t>OrderService</t>
        </is>
      </c>
      <c r="C62" s="32" t="inlineStr">
        <is>
          <t>PlaceOrderAsync()</t>
        </is>
      </c>
      <c r="D62" s="32" t="inlineStr">
        <is>
          <t>FT-01 AC-05</t>
        </is>
      </c>
      <c r="E62" s="28" t="inlineStr">
        <is>
          <t>P1</t>
        </is>
      </c>
      <c r="F62" s="35" t="inlineStr">
        <is>
          <t>Yes</t>
        </is>
      </c>
      <c r="G62" s="33">
        <f>OrderService!J14</f>
        <v/>
      </c>
      <c r="H62" s="33">
        <f>OrderService!K14</f>
        <v/>
      </c>
      <c r="I62" s="54">
        <f>OrderService!M14</f>
        <v/>
      </c>
    </row>
    <row r="63" ht="15.75" customHeight="1">
      <c r="A63" s="26" t="inlineStr">
        <is>
          <t>L1-ORD-09</t>
        </is>
      </c>
      <c r="B63" s="27" t="inlineStr">
        <is>
          <t>OrderService</t>
        </is>
      </c>
      <c r="C63" s="27" t="inlineStr">
        <is>
          <t>PlaceOrderAsync()</t>
        </is>
      </c>
      <c r="D63" s="27" t="inlineStr">
        <is>
          <t>FT-01 NAC-03; FT-02 NAC-03; BV-01; BR-025</t>
        </is>
      </c>
      <c r="E63" s="28" t="inlineStr">
        <is>
          <t>P1</t>
        </is>
      </c>
      <c r="F63" s="29" t="inlineStr">
        <is>
          <t>Yes</t>
        </is>
      </c>
      <c r="G63" s="30">
        <f>OrderService!J15</f>
        <v/>
      </c>
      <c r="H63" s="30">
        <f>OrderService!K15</f>
        <v/>
      </c>
      <c r="I63" s="54">
        <f>OrderService!M15</f>
        <v/>
      </c>
    </row>
    <row r="64" ht="15.75" customHeight="1">
      <c r="A64" s="31" t="inlineStr">
        <is>
          <t>L1-ORD-10</t>
        </is>
      </c>
      <c r="B64" s="32" t="inlineStr">
        <is>
          <t>OrderService</t>
        </is>
      </c>
      <c r="C64" s="32" t="inlineStr">
        <is>
          <t>PlaceOrderAsync()</t>
        </is>
      </c>
      <c r="D64" s="32" t="inlineStr">
        <is>
          <t>FT-01 NAC-03; FT-03 AC-01; BR-008</t>
        </is>
      </c>
      <c r="E64" s="28" t="inlineStr">
        <is>
          <t>P1</t>
        </is>
      </c>
      <c r="F64" s="35" t="inlineStr">
        <is>
          <t>Yes</t>
        </is>
      </c>
      <c r="G64" s="33">
        <f>OrderService!J16</f>
        <v/>
      </c>
      <c r="H64" s="33">
        <f>OrderService!K16</f>
        <v/>
      </c>
      <c r="I64" s="54">
        <f>OrderService!M16</f>
        <v/>
      </c>
    </row>
    <row r="65" ht="15.75" customHeight="1">
      <c r="A65" s="26" t="inlineStr">
        <is>
          <t>L1-ORD-11</t>
        </is>
      </c>
      <c r="B65" s="27" t="inlineStr">
        <is>
          <t>OrderService</t>
        </is>
      </c>
      <c r="C65" s="27" t="inlineStr">
        <is>
          <t>PlaceOrderAsync()</t>
        </is>
      </c>
      <c r="D65" s="27" t="inlineStr">
        <is>
          <t>FT-02 NAC-01; BR-005</t>
        </is>
      </c>
      <c r="E65" s="28" t="inlineStr">
        <is>
          <t>P1</t>
        </is>
      </c>
      <c r="F65" s="29" t="inlineStr">
        <is>
          <t>Yes</t>
        </is>
      </c>
      <c r="G65" s="30">
        <f>OrderService!J17</f>
        <v/>
      </c>
      <c r="H65" s="30">
        <f>OrderService!K17</f>
        <v/>
      </c>
      <c r="I65" s="54">
        <f>OrderService!M17</f>
        <v/>
      </c>
    </row>
    <row r="66" ht="15.75" customHeight="1">
      <c r="A66" s="31" t="inlineStr">
        <is>
          <t>L1-ORD-12</t>
        </is>
      </c>
      <c r="B66" s="32" t="inlineStr">
        <is>
          <t>OrderService</t>
        </is>
      </c>
      <c r="C66" s="32" t="inlineStr">
        <is>
          <t>GenerateSePayQrAsync()</t>
        </is>
      </c>
      <c r="D66" s="32" t="inlineStr">
        <is>
          <t>FT-03 AC-01; BV-01; BR-008</t>
        </is>
      </c>
      <c r="E66" s="28" t="inlineStr">
        <is>
          <t>P1</t>
        </is>
      </c>
      <c r="F66" s="32" t="inlineStr">
        <is>
          <t>No</t>
        </is>
      </c>
      <c r="G66" s="33">
        <f>OrderService!J19</f>
        <v/>
      </c>
      <c r="H66" s="33">
        <f>OrderService!K19</f>
        <v/>
      </c>
      <c r="I66" s="54">
        <f>OrderService!M19</f>
        <v/>
      </c>
    </row>
    <row r="67" ht="15.75" customHeight="1">
      <c r="A67" s="26" t="inlineStr">
        <is>
          <t>L1-ORD-13</t>
        </is>
      </c>
      <c r="B67" s="27" t="inlineStr">
        <is>
          <t>OrderService</t>
        </is>
      </c>
      <c r="C67" s="27" t="inlineStr">
        <is>
          <t>GenerateSePayQrAsync()</t>
        </is>
      </c>
      <c r="D67" s="27" t="inlineStr">
        <is>
          <t>FT-03 NAC-02; BR-016; BR-029</t>
        </is>
      </c>
      <c r="E67" s="28" t="inlineStr">
        <is>
          <t>P1</t>
        </is>
      </c>
      <c r="F67" s="29" t="inlineStr">
        <is>
          <t>Yes</t>
        </is>
      </c>
      <c r="G67" s="30">
        <f>OrderService!J20</f>
        <v/>
      </c>
      <c r="H67" s="30">
        <f>OrderService!K20</f>
        <v/>
      </c>
      <c r="I67" s="54">
        <f>OrderService!M20</f>
        <v/>
      </c>
    </row>
    <row r="68" ht="15.75" customHeight="1">
      <c r="A68" s="31" t="inlineStr">
        <is>
          <t>L1-ORD-14</t>
        </is>
      </c>
      <c r="B68" s="32" t="inlineStr">
        <is>
          <t>OrderService</t>
        </is>
      </c>
      <c r="C68" s="32" t="inlineStr">
        <is>
          <t>ProcessSePayWebhookAsync()</t>
        </is>
      </c>
      <c r="D68" s="32" t="inlineStr">
        <is>
          <t>FT-03 AC-02; BV-01; BR-009; NFR-SEC05</t>
        </is>
      </c>
      <c r="E68" s="28" t="inlineStr">
        <is>
          <t>P1</t>
        </is>
      </c>
      <c r="F68" s="32" t="inlineStr">
        <is>
          <t>No</t>
        </is>
      </c>
      <c r="G68" s="33">
        <f>OrderService!J22</f>
        <v/>
      </c>
      <c r="H68" s="33">
        <f>OrderService!K22</f>
        <v/>
      </c>
      <c r="I68" s="54">
        <f>OrderService!M22</f>
        <v/>
      </c>
    </row>
    <row r="69" ht="15.75" customHeight="1">
      <c r="A69" s="26" t="inlineStr">
        <is>
          <t>L1-ORD-15</t>
        </is>
      </c>
      <c r="B69" s="27" t="inlineStr">
        <is>
          <t>OrderService</t>
        </is>
      </c>
      <c r="C69" s="27" t="inlineStr">
        <is>
          <t>ProcessSePayWebhookAsync()</t>
        </is>
      </c>
      <c r="D69" s="27" t="inlineStr">
        <is>
          <t>FT-03 NAC-01; NFR-SEC05</t>
        </is>
      </c>
      <c r="E69" s="28" t="inlineStr">
        <is>
          <t>P1</t>
        </is>
      </c>
      <c r="F69" s="29" t="inlineStr">
        <is>
          <t>Yes</t>
        </is>
      </c>
      <c r="G69" s="30">
        <f>OrderService!J23</f>
        <v/>
      </c>
      <c r="H69" s="30">
        <f>OrderService!K23</f>
        <v/>
      </c>
      <c r="I69" s="54">
        <f>OrderService!M23</f>
        <v/>
      </c>
    </row>
    <row r="70" ht="15.75" customHeight="1">
      <c r="A70" s="31" t="inlineStr">
        <is>
          <t>L1-ORD-16</t>
        </is>
      </c>
      <c r="B70" s="32" t="inlineStr">
        <is>
          <t>OrderService</t>
        </is>
      </c>
      <c r="C70" s="32" t="inlineStr">
        <is>
          <t>ProcessSePayWebhookAsync()</t>
        </is>
      </c>
      <c r="D70" s="32" t="inlineStr">
        <is>
          <t>FT-03 NAC-01; BV-01</t>
        </is>
      </c>
      <c r="E70" s="28" t="inlineStr">
        <is>
          <t>P1</t>
        </is>
      </c>
      <c r="F70" s="35" t="inlineStr">
        <is>
          <t>Yes</t>
        </is>
      </c>
      <c r="G70" s="33">
        <f>OrderService!J24</f>
        <v/>
      </c>
      <c r="H70" s="33">
        <f>OrderService!K24</f>
        <v/>
      </c>
      <c r="I70" s="54">
        <f>OrderService!M24</f>
        <v/>
      </c>
    </row>
    <row r="71" ht="15.75" customHeight="1">
      <c r="A71" s="26" t="inlineStr">
        <is>
          <t>L1-ORD-17</t>
        </is>
      </c>
      <c r="B71" s="27" t="inlineStr">
        <is>
          <t>OrderService</t>
        </is>
      </c>
      <c r="C71" s="27" t="inlineStr">
        <is>
          <t>ProcessSePayWebhookAsync()</t>
        </is>
      </c>
      <c r="D71" s="27" t="inlineStr">
        <is>
          <t>FT-03 NAC-01; BV-01</t>
        </is>
      </c>
      <c r="E71" s="28" t="inlineStr">
        <is>
          <t>P1</t>
        </is>
      </c>
      <c r="F71" s="29" t="inlineStr">
        <is>
          <t>Yes</t>
        </is>
      </c>
      <c r="G71" s="30">
        <f>OrderService!J25</f>
        <v/>
      </c>
      <c r="H71" s="30">
        <f>OrderService!K25</f>
        <v/>
      </c>
      <c r="I71" s="54">
        <f>OrderService!M25</f>
        <v/>
      </c>
    </row>
    <row r="72" ht="15.75" customHeight="1">
      <c r="A72" s="31" t="inlineStr">
        <is>
          <t>L1-ORD-18</t>
        </is>
      </c>
      <c r="B72" s="32" t="inlineStr">
        <is>
          <t>OrderService</t>
        </is>
      </c>
      <c r="C72" s="32" t="inlineStr">
        <is>
          <t>ProcessSePayWebhookAsync()</t>
        </is>
      </c>
      <c r="D72" s="32" t="inlineStr">
        <is>
          <t>FT-03 NAC-02; BR-029</t>
        </is>
      </c>
      <c r="E72" s="28" t="inlineStr">
        <is>
          <t>P1</t>
        </is>
      </c>
      <c r="F72" s="32" t="inlineStr">
        <is>
          <t>No</t>
        </is>
      </c>
      <c r="G72" s="33">
        <f>OrderService!J26</f>
        <v/>
      </c>
      <c r="H72" s="33">
        <f>OrderService!K26</f>
        <v/>
      </c>
      <c r="I72" s="54">
        <f>OrderService!M26</f>
        <v/>
      </c>
    </row>
    <row r="73" ht="15.75" customHeight="1">
      <c r="A73" s="26" t="inlineStr">
        <is>
          <t>L1-ORD-19</t>
        </is>
      </c>
      <c r="B73" s="27" t="inlineStr">
        <is>
          <t>OrderService</t>
        </is>
      </c>
      <c r="C73" s="27" t="inlineStr">
        <is>
          <t>ProcessSePayWebhookAsync()</t>
        </is>
      </c>
      <c r="D73" s="27" t="inlineStr">
        <is>
          <t>FT-03 NAC-03; BV-01; BR-033</t>
        </is>
      </c>
      <c r="E73" s="28" t="inlineStr">
        <is>
          <t>P1</t>
        </is>
      </c>
      <c r="F73" s="29" t="inlineStr">
        <is>
          <t>Yes</t>
        </is>
      </c>
      <c r="G73" s="30">
        <f>OrderService!J27</f>
        <v/>
      </c>
      <c r="H73" s="30">
        <f>OrderService!K27</f>
        <v/>
      </c>
      <c r="I73" s="54">
        <f>OrderService!M27</f>
        <v/>
      </c>
    </row>
    <row r="74" ht="15.75" customHeight="1">
      <c r="A74" s="31" t="inlineStr">
        <is>
          <t>L1-ORD-20</t>
        </is>
      </c>
      <c r="B74" s="32" t="inlineStr">
        <is>
          <t>OrderService</t>
        </is>
      </c>
      <c r="C74" s="32" t="inlineStr">
        <is>
          <t>ConfirmOrderAsync()</t>
        </is>
      </c>
      <c r="D74" s="32" t="inlineStr">
        <is>
          <t>FT-05 AC-01; BR-011</t>
        </is>
      </c>
      <c r="E74" s="28" t="inlineStr">
        <is>
          <t>P1</t>
        </is>
      </c>
      <c r="F74" s="32" t="inlineStr">
        <is>
          <t>No</t>
        </is>
      </c>
      <c r="G74" s="33">
        <f>OrderService!J29</f>
        <v/>
      </c>
      <c r="H74" s="33">
        <f>OrderService!K29</f>
        <v/>
      </c>
      <c r="I74" s="54">
        <f>OrderService!M29</f>
        <v/>
      </c>
    </row>
    <row r="75" ht="15.75" customHeight="1">
      <c r="A75" s="26" t="inlineStr">
        <is>
          <t>L1-ORD-21</t>
        </is>
      </c>
      <c r="B75" s="27" t="inlineStr">
        <is>
          <t>OrderService</t>
        </is>
      </c>
      <c r="C75" s="27" t="inlineStr">
        <is>
          <t>ConfirmOrderAsync()</t>
        </is>
      </c>
      <c r="D75" s="27" t="inlineStr">
        <is>
          <t>FT-05 AC-01; NAC-05</t>
        </is>
      </c>
      <c r="E75" s="28" t="inlineStr">
        <is>
          <t>P1</t>
        </is>
      </c>
      <c r="F75" s="29" t="inlineStr">
        <is>
          <t>Yes</t>
        </is>
      </c>
      <c r="G75" s="30">
        <f>OrderService!J30</f>
        <v/>
      </c>
      <c r="H75" s="30">
        <f>OrderService!K30</f>
        <v/>
      </c>
      <c r="I75" s="54">
        <f>OrderService!M30</f>
        <v/>
      </c>
    </row>
    <row r="76" ht="15.75" customHeight="1">
      <c r="A76" s="31" t="inlineStr">
        <is>
          <t>L1-ORD-22</t>
        </is>
      </c>
      <c r="B76" s="32" t="inlineStr">
        <is>
          <t>OrderService</t>
        </is>
      </c>
      <c r="C76" s="32" t="inlineStr">
        <is>
          <t>PlaceDirectOrderAsync() — walk-in</t>
        </is>
      </c>
      <c r="D76" s="32" t="inlineStr">
        <is>
          <t>FT-01 AC-03; BR-030</t>
        </is>
      </c>
      <c r="E76" s="28" t="inlineStr">
        <is>
          <t>P1</t>
        </is>
      </c>
      <c r="F76" s="32" t="inlineStr">
        <is>
          <t>No</t>
        </is>
      </c>
      <c r="G76" s="33">
        <f>OrderService!J32</f>
        <v/>
      </c>
      <c r="H76" s="33">
        <f>OrderService!K32</f>
        <v/>
      </c>
      <c r="I76" s="54">
        <f>OrderService!M32</f>
        <v/>
      </c>
    </row>
    <row r="77" ht="15.75" customHeight="1">
      <c r="A77" s="26" t="inlineStr">
        <is>
          <t>L1-ORD-23</t>
        </is>
      </c>
      <c r="B77" s="27" t="inlineStr">
        <is>
          <t>OrderService</t>
        </is>
      </c>
      <c r="C77" s="27" t="inlineStr">
        <is>
          <t>PlaceDirectOrderAsync() — walk-in</t>
        </is>
      </c>
      <c r="D77" s="27" t="inlineStr">
        <is>
          <t>FT-05 NAC-01; BV-02; BR-032</t>
        </is>
      </c>
      <c r="E77" s="28" t="inlineStr">
        <is>
          <t>P1</t>
        </is>
      </c>
      <c r="F77" s="29" t="inlineStr">
        <is>
          <t>Yes</t>
        </is>
      </c>
      <c r="G77" s="30">
        <f>OrderService!J33</f>
        <v/>
      </c>
      <c r="H77" s="30">
        <f>OrderService!K33</f>
        <v/>
      </c>
      <c r="I77" s="54">
        <f>OrderService!M33</f>
        <v/>
      </c>
    </row>
    <row r="78" ht="15.75" customHeight="1">
      <c r="A78" s="31" t="inlineStr">
        <is>
          <t>L1-ORD-24</t>
        </is>
      </c>
      <c r="B78" s="32" t="inlineStr">
        <is>
          <t>OrderService</t>
        </is>
      </c>
      <c r="C78" s="32" t="inlineStr">
        <is>
          <t>PlaceDirectOrderAsync() — walk-in</t>
        </is>
      </c>
      <c r="D78" s="32" t="inlineStr">
        <is>
          <t>FT-01 AC-04; NAC-02; BR-030</t>
        </is>
      </c>
      <c r="E78" s="28" t="inlineStr">
        <is>
          <t>P1</t>
        </is>
      </c>
      <c r="F78" s="35" t="inlineStr">
        <is>
          <t>Yes</t>
        </is>
      </c>
      <c r="G78" s="33">
        <f>OrderService!J34</f>
        <v/>
      </c>
      <c r="H78" s="33">
        <f>OrderService!K34</f>
        <v/>
      </c>
      <c r="I78" s="54">
        <f>OrderService!M34</f>
        <v/>
      </c>
    </row>
    <row r="79" ht="15.75" customHeight="1">
      <c r="A79" s="26" t="inlineStr">
        <is>
          <t>L1-ORD-25</t>
        </is>
      </c>
      <c r="B79" s="27" t="inlineStr">
        <is>
          <t>OrderService</t>
        </is>
      </c>
      <c r="C79" s="27" t="inlineStr">
        <is>
          <t>PlaceDirectOrderAsync() — walk-in</t>
        </is>
      </c>
      <c r="D79" s="27" t="inlineStr">
        <is>
          <t>FT-01 AC-05; BR-030</t>
        </is>
      </c>
      <c r="E79" s="28" t="inlineStr">
        <is>
          <t>P1</t>
        </is>
      </c>
      <c r="F79" s="29" t="inlineStr">
        <is>
          <t>Yes</t>
        </is>
      </c>
      <c r="G79" s="30">
        <f>OrderService!J35</f>
        <v/>
      </c>
      <c r="H79" s="30">
        <f>OrderService!K35</f>
        <v/>
      </c>
      <c r="I79" s="54">
        <f>OrderService!M35</f>
        <v/>
      </c>
    </row>
    <row r="80" ht="15.75" customHeight="1">
      <c r="A80" s="31" t="inlineStr">
        <is>
          <t>L1-ORD-26</t>
        </is>
      </c>
      <c r="B80" s="32" t="inlineStr">
        <is>
          <t>OrderService</t>
        </is>
      </c>
      <c r="C80" s="32" t="inlineStr">
        <is>
          <t>PlaceDirectOrderAsync() — walk-in</t>
        </is>
      </c>
      <c r="D80" s="32" t="inlineStr">
        <is>
          <t>FT-05 AC-02; BR-032; NFR-A05</t>
        </is>
      </c>
      <c r="E80" s="28" t="inlineStr">
        <is>
          <t>P1</t>
        </is>
      </c>
      <c r="F80" s="32" t="inlineStr">
        <is>
          <t>No</t>
        </is>
      </c>
      <c r="G80" s="33">
        <f>OrderService!J36</f>
        <v/>
      </c>
      <c r="H80" s="33">
        <f>OrderService!K36</f>
        <v/>
      </c>
      <c r="I80" s="54">
        <f>OrderService!M36</f>
        <v/>
      </c>
    </row>
    <row r="81" ht="15.75" customHeight="1">
      <c r="A81" s="26" t="inlineStr">
        <is>
          <t>L1-ORD-27</t>
        </is>
      </c>
      <c r="B81" s="27" t="inlineStr">
        <is>
          <t>OrderService</t>
        </is>
      </c>
      <c r="C81" s="27" t="inlineStr">
        <is>
          <t>PlaceDirectOrderAsync() — walk-in</t>
        </is>
      </c>
      <c r="D81" s="27" t="inlineStr">
        <is>
          <t>FT-05 BV-01; BR-032</t>
        </is>
      </c>
      <c r="E81" s="28" t="inlineStr">
        <is>
          <t>P1</t>
        </is>
      </c>
      <c r="F81" s="27" t="inlineStr">
        <is>
          <t>No</t>
        </is>
      </c>
      <c r="G81" s="30">
        <f>OrderService!J37</f>
        <v/>
      </c>
      <c r="H81" s="30">
        <f>OrderService!K37</f>
        <v/>
      </c>
      <c r="I81" s="54">
        <f>OrderService!M37</f>
        <v/>
      </c>
    </row>
    <row r="82" ht="15.75" customHeight="1">
      <c r="A82" s="31" t="inlineStr">
        <is>
          <t>L1-ORD-28</t>
        </is>
      </c>
      <c r="B82" s="32" t="inlineStr">
        <is>
          <t>OrderService</t>
        </is>
      </c>
      <c r="C82" s="32" t="inlineStr">
        <is>
          <t>RequestVatInvoiceAsync()</t>
        </is>
      </c>
      <c r="D82" s="32" t="inlineStr">
        <is>
          <t>(chờ xác nhận) FT-01 AC-03</t>
        </is>
      </c>
      <c r="E82" s="28" t="inlineStr">
        <is>
          <t>P1</t>
        </is>
      </c>
      <c r="F82" s="35" t="inlineStr">
        <is>
          <t>Yes</t>
        </is>
      </c>
      <c r="G82" s="33">
        <f>OrderService!J39</f>
        <v/>
      </c>
      <c r="H82" s="33">
        <f>OrderService!K39</f>
        <v/>
      </c>
      <c r="I82" s="54">
        <f>OrderService!M39</f>
        <v/>
      </c>
    </row>
    <row r="83" ht="15.75" customHeight="1">
      <c r="A83" s="26" t="inlineStr">
        <is>
          <t>L1-ORD-29</t>
        </is>
      </c>
      <c r="B83" s="27" t="inlineStr">
        <is>
          <t>OrderService</t>
        </is>
      </c>
      <c r="C83" s="27" t="inlineStr">
        <is>
          <t>RequestVatInvoiceAsync()</t>
        </is>
      </c>
      <c r="D83" s="27" t="inlineStr">
        <is>
          <t>(chờ xác nhận) FT-01 AC-03</t>
        </is>
      </c>
      <c r="E83" s="28" t="inlineStr">
        <is>
          <t>P1</t>
        </is>
      </c>
      <c r="F83" s="29" t="inlineStr">
        <is>
          <t>Yes</t>
        </is>
      </c>
      <c r="G83" s="30">
        <f>OrderService!J40</f>
        <v/>
      </c>
      <c r="H83" s="30">
        <f>OrderService!K40</f>
        <v/>
      </c>
      <c r="I83" s="54">
        <f>OrderService!M40</f>
        <v/>
      </c>
    </row>
    <row r="84" ht="15.75" customHeight="1">
      <c r="A84" s="31" t="inlineStr">
        <is>
          <t>L1-ORD-30</t>
        </is>
      </c>
      <c r="B84" s="32" t="inlineStr">
        <is>
          <t>OrderService</t>
        </is>
      </c>
      <c r="C84" s="32" t="inlineStr">
        <is>
          <t>RequestVatInvoiceAsync()</t>
        </is>
      </c>
      <c r="D84" s="32" t="inlineStr">
        <is>
          <t>(chờ xác nhận) FT-01 AC-03</t>
        </is>
      </c>
      <c r="E84" s="36" t="inlineStr">
        <is>
          <t>P2</t>
        </is>
      </c>
      <c r="F84" s="35" t="inlineStr">
        <is>
          <t>Yes</t>
        </is>
      </c>
      <c r="G84" s="33">
        <f>OrderService!J41</f>
        <v/>
      </c>
      <c r="H84" s="33">
        <f>OrderService!K41</f>
        <v/>
      </c>
      <c r="I84" s="54">
        <f>OrderService!M41</f>
        <v/>
      </c>
    </row>
    <row r="85" ht="15.75" customHeight="1">
      <c r="A85" s="26" t="inlineStr">
        <is>
          <t>L1-ORD-31</t>
        </is>
      </c>
      <c r="B85" s="27" t="inlineStr">
        <is>
          <t>OrderService</t>
        </is>
      </c>
      <c r="C85" s="27" t="inlineStr">
        <is>
          <t>GetOrderHistoryAsync() / GetOrderDetailForCustomerAsync()</t>
        </is>
      </c>
      <c r="D85" s="27" t="inlineStr">
        <is>
          <t>FT-01 NAC-05; NFR-SEC03</t>
        </is>
      </c>
      <c r="E85" s="28" t="inlineStr">
        <is>
          <t>P1</t>
        </is>
      </c>
      <c r="F85" s="29" t="inlineStr">
        <is>
          <t>Yes</t>
        </is>
      </c>
      <c r="G85" s="30">
        <f>OrderService!J43</f>
        <v/>
      </c>
      <c r="H85" s="30">
        <f>OrderService!K43</f>
        <v/>
      </c>
      <c r="I85" s="54">
        <f>OrderService!M43</f>
        <v/>
      </c>
    </row>
    <row r="86" ht="15.75" customHeight="1">
      <c r="A86" s="31" t="inlineStr">
        <is>
          <t>L1-ORD-32</t>
        </is>
      </c>
      <c r="B86" s="32" t="inlineStr">
        <is>
          <t>OrderService</t>
        </is>
      </c>
      <c r="C86" s="32" t="inlineStr">
        <is>
          <t>GetOrderHistoryAsync() / GetOrderDetailForCustomerAsync()</t>
        </is>
      </c>
      <c r="D86" s="32" t="inlineStr">
        <is>
          <t>FT-01 AC-05</t>
        </is>
      </c>
      <c r="E86" s="36" t="inlineStr">
        <is>
          <t>P2</t>
        </is>
      </c>
      <c r="F86" s="32" t="inlineStr">
        <is>
          <t>No</t>
        </is>
      </c>
      <c r="G86" s="33">
        <f>OrderService!J44</f>
        <v/>
      </c>
      <c r="H86" s="33">
        <f>OrderService!K44</f>
        <v/>
      </c>
      <c r="I86" s="54">
        <f>OrderService!M44</f>
        <v/>
      </c>
    </row>
    <row r="87" ht="15.75" customHeight="1">
      <c r="A87" s="26" t="inlineStr">
        <is>
          <t>L1-ORD-33</t>
        </is>
      </c>
      <c r="B87" s="27" t="inlineStr">
        <is>
          <t>OrderService</t>
        </is>
      </c>
      <c r="C87" s="27" t="inlineStr">
        <is>
          <t>RejectOrderAsync() / RequestCancelOrderAsync() / ProcessCancelRequestAsync()</t>
        </is>
      </c>
      <c r="D87" s="27" t="inlineStr">
        <is>
          <t>FT-08 AC-01; BR-017</t>
        </is>
      </c>
      <c r="E87" s="34" t="inlineStr">
        <is>
          <t>P2</t>
        </is>
      </c>
      <c r="F87" s="27" t="inlineStr">
        <is>
          <t>No</t>
        </is>
      </c>
      <c r="G87" s="30">
        <f>OrderService!J46</f>
        <v/>
      </c>
      <c r="H87" s="30">
        <f>OrderService!K46</f>
        <v/>
      </c>
      <c r="I87" s="54">
        <f>OrderService!M46</f>
        <v/>
      </c>
    </row>
    <row r="88" ht="15.75" customHeight="1">
      <c r="A88" s="31" t="inlineStr">
        <is>
          <t>L1-ORD-34</t>
        </is>
      </c>
      <c r="B88" s="32" t="inlineStr">
        <is>
          <t>OrderService</t>
        </is>
      </c>
      <c r="C88" s="32" t="inlineStr">
        <is>
          <t>RejectOrderAsync() / RequestCancelOrderAsync() / ProcessCancelRequestAsync()</t>
        </is>
      </c>
      <c r="D88" s="32" t="inlineStr">
        <is>
          <t>FT-08 AC-01</t>
        </is>
      </c>
      <c r="E88" s="36" t="inlineStr">
        <is>
          <t>P2</t>
        </is>
      </c>
      <c r="F88" s="35" t="inlineStr">
        <is>
          <t>Yes</t>
        </is>
      </c>
      <c r="G88" s="33">
        <f>OrderService!J47</f>
        <v/>
      </c>
      <c r="H88" s="33">
        <f>OrderService!K47</f>
        <v/>
      </c>
      <c r="I88" s="54">
        <f>OrderService!M47</f>
        <v/>
      </c>
    </row>
    <row r="89" ht="15.75" customHeight="1">
      <c r="A89" s="26" t="inlineStr">
        <is>
          <t>L1-ORD-35</t>
        </is>
      </c>
      <c r="B89" s="27" t="inlineStr">
        <is>
          <t>OrderService</t>
        </is>
      </c>
      <c r="C89" s="27" t="inlineStr">
        <is>
          <t>RejectOrderAsync() / RequestCancelOrderAsync() / ProcessCancelRequestAsync()</t>
        </is>
      </c>
      <c r="D89" s="27" t="inlineStr">
        <is>
          <t>FT-08 AC-01; BR-017</t>
        </is>
      </c>
      <c r="E89" s="34" t="inlineStr">
        <is>
          <t>P2</t>
        </is>
      </c>
      <c r="F89" s="27" t="inlineStr">
        <is>
          <t>No</t>
        </is>
      </c>
      <c r="G89" s="30">
        <f>OrderService!J48</f>
        <v/>
      </c>
      <c r="H89" s="30">
        <f>OrderService!K48</f>
        <v/>
      </c>
      <c r="I89" s="54">
        <f>OrderService!M48</f>
        <v/>
      </c>
    </row>
    <row r="90" ht="15.75" customHeight="1">
      <c r="A90" s="31" t="inlineStr">
        <is>
          <t>L1-ORD-36</t>
        </is>
      </c>
      <c r="B90" s="32" t="inlineStr">
        <is>
          <t>OrderService</t>
        </is>
      </c>
      <c r="C90" s="32" t="inlineStr">
        <is>
          <t>RejectOrderAsync() / RequestCancelOrderAsync() / ProcessCancelRequestAsync()</t>
        </is>
      </c>
      <c r="D90" s="32" t="inlineStr">
        <is>
          <t>FT-08 AC-01; NAC-05</t>
        </is>
      </c>
      <c r="E90" s="28" t="inlineStr">
        <is>
          <t>P1</t>
        </is>
      </c>
      <c r="F90" s="35" t="inlineStr">
        <is>
          <t>Yes</t>
        </is>
      </c>
      <c r="G90" s="33">
        <f>OrderService!J49</f>
        <v/>
      </c>
      <c r="H90" s="33">
        <f>OrderService!K49</f>
        <v/>
      </c>
      <c r="I90" s="54">
        <f>OrderService!M49</f>
        <v/>
      </c>
    </row>
    <row r="91" ht="15.75" customHeight="1">
      <c r="A91" s="26" t="inlineStr">
        <is>
          <t>L1-ORD-37</t>
        </is>
      </c>
      <c r="B91" s="27" t="inlineStr">
        <is>
          <t>OrderService</t>
        </is>
      </c>
      <c r="C91" s="27" t="inlineStr">
        <is>
          <t>RejectOrderAsync() / RequestCancelOrderAsync() / ProcessCancelRequestAsync()</t>
        </is>
      </c>
      <c r="D91" s="27" t="inlineStr">
        <is>
          <t>FT-08 AC-01; BR-017</t>
        </is>
      </c>
      <c r="E91" s="28" t="inlineStr">
        <is>
          <t>P1</t>
        </is>
      </c>
      <c r="F91" s="27" t="inlineStr">
        <is>
          <t>No</t>
        </is>
      </c>
      <c r="G91" s="30">
        <f>OrderService!J50</f>
        <v/>
      </c>
      <c r="H91" s="30">
        <f>OrderService!K50</f>
        <v/>
      </c>
      <c r="I91" s="54">
        <f>OrderService!M50</f>
        <v/>
      </c>
    </row>
    <row r="92" ht="15.75" customHeight="1">
      <c r="A92" s="31" t="inlineStr">
        <is>
          <t>L1-ORD-38</t>
        </is>
      </c>
      <c r="B92" s="32" t="inlineStr">
        <is>
          <t>OrderService</t>
        </is>
      </c>
      <c r="C92" s="32" t="inlineStr">
        <is>
          <t>ScheduleDeliveryAsync()</t>
        </is>
      </c>
      <c r="D92" s="32" t="inlineStr">
        <is>
          <t>FT-07 AC-01; BV-01; BR-037</t>
        </is>
      </c>
      <c r="E92" s="28" t="inlineStr">
        <is>
          <t>P1</t>
        </is>
      </c>
      <c r="F92" s="32" t="inlineStr">
        <is>
          <t>No</t>
        </is>
      </c>
      <c r="G92" s="33">
        <f>OrderService!J52</f>
        <v/>
      </c>
      <c r="H92" s="33">
        <f>OrderService!K52</f>
        <v/>
      </c>
      <c r="I92" s="54">
        <f>OrderService!M52</f>
        <v/>
      </c>
    </row>
    <row r="93" ht="15.75" customHeight="1">
      <c r="A93" s="26" t="inlineStr">
        <is>
          <t>L1-ORD-39</t>
        </is>
      </c>
      <c r="B93" s="27" t="inlineStr">
        <is>
          <t>OrderService</t>
        </is>
      </c>
      <c r="C93" s="27" t="inlineStr">
        <is>
          <t>ScheduleDeliveryAsync()</t>
        </is>
      </c>
      <c r="D93" s="27" t="inlineStr">
        <is>
          <t>FT-07 NAC-01; BV-01; BR-037</t>
        </is>
      </c>
      <c r="E93" s="28" t="inlineStr">
        <is>
          <t>P1</t>
        </is>
      </c>
      <c r="F93" s="29" t="inlineStr">
        <is>
          <t>Yes</t>
        </is>
      </c>
      <c r="G93" s="30">
        <f>OrderService!J53</f>
        <v/>
      </c>
      <c r="H93" s="30">
        <f>OrderService!K53</f>
        <v/>
      </c>
      <c r="I93" s="54">
        <f>OrderService!M53</f>
        <v/>
      </c>
    </row>
    <row r="94" ht="15.75" customHeight="1">
      <c r="A94" s="31" t="inlineStr">
        <is>
          <t>L1-ORD-40</t>
        </is>
      </c>
      <c r="B94" s="32" t="inlineStr">
        <is>
          <t>OrderService</t>
        </is>
      </c>
      <c r="C94" s="32" t="inlineStr">
        <is>
          <t>ScheduleDeliveryAsync()</t>
        </is>
      </c>
      <c r="D94" s="32" t="inlineStr">
        <is>
          <t>FT-07 BV-01; BR-037</t>
        </is>
      </c>
      <c r="E94" s="28" t="inlineStr">
        <is>
          <t>P1</t>
        </is>
      </c>
      <c r="F94" s="35" t="inlineStr">
        <is>
          <t>Yes</t>
        </is>
      </c>
      <c r="G94" s="33">
        <f>OrderService!J54</f>
        <v/>
      </c>
      <c r="H94" s="33">
        <f>OrderService!K54</f>
        <v/>
      </c>
      <c r="I94" s="54">
        <f>OrderService!M54</f>
        <v/>
      </c>
    </row>
    <row r="95" ht="15.75" customHeight="1">
      <c r="A95" s="26" t="inlineStr">
        <is>
          <t>L1-ORD-41</t>
        </is>
      </c>
      <c r="B95" s="27" t="inlineStr">
        <is>
          <t>OrderService</t>
        </is>
      </c>
      <c r="C95" s="27" t="inlineStr">
        <is>
          <t>ScheduleDeliveryAsync()</t>
        </is>
      </c>
      <c r="D95" s="27" t="inlineStr">
        <is>
          <t>FT-07 NAC-01; BV-01</t>
        </is>
      </c>
      <c r="E95" s="34" t="inlineStr">
        <is>
          <t>P2</t>
        </is>
      </c>
      <c r="F95" s="29" t="inlineStr">
        <is>
          <t>Yes</t>
        </is>
      </c>
      <c r="G95" s="30">
        <f>OrderService!J55</f>
        <v/>
      </c>
      <c r="H95" s="30">
        <f>OrderService!K55</f>
        <v/>
      </c>
      <c r="I95" s="54">
        <f>OrderService!M55</f>
        <v/>
      </c>
    </row>
    <row r="96" ht="15.75" customHeight="1">
      <c r="A96" s="31" t="inlineStr">
        <is>
          <t>L1-ORD-42</t>
        </is>
      </c>
      <c r="B96" s="32" t="inlineStr">
        <is>
          <t>OrderService</t>
        </is>
      </c>
      <c r="C96" s="32" t="inlineStr">
        <is>
          <t>RecordDeliveryResultAsync()</t>
        </is>
      </c>
      <c r="D96" s="32" t="inlineStr">
        <is>
          <t>FT-07 AC-04; BV-02; BR-039</t>
        </is>
      </c>
      <c r="E96" s="28" t="inlineStr">
        <is>
          <t>P1</t>
        </is>
      </c>
      <c r="F96" s="32" t="inlineStr">
        <is>
          <t>No</t>
        </is>
      </c>
      <c r="G96" s="33">
        <f>OrderService!J57</f>
        <v/>
      </c>
      <c r="H96" s="33">
        <f>OrderService!K57</f>
        <v/>
      </c>
      <c r="I96" s="54">
        <f>OrderService!M57</f>
        <v/>
      </c>
    </row>
    <row r="97" ht="15.75" customHeight="1">
      <c r="A97" s="26" t="inlineStr">
        <is>
          <t>L1-ORD-43</t>
        </is>
      </c>
      <c r="B97" s="27" t="inlineStr">
        <is>
          <t>OrderService</t>
        </is>
      </c>
      <c r="C97" s="27" t="inlineStr">
        <is>
          <t>RecordDeliveryResultAsync()</t>
        </is>
      </c>
      <c r="D97" s="27" t="inlineStr">
        <is>
          <t>FT-07 NAC-04; BR-016; BR-039</t>
        </is>
      </c>
      <c r="E97" s="28" t="inlineStr">
        <is>
          <t>P1</t>
        </is>
      </c>
      <c r="F97" s="29" t="inlineStr">
        <is>
          <t>Yes</t>
        </is>
      </c>
      <c r="G97" s="30">
        <f>OrderService!J58</f>
        <v/>
      </c>
      <c r="H97" s="30">
        <f>OrderService!K58</f>
        <v/>
      </c>
      <c r="I97" s="54">
        <f>OrderService!M58</f>
        <v/>
      </c>
    </row>
    <row r="98" ht="15.75" customHeight="1">
      <c r="A98" s="31" t="inlineStr">
        <is>
          <t>L1-ORD-44</t>
        </is>
      </c>
      <c r="B98" s="32" t="inlineStr">
        <is>
          <t>OrderService</t>
        </is>
      </c>
      <c r="C98" s="32" t="inlineStr">
        <is>
          <t>RecordDeliveryResultAsync()</t>
        </is>
      </c>
      <c r="D98" s="32" t="inlineStr">
        <is>
          <t>FT-07 NAC-03; BR-038</t>
        </is>
      </c>
      <c r="E98" s="28" t="inlineStr">
        <is>
          <t>P1</t>
        </is>
      </c>
      <c r="F98" s="35" t="inlineStr">
        <is>
          <t>Yes</t>
        </is>
      </c>
      <c r="G98" s="33">
        <f>OrderService!J59</f>
        <v/>
      </c>
      <c r="H98" s="33">
        <f>OrderService!K59</f>
        <v/>
      </c>
      <c r="I98" s="54">
        <f>OrderService!M59</f>
        <v/>
      </c>
    </row>
    <row r="99" ht="15.75" customHeight="1">
      <c r="A99" s="26" t="inlineStr">
        <is>
          <t>L1-ORD-45</t>
        </is>
      </c>
      <c r="B99" s="27" t="inlineStr">
        <is>
          <t>OrderService</t>
        </is>
      </c>
      <c r="C99" s="27" t="inlineStr">
        <is>
          <t>RecordDeliveryResultAsync()</t>
        </is>
      </c>
      <c r="D99" s="27" t="inlineStr">
        <is>
          <t>FT-07 AC-05; BV-03; BR-040; FT-08 AC-05</t>
        </is>
      </c>
      <c r="E99" s="28" t="inlineStr">
        <is>
          <t>P1</t>
        </is>
      </c>
      <c r="F99" s="27" t="inlineStr">
        <is>
          <t>No</t>
        </is>
      </c>
      <c r="G99" s="30">
        <f>OrderService!J60</f>
        <v/>
      </c>
      <c r="H99" s="30">
        <f>OrderService!K60</f>
        <v/>
      </c>
      <c r="I99" s="54">
        <f>OrderService!M60</f>
        <v/>
      </c>
    </row>
    <row r="100" ht="15.75" customHeight="1">
      <c r="A100" s="31" t="inlineStr">
        <is>
          <t>L1-ORD-46</t>
        </is>
      </c>
      <c r="B100" s="32" t="inlineStr">
        <is>
          <t>OrderService</t>
        </is>
      </c>
      <c r="C100" s="32" t="inlineStr">
        <is>
          <t>RequestCancelPaidOrderAsync() / ApproveCancelAndCreateReplacementAsync()</t>
        </is>
      </c>
      <c r="D100" s="32" t="inlineStr">
        <is>
          <t>FT-08 AC-01; AC-02; BR-017; BR-041</t>
        </is>
      </c>
      <c r="E100" s="28" t="inlineStr">
        <is>
          <t>P1</t>
        </is>
      </c>
      <c r="F100" s="32" t="inlineStr">
        <is>
          <t>No</t>
        </is>
      </c>
      <c r="G100" s="33">
        <f>OrderService!J62</f>
        <v/>
      </c>
      <c r="H100" s="33">
        <f>OrderService!K62</f>
        <v/>
      </c>
      <c r="I100" s="54">
        <f>OrderService!M62</f>
        <v/>
      </c>
    </row>
    <row r="101" ht="15.75" customHeight="1">
      <c r="A101" s="26" t="inlineStr">
        <is>
          <t>L1-ORD-47</t>
        </is>
      </c>
      <c r="B101" s="27" t="inlineStr">
        <is>
          <t>OrderService</t>
        </is>
      </c>
      <c r="C101" s="27" t="inlineStr">
        <is>
          <t>RequestCancelPaidOrderAsync() / ApproveCancelAndCreateReplacementAsync()</t>
        </is>
      </c>
      <c r="D101" s="27" t="inlineStr">
        <is>
          <t>FT-08 NAC-05; NFR-SEC03</t>
        </is>
      </c>
      <c r="E101" s="28" t="inlineStr">
        <is>
          <t>P1</t>
        </is>
      </c>
      <c r="F101" s="29" t="inlineStr">
        <is>
          <t>Yes</t>
        </is>
      </c>
      <c r="G101" s="30">
        <f>OrderService!J63</f>
        <v/>
      </c>
      <c r="H101" s="30">
        <f>OrderService!K63</f>
        <v/>
      </c>
      <c r="I101" s="54">
        <f>OrderService!M63</f>
        <v/>
      </c>
    </row>
    <row r="102" ht="15.75" customHeight="1">
      <c r="A102" s="31" t="inlineStr">
        <is>
          <t>L1-ORD-48</t>
        </is>
      </c>
      <c r="B102" s="32" t="inlineStr">
        <is>
          <t>OrderService</t>
        </is>
      </c>
      <c r="C102" s="32" t="inlineStr">
        <is>
          <t>Đổi/trả hàng</t>
        </is>
      </c>
      <c r="D102" s="32" t="inlineStr">
        <is>
          <t>FT-08 AC-05; BR-019</t>
        </is>
      </c>
      <c r="E102" s="28" t="inlineStr">
        <is>
          <t>P1</t>
        </is>
      </c>
      <c r="F102" s="32" t="inlineStr">
        <is>
          <t>No</t>
        </is>
      </c>
      <c r="G102" s="33">
        <f>OrderService!J65</f>
        <v/>
      </c>
      <c r="H102" s="33">
        <f>OrderService!K65</f>
        <v/>
      </c>
      <c r="I102" s="54">
        <f>OrderService!M65</f>
        <v/>
      </c>
    </row>
    <row r="103" ht="15.75" customHeight="1">
      <c r="A103" s="26" t="inlineStr">
        <is>
          <t>L1-ORD-49</t>
        </is>
      </c>
      <c r="B103" s="27" t="inlineStr">
        <is>
          <t>OrderService</t>
        </is>
      </c>
      <c r="C103" s="27" t="inlineStr">
        <is>
          <t>Đổi/trả hàng</t>
        </is>
      </c>
      <c r="D103" s="27" t="inlineStr">
        <is>
          <t>FT-08 BV-03</t>
        </is>
      </c>
      <c r="E103" s="28" t="inlineStr">
        <is>
          <t>P1</t>
        </is>
      </c>
      <c r="F103" s="29" t="inlineStr">
        <is>
          <t>Yes</t>
        </is>
      </c>
      <c r="G103" s="30">
        <f>OrderService!J66</f>
        <v/>
      </c>
      <c r="H103" s="30">
        <f>OrderService!K66</f>
        <v/>
      </c>
      <c r="I103" s="54">
        <f>OrderService!M66</f>
        <v/>
      </c>
    </row>
    <row r="104" ht="15.75" customHeight="1">
      <c r="A104" s="31" t="inlineStr">
        <is>
          <t>L1-ORD-50</t>
        </is>
      </c>
      <c r="B104" s="32" t="inlineStr">
        <is>
          <t>OrderService</t>
        </is>
      </c>
      <c r="C104" s="32" t="inlineStr">
        <is>
          <t>Đổi/trả hàng</t>
        </is>
      </c>
      <c r="D104" s="32" t="inlineStr">
        <is>
          <t>FT-08 AC-05</t>
        </is>
      </c>
      <c r="E104" s="28" t="inlineStr">
        <is>
          <t>P1</t>
        </is>
      </c>
      <c r="F104" s="35" t="inlineStr">
        <is>
          <t>Yes</t>
        </is>
      </c>
      <c r="G104" s="33">
        <f>OrderService!J67</f>
        <v/>
      </c>
      <c r="H104" s="33">
        <f>OrderService!K67</f>
        <v/>
      </c>
      <c r="I104" s="54">
        <f>OrderService!M67</f>
        <v/>
      </c>
    </row>
    <row r="105" ht="15.75" customHeight="1">
      <c r="A105" s="26" t="inlineStr">
        <is>
          <t>L1-ORD-51</t>
        </is>
      </c>
      <c r="B105" s="27" t="inlineStr">
        <is>
          <t>OrderService</t>
        </is>
      </c>
      <c r="C105" s="27" t="inlineStr">
        <is>
          <t>Đổi/trả hàng</t>
        </is>
      </c>
      <c r="D105" s="27" t="inlineStr">
        <is>
          <t>FT-08 NAC-05; NFR-SEC03</t>
        </is>
      </c>
      <c r="E105" s="28" t="inlineStr">
        <is>
          <t>P1</t>
        </is>
      </c>
      <c r="F105" s="29" t="inlineStr">
        <is>
          <t>Yes</t>
        </is>
      </c>
      <c r="G105" s="30">
        <f>OrderService!J68</f>
        <v/>
      </c>
      <c r="H105" s="30">
        <f>OrderService!K68</f>
        <v/>
      </c>
      <c r="I105" s="54">
        <f>OrderService!M68</f>
        <v/>
      </c>
    </row>
    <row r="106" ht="15.75" customHeight="1">
      <c r="A106" s="31" t="inlineStr">
        <is>
          <t>L1-ORD-52</t>
        </is>
      </c>
      <c r="B106" s="32" t="inlineStr">
        <is>
          <t>OrderService</t>
        </is>
      </c>
      <c r="C106" s="32" t="inlineStr">
        <is>
          <t>Đổi/trả hàng</t>
        </is>
      </c>
      <c r="D106" s="32" t="inlineStr">
        <is>
          <t>FT-08 AC-05; BR-019</t>
        </is>
      </c>
      <c r="E106" s="28" t="inlineStr">
        <is>
          <t>P1</t>
        </is>
      </c>
      <c r="F106" s="32" t="inlineStr">
        <is>
          <t>No</t>
        </is>
      </c>
      <c r="G106" s="33">
        <f>OrderService!J69</f>
        <v/>
      </c>
      <c r="H106" s="33">
        <f>OrderService!K69</f>
        <v/>
      </c>
      <c r="I106" s="54">
        <f>OrderService!M69</f>
        <v/>
      </c>
    </row>
    <row r="107" ht="15.75" customHeight="1">
      <c r="A107" s="26" t="inlineStr">
        <is>
          <t>L1-ORD-53</t>
        </is>
      </c>
      <c r="B107" s="27" t="inlineStr">
        <is>
          <t>OrderService</t>
        </is>
      </c>
      <c r="C107" s="27" t="inlineStr">
        <is>
          <t>Đổi/trả hàng</t>
        </is>
      </c>
      <c r="D107" s="27" t="inlineStr">
        <is>
          <t>FT-08 NAC-05; NFR-SEC03</t>
        </is>
      </c>
      <c r="E107" s="28" t="inlineStr">
        <is>
          <t>P1</t>
        </is>
      </c>
      <c r="F107" s="29" t="inlineStr">
        <is>
          <t>Yes</t>
        </is>
      </c>
      <c r="G107" s="30">
        <f>OrderService!J70</f>
        <v/>
      </c>
      <c r="H107" s="30">
        <f>OrderService!K70</f>
        <v/>
      </c>
      <c r="I107" s="54">
        <f>OrderService!M70</f>
        <v/>
      </c>
    </row>
    <row r="108" ht="15.75" customHeight="1">
      <c r="A108" s="31" t="inlineStr">
        <is>
          <t>L1-ORD-54</t>
        </is>
      </c>
      <c r="B108" s="32" t="inlineStr">
        <is>
          <t>OrderService</t>
        </is>
      </c>
      <c r="C108" s="32" t="inlineStr">
        <is>
          <t>Đổi/trả hàng</t>
        </is>
      </c>
      <c r="D108" s="32" t="inlineStr">
        <is>
          <t>FT-08 NAC-05</t>
        </is>
      </c>
      <c r="E108" s="28" t="inlineStr">
        <is>
          <t>P1</t>
        </is>
      </c>
      <c r="F108" s="35" t="inlineStr">
        <is>
          <t>Yes</t>
        </is>
      </c>
      <c r="G108" s="33">
        <f>OrderService!J71</f>
        <v/>
      </c>
      <c r="H108" s="33">
        <f>OrderService!K71</f>
        <v/>
      </c>
      <c r="I108" s="54">
        <f>OrderService!M71</f>
        <v/>
      </c>
    </row>
    <row r="109" ht="15.75" customHeight="1">
      <c r="A109" s="26" t="inlineStr">
        <is>
          <t>L1-ORD-55</t>
        </is>
      </c>
      <c r="B109" s="27" t="inlineStr">
        <is>
          <t>OrderService</t>
        </is>
      </c>
      <c r="C109" s="27" t="inlineStr">
        <is>
          <t>Đổi/trả hàng</t>
        </is>
      </c>
      <c r="D109" s="27" t="inlineStr">
        <is>
          <t>FT-08 AC-05; BR-043</t>
        </is>
      </c>
      <c r="E109" s="28" t="inlineStr">
        <is>
          <t>P1</t>
        </is>
      </c>
      <c r="F109" s="27" t="inlineStr">
        <is>
          <t>No</t>
        </is>
      </c>
      <c r="G109" s="30">
        <f>OrderService!J72</f>
        <v/>
      </c>
      <c r="H109" s="30">
        <f>OrderService!K72</f>
        <v/>
      </c>
      <c r="I109" s="54">
        <f>OrderService!M72</f>
        <v/>
      </c>
    </row>
    <row r="110" ht="15.75" customHeight="1">
      <c r="A110" s="31" t="inlineStr">
        <is>
          <t>L1-ORD-56</t>
        </is>
      </c>
      <c r="B110" s="32" t="inlineStr">
        <is>
          <t>OrderService</t>
        </is>
      </c>
      <c r="C110" s="32" t="inlineStr">
        <is>
          <t>Đổi/trả hàng</t>
        </is>
      </c>
      <c r="D110" s="32" t="inlineStr">
        <is>
          <t>FT-08 AC-03; BR-042; BR-043</t>
        </is>
      </c>
      <c r="E110" s="28" t="inlineStr">
        <is>
          <t>P1</t>
        </is>
      </c>
      <c r="F110" s="32" t="inlineStr">
        <is>
          <t>No</t>
        </is>
      </c>
      <c r="G110" s="33">
        <f>OrderService!J73</f>
        <v/>
      </c>
      <c r="H110" s="33">
        <f>OrderService!K73</f>
        <v/>
      </c>
      <c r="I110" s="54">
        <f>OrderService!M73</f>
        <v/>
      </c>
    </row>
    <row r="111" ht="15.75" customHeight="1">
      <c r="A111" s="26" t="inlineStr">
        <is>
          <t>L1-ORD-57</t>
        </is>
      </c>
      <c r="B111" s="27" t="inlineStr">
        <is>
          <t>OrderService</t>
        </is>
      </c>
      <c r="C111" s="27" t="inlineStr">
        <is>
          <t>Thu hồi hàng</t>
        </is>
      </c>
      <c r="D111" s="27" t="inlineStr">
        <is>
          <t>FT-08 AC-05</t>
        </is>
      </c>
      <c r="E111" s="34" t="inlineStr">
        <is>
          <t>P2</t>
        </is>
      </c>
      <c r="F111" s="27" t="inlineStr">
        <is>
          <t>No</t>
        </is>
      </c>
      <c r="G111" s="30">
        <f>OrderService!J75</f>
        <v/>
      </c>
      <c r="H111" s="30">
        <f>OrderService!K75</f>
        <v/>
      </c>
      <c r="I111" s="54">
        <f>OrderService!M75</f>
        <v/>
      </c>
    </row>
    <row r="112" ht="15.75" customHeight="1">
      <c r="A112" s="31" t="inlineStr">
        <is>
          <t>L1-ORD-58</t>
        </is>
      </c>
      <c r="B112" s="32" t="inlineStr">
        <is>
          <t>OrderService</t>
        </is>
      </c>
      <c r="C112" s="32" t="inlineStr">
        <is>
          <t>Thu hồi hàng</t>
        </is>
      </c>
      <c r="D112" s="32" t="inlineStr">
        <is>
          <t>FT-08 AC-05; FT-07 BV-01</t>
        </is>
      </c>
      <c r="E112" s="36" t="inlineStr">
        <is>
          <t>P2</t>
        </is>
      </c>
      <c r="F112" s="32" t="inlineStr">
        <is>
          <t>No</t>
        </is>
      </c>
      <c r="G112" s="33">
        <f>OrderService!J76</f>
        <v/>
      </c>
      <c r="H112" s="33">
        <f>OrderService!K76</f>
        <v/>
      </c>
      <c r="I112" s="54">
        <f>OrderService!M76</f>
        <v/>
      </c>
    </row>
    <row r="113" ht="15.75" customHeight="1">
      <c r="A113" s="26" t="inlineStr">
        <is>
          <t>L1-ORD-59</t>
        </is>
      </c>
      <c r="B113" s="27" t="inlineStr">
        <is>
          <t>OrderService</t>
        </is>
      </c>
      <c r="C113" s="27" t="inlineStr">
        <is>
          <t>Thu hồi hàng</t>
        </is>
      </c>
      <c r="D113" s="27" t="inlineStr">
        <is>
          <t>FT-08 AC-05; BR-019; BR-032</t>
        </is>
      </c>
      <c r="E113" s="28" t="inlineStr">
        <is>
          <t>P1</t>
        </is>
      </c>
      <c r="F113" s="27" t="inlineStr">
        <is>
          <t>No</t>
        </is>
      </c>
      <c r="G113" s="30">
        <f>OrderService!J77</f>
        <v/>
      </c>
      <c r="H113" s="30">
        <f>OrderService!K77</f>
        <v/>
      </c>
      <c r="I113" s="54">
        <f>OrderService!M77</f>
        <v/>
      </c>
    </row>
    <row r="114" ht="15.75" customHeight="1">
      <c r="A114" s="31" t="inlineStr">
        <is>
          <t>L1-ORD-60</t>
        </is>
      </c>
      <c r="B114" s="32" t="inlineStr">
        <is>
          <t>OrderService</t>
        </is>
      </c>
      <c r="C114" s="32" t="inlineStr">
        <is>
          <t>Thu hồi hàng</t>
        </is>
      </c>
      <c r="D114" s="32" t="inlineStr">
        <is>
          <t>FT-08 NAC-04</t>
        </is>
      </c>
      <c r="E114" s="36" t="inlineStr">
        <is>
          <t>P2</t>
        </is>
      </c>
      <c r="F114" s="35" t="inlineStr">
        <is>
          <t>Yes</t>
        </is>
      </c>
      <c r="G114" s="33">
        <f>OrderService!J78</f>
        <v/>
      </c>
      <c r="H114" s="33">
        <f>OrderService!K78</f>
        <v/>
      </c>
      <c r="I114" s="54">
        <f>OrderService!M78</f>
        <v/>
      </c>
    </row>
    <row r="115" ht="15.75" customHeight="1">
      <c r="A115" s="26" t="inlineStr">
        <is>
          <t>L1-ORD-61</t>
        </is>
      </c>
      <c r="B115" s="27" t="inlineStr">
        <is>
          <t>OrderService</t>
        </is>
      </c>
      <c r="C115" s="27" t="inlineStr">
        <is>
          <t>Đổi chữ ký method (thêm tham số caller)</t>
        </is>
      </c>
      <c r="D115" s="27" t="inlineStr">
        <is>
          <t>FT-01 NAC-05; NFR-SEC03</t>
        </is>
      </c>
      <c r="E115" s="28" t="inlineStr">
        <is>
          <t>P1</t>
        </is>
      </c>
      <c r="F115" s="29" t="inlineStr">
        <is>
          <t>Yes</t>
        </is>
      </c>
      <c r="G115" s="30">
        <f>OrderService!J80</f>
        <v/>
      </c>
      <c r="H115" s="30">
        <f>OrderService!K80</f>
        <v/>
      </c>
      <c r="I115" s="54">
        <f>OrderService!M80</f>
        <v/>
      </c>
    </row>
    <row r="116" ht="15.75" customHeight="1">
      <c r="A116" s="31" t="inlineStr">
        <is>
          <t>L1-ORD-62</t>
        </is>
      </c>
      <c r="B116" s="32" t="inlineStr">
        <is>
          <t>OrderService</t>
        </is>
      </c>
      <c r="C116" s="32" t="inlineStr">
        <is>
          <t>Đổi chữ ký method (thêm tham số caller)</t>
        </is>
      </c>
      <c r="D116" s="32" t="inlineStr">
        <is>
          <t>FT-01 NAC-05; NFR-SEC03</t>
        </is>
      </c>
      <c r="E116" s="28" t="inlineStr">
        <is>
          <t>P1</t>
        </is>
      </c>
      <c r="F116" s="35" t="inlineStr">
        <is>
          <t>Yes</t>
        </is>
      </c>
      <c r="G116" s="33">
        <f>OrderService!J81</f>
        <v/>
      </c>
      <c r="H116" s="33">
        <f>OrderService!K81</f>
        <v/>
      </c>
      <c r="I116" s="54">
        <f>OrderService!M81</f>
        <v/>
      </c>
    </row>
    <row r="117" ht="15.75" customHeight="1">
      <c r="A117" s="26" t="inlineStr">
        <is>
          <t>L1-ORD-63</t>
        </is>
      </c>
      <c r="B117" s="27" t="inlineStr">
        <is>
          <t>OrderService</t>
        </is>
      </c>
      <c r="C117" s="27" t="inlineStr">
        <is>
          <t>Đổi chữ ký method (thêm tham số caller)</t>
        </is>
      </c>
      <c r="D117" s="27" t="inlineStr">
        <is>
          <t>NFR-SEC03</t>
        </is>
      </c>
      <c r="E117" s="34" t="inlineStr">
        <is>
          <t>P2</t>
        </is>
      </c>
      <c r="F117" s="27" t="inlineStr">
        <is>
          <t>No</t>
        </is>
      </c>
      <c r="G117" s="30">
        <f>OrderService!J82</f>
        <v/>
      </c>
      <c r="H117" s="30">
        <f>OrderService!K82</f>
        <v/>
      </c>
      <c r="I117" s="54">
        <f>OrderService!M82</f>
        <v/>
      </c>
    </row>
    <row r="118" ht="15.75" customHeight="1">
      <c r="A118" s="31" t="inlineStr">
        <is>
          <t>L1-ORD-64</t>
        </is>
      </c>
      <c r="B118" s="32" t="inlineStr">
        <is>
          <t>OrderService</t>
        </is>
      </c>
      <c r="C118" s="32" t="inlineStr">
        <is>
          <t>Đổi chữ ký method (thêm tham số caller)</t>
        </is>
      </c>
      <c r="D118" s="32" t="inlineStr">
        <is>
          <t>NFR-SEC03; NFR-SEC07</t>
        </is>
      </c>
      <c r="E118" s="28" t="inlineStr">
        <is>
          <t>P1</t>
        </is>
      </c>
      <c r="F118" s="35" t="inlineStr">
        <is>
          <t>Yes</t>
        </is>
      </c>
      <c r="G118" s="33">
        <f>OrderService!J83</f>
        <v/>
      </c>
      <c r="H118" s="33">
        <f>OrderService!K83</f>
        <v/>
      </c>
      <c r="I118" s="54">
        <f>OrderService!M83</f>
        <v/>
      </c>
    </row>
    <row r="119" ht="15.75" customHeight="1">
      <c r="A119" s="26" t="inlineStr">
        <is>
          <t>L1-ORD-65</t>
        </is>
      </c>
      <c r="B119" s="27" t="inlineStr">
        <is>
          <t>OrderService</t>
        </is>
      </c>
      <c r="C119" s="27" t="inlineStr">
        <is>
          <t>Đổi chữ ký method (thêm tham số caller)</t>
        </is>
      </c>
      <c r="D119" s="27" t="inlineStr">
        <is>
          <t>FT-09 AC-01; NAC-01</t>
        </is>
      </c>
      <c r="E119" s="28" t="inlineStr">
        <is>
          <t>P1</t>
        </is>
      </c>
      <c r="F119" s="27" t="inlineStr">
        <is>
          <t>No</t>
        </is>
      </c>
      <c r="G119" s="30">
        <f>OrderService!J84</f>
        <v/>
      </c>
      <c r="H119" s="30">
        <f>OrderService!K84</f>
        <v/>
      </c>
      <c r="I119" s="54">
        <f>OrderService!M84</f>
        <v/>
      </c>
    </row>
    <row r="120" ht="15.75" customHeight="1">
      <c r="A120" s="31" t="inlineStr">
        <is>
          <t>L1-ORD-66</t>
        </is>
      </c>
      <c r="B120" s="32" t="inlineStr">
        <is>
          <t>OrderService</t>
        </is>
      </c>
      <c r="C120" s="32" t="inlineStr">
        <is>
          <t>Đổi chữ ký method (thêm tham số caller)</t>
        </is>
      </c>
      <c r="D120" s="32" t="inlineStr">
        <is>
          <t>FT-09 AC-01</t>
        </is>
      </c>
      <c r="E120" s="36" t="inlineStr">
        <is>
          <t>P2</t>
        </is>
      </c>
      <c r="F120" s="32" t="inlineStr">
        <is>
          <t>No</t>
        </is>
      </c>
      <c r="G120" s="33">
        <f>OrderService!J85</f>
        <v/>
      </c>
      <c r="H120" s="33">
        <f>OrderService!K85</f>
        <v/>
      </c>
      <c r="I120" s="54">
        <f>OrderService!M85</f>
        <v/>
      </c>
    </row>
    <row r="121" ht="15.75" customHeight="1">
      <c r="A121" s="26" t="inlineStr">
        <is>
          <t>L1-ORD-67</t>
        </is>
      </c>
      <c r="B121" s="27" t="inlineStr">
        <is>
          <t>OrderService</t>
        </is>
      </c>
      <c r="C121" s="27" t="inlineStr">
        <is>
          <t>Truy vấn công khai &amp; thống kê</t>
        </is>
      </c>
      <c r="D121" s="27" t="inlineStr">
        <is>
          <t>FT-01 AC-05; NFR-SEC06</t>
        </is>
      </c>
      <c r="E121" s="28" t="inlineStr">
        <is>
          <t>P1</t>
        </is>
      </c>
      <c r="F121" s="27" t="inlineStr">
        <is>
          <t>No</t>
        </is>
      </c>
      <c r="G121" s="30">
        <f>OrderService!J87</f>
        <v/>
      </c>
      <c r="H121" s="30">
        <f>OrderService!K87</f>
        <v/>
      </c>
      <c r="I121" s="54">
        <f>OrderService!M87</f>
        <v/>
      </c>
    </row>
    <row r="122" ht="15.75" customHeight="1">
      <c r="A122" s="31" t="inlineStr">
        <is>
          <t>L1-ORD-68</t>
        </is>
      </c>
      <c r="B122" s="32" t="inlineStr">
        <is>
          <t>OrderService</t>
        </is>
      </c>
      <c r="C122" s="32" t="inlineStr">
        <is>
          <t>Truy vấn công khai &amp; thống kê</t>
        </is>
      </c>
      <c r="D122" s="32" t="inlineStr">
        <is>
          <t>FT-01 NAC-05</t>
        </is>
      </c>
      <c r="E122" s="36" t="inlineStr">
        <is>
          <t>P2</t>
        </is>
      </c>
      <c r="F122" s="35" t="inlineStr">
        <is>
          <t>Yes</t>
        </is>
      </c>
      <c r="G122" s="33">
        <f>OrderService!J88</f>
        <v/>
      </c>
      <c r="H122" s="33">
        <f>OrderService!K88</f>
        <v/>
      </c>
      <c r="I122" s="54">
        <f>OrderService!M88</f>
        <v/>
      </c>
    </row>
    <row r="123" ht="15.75" customHeight="1">
      <c r="A123" s="26" t="inlineStr">
        <is>
          <t>L1-ORD-69</t>
        </is>
      </c>
      <c r="B123" s="27" t="inlineStr">
        <is>
          <t>OrderService</t>
        </is>
      </c>
      <c r="C123" s="27" t="inlineStr">
        <is>
          <t>Truy vấn công khai &amp; thống kê</t>
        </is>
      </c>
      <c r="D123" s="27" t="inlineStr">
        <is>
          <t>FT-09 AC-01</t>
        </is>
      </c>
      <c r="E123" s="34" t="inlineStr">
        <is>
          <t>P2</t>
        </is>
      </c>
      <c r="F123" s="27" t="inlineStr">
        <is>
          <t>No</t>
        </is>
      </c>
      <c r="G123" s="30">
        <f>OrderService!J89</f>
        <v/>
      </c>
      <c r="H123" s="30">
        <f>OrderService!K89</f>
        <v/>
      </c>
      <c r="I123" s="54">
        <f>OrderService!M89</f>
        <v/>
      </c>
    </row>
    <row r="124" ht="15.75" customHeight="1">
      <c r="A124" s="31" t="inlineStr">
        <is>
          <t>L1-ORD-70</t>
        </is>
      </c>
      <c r="B124" s="32" t="inlineStr">
        <is>
          <t>OrderService</t>
        </is>
      </c>
      <c r="C124" s="32" t="inlineStr">
        <is>
          <t>Truy vấn công khai &amp; thống kê</t>
        </is>
      </c>
      <c r="D124" s="32" t="inlineStr">
        <is>
          <t>FT-04 AC-01; NFR-SEC03</t>
        </is>
      </c>
      <c r="E124" s="28" t="inlineStr">
        <is>
          <t>P1</t>
        </is>
      </c>
      <c r="F124" s="32" t="inlineStr">
        <is>
          <t>No</t>
        </is>
      </c>
      <c r="G124" s="33">
        <f>OrderService!J90</f>
        <v/>
      </c>
      <c r="H124" s="33">
        <f>OrderService!K90</f>
        <v/>
      </c>
      <c r="I124" s="54">
        <f>OrderService!M90</f>
        <v/>
      </c>
    </row>
    <row r="125" ht="15.75" customHeight="1">
      <c r="A125" s="26" t="inlineStr">
        <is>
          <t>L1-ORD-71</t>
        </is>
      </c>
      <c r="B125" s="27" t="inlineStr">
        <is>
          <t>OrderService</t>
        </is>
      </c>
      <c r="C125" s="27" t="inlineStr">
        <is>
          <t>Truy vấn công khai &amp; thống kê</t>
        </is>
      </c>
      <c r="D125" s="27" t="inlineStr">
        <is>
          <t>NFR-SEC03; FT-04 NAC-04</t>
        </is>
      </c>
      <c r="E125" s="28" t="inlineStr">
        <is>
          <t>P1</t>
        </is>
      </c>
      <c r="F125" s="29" t="inlineStr">
        <is>
          <t>Yes</t>
        </is>
      </c>
      <c r="G125" s="30">
        <f>OrderService!J91</f>
        <v/>
      </c>
      <c r="H125" s="30">
        <f>OrderService!K91</f>
        <v/>
      </c>
      <c r="I125" s="54">
        <f>OrderService!M91</f>
        <v/>
      </c>
    </row>
    <row r="126" ht="15.75" customHeight="1">
      <c r="A126" s="31" t="inlineStr">
        <is>
          <t>L1-ORD-72</t>
        </is>
      </c>
      <c r="B126" s="32" t="inlineStr">
        <is>
          <t>OrderService</t>
        </is>
      </c>
      <c r="C126" s="32" t="inlineStr">
        <is>
          <t>Ngưỡng giao hỏng</t>
        </is>
      </c>
      <c r="D126" s="32" t="inlineStr">
        <is>
          <t>FT-07 BV-03; BR-040</t>
        </is>
      </c>
      <c r="E126" s="28" t="inlineStr">
        <is>
          <t>P1</t>
        </is>
      </c>
      <c r="F126" s="35" t="inlineStr">
        <is>
          <t>Yes</t>
        </is>
      </c>
      <c r="G126" s="33">
        <f>OrderService!J96</f>
        <v/>
      </c>
      <c r="H126" s="33">
        <f>OrderService!K96</f>
        <v/>
      </c>
      <c r="I126" s="54">
        <f>OrderService!M96</f>
        <v/>
      </c>
    </row>
    <row r="127" ht="15.75" customHeight="1">
      <c r="A127" s="26" t="inlineStr">
        <is>
          <t>L1-ORD-73</t>
        </is>
      </c>
      <c r="B127" s="27" t="inlineStr">
        <is>
          <t>OrderService</t>
        </is>
      </c>
      <c r="C127" s="27" t="inlineStr">
        <is>
          <t>Ngưỡng giao hỏng</t>
        </is>
      </c>
      <c r="D127" s="27" t="inlineStr">
        <is>
          <t>FT-07 BV-03; BR-040; BR-050</t>
        </is>
      </c>
      <c r="E127" s="28" t="inlineStr">
        <is>
          <t>P1</t>
        </is>
      </c>
      <c r="F127" s="29" t="inlineStr">
        <is>
          <t>Yes</t>
        </is>
      </c>
      <c r="G127" s="30">
        <f>OrderService!J97</f>
        <v/>
      </c>
      <c r="H127" s="30">
        <f>OrderService!K97</f>
        <v/>
      </c>
      <c r="I127" s="54">
        <f>OrderService!M97</f>
        <v/>
      </c>
    </row>
    <row r="128" ht="15.75" customHeight="1">
      <c r="A128" s="31" t="inlineStr">
        <is>
          <t>L1-ORD-74</t>
        </is>
      </c>
      <c r="B128" s="32" t="inlineStr">
        <is>
          <t>OrderService</t>
        </is>
      </c>
      <c r="C128" s="32" t="inlineStr">
        <is>
          <t>Đối soát webhook: nhánh trả THIẾU</t>
        </is>
      </c>
      <c r="D128" s="32" t="inlineStr">
        <is>
          <t>FT-03 BV-01; NAC-01; BR-009</t>
        </is>
      </c>
      <c r="E128" s="28" t="inlineStr">
        <is>
          <t>P1</t>
        </is>
      </c>
      <c r="F128" s="35" t="inlineStr">
        <is>
          <t>Yes</t>
        </is>
      </c>
      <c r="G128" s="33">
        <f>OrderService!J100</f>
        <v/>
      </c>
      <c r="H128" s="33">
        <f>OrderService!K100</f>
        <v/>
      </c>
      <c r="I128" s="54">
        <f>OrderService!M100</f>
        <v/>
      </c>
    </row>
    <row r="129" ht="15.75" customHeight="1">
      <c r="A129" s="26" t="inlineStr">
        <is>
          <t>L1-ORD-75</t>
        </is>
      </c>
      <c r="B129" s="27" t="inlineStr">
        <is>
          <t>OrderService</t>
        </is>
      </c>
      <c r="C129" s="27" t="inlineStr">
        <is>
          <t>Đối soát webhook: nhánh trả THIẾU</t>
        </is>
      </c>
      <c r="D129" s="27" t="inlineStr">
        <is>
          <t>FT-03 BV-01; NAC-01</t>
        </is>
      </c>
      <c r="E129" s="28" t="inlineStr">
        <is>
          <t>P1</t>
        </is>
      </c>
      <c r="F129" s="29" t="inlineStr">
        <is>
          <t>Yes</t>
        </is>
      </c>
      <c r="G129" s="30">
        <f>OrderService!J101</f>
        <v/>
      </c>
      <c r="H129" s="30">
        <f>OrderService!K101</f>
        <v/>
      </c>
      <c r="I129" s="54">
        <f>OrderService!M101</f>
        <v/>
      </c>
    </row>
    <row r="130" ht="15.75" customHeight="1">
      <c r="A130" s="31" t="inlineStr">
        <is>
          <t>L1-ORD-76</t>
        </is>
      </c>
      <c r="B130" s="32" t="inlineStr">
        <is>
          <t>OrderService</t>
        </is>
      </c>
      <c r="C130" s="32" t="inlineStr">
        <is>
          <t>Đối soát webhook: nhánh trả THIẾU</t>
        </is>
      </c>
      <c r="D130" s="32" t="inlineStr">
        <is>
          <t>FT-03 AC-02; BV-01</t>
        </is>
      </c>
      <c r="E130" s="28" t="inlineStr">
        <is>
          <t>P1</t>
        </is>
      </c>
      <c r="F130" s="32" t="inlineStr">
        <is>
          <t>No</t>
        </is>
      </c>
      <c r="G130" s="33">
        <f>OrderService!J102</f>
        <v/>
      </c>
      <c r="H130" s="33">
        <f>OrderService!K102</f>
        <v/>
      </c>
      <c r="I130" s="54">
        <f>OrderService!M102</f>
        <v/>
      </c>
    </row>
    <row r="131" ht="15.75" customHeight="1">
      <c r="A131" s="26" t="inlineStr">
        <is>
          <t>L1-QUO-01</t>
        </is>
      </c>
      <c r="B131" s="27" t="inlineStr">
        <is>
          <t>QuotationService</t>
        </is>
      </c>
      <c r="C131" s="27" t="inlineStr">
        <is>
          <t>CreateQuotationFromCartAsync()</t>
        </is>
      </c>
      <c r="D131" s="27" t="inlineStr">
        <is>
          <t>FT-02 AC-03; BV-01; BR-026</t>
        </is>
      </c>
      <c r="E131" s="28" t="inlineStr">
        <is>
          <t>P1</t>
        </is>
      </c>
      <c r="F131" s="27" t="inlineStr">
        <is>
          <t>No</t>
        </is>
      </c>
      <c r="G131" s="30">
        <f>QuotationService!J6</f>
        <v/>
      </c>
      <c r="H131" s="30">
        <f>QuotationService!K6</f>
        <v/>
      </c>
      <c r="I131" s="54">
        <f>QuotationService!M6</f>
        <v/>
      </c>
    </row>
    <row r="132" ht="15.75" customHeight="1">
      <c r="A132" s="31" t="inlineStr">
        <is>
          <t>L1-QUO-02</t>
        </is>
      </c>
      <c r="B132" s="32" t="inlineStr">
        <is>
          <t>QuotationService</t>
        </is>
      </c>
      <c r="C132" s="32" t="inlineStr">
        <is>
          <t>CreateQuotationFromCartAsync()</t>
        </is>
      </c>
      <c r="D132" s="32" t="inlineStr">
        <is>
          <t>FT-02 NAC-02; BV-01</t>
        </is>
      </c>
      <c r="E132" s="28" t="inlineStr">
        <is>
          <t>P1</t>
        </is>
      </c>
      <c r="F132" s="35" t="inlineStr">
        <is>
          <t>Yes</t>
        </is>
      </c>
      <c r="G132" s="33">
        <f>QuotationService!J7</f>
        <v/>
      </c>
      <c r="H132" s="33">
        <f>QuotationService!K7</f>
        <v/>
      </c>
      <c r="I132" s="54">
        <f>QuotationService!M7</f>
        <v/>
      </c>
    </row>
    <row r="133" ht="15.75" customHeight="1">
      <c r="A133" s="26" t="inlineStr">
        <is>
          <t>L1-QUO-03</t>
        </is>
      </c>
      <c r="B133" s="27" t="inlineStr">
        <is>
          <t>QuotationService</t>
        </is>
      </c>
      <c r="C133" s="27" t="inlineStr">
        <is>
          <t>PickUpQuotationAsync()</t>
        </is>
      </c>
      <c r="D133" s="27" t="inlineStr">
        <is>
          <t>FT-02 AC-04; BR-027</t>
        </is>
      </c>
      <c r="E133" s="28" t="inlineStr">
        <is>
          <t>P1</t>
        </is>
      </c>
      <c r="F133" s="27" t="inlineStr">
        <is>
          <t>No</t>
        </is>
      </c>
      <c r="G133" s="30">
        <f>QuotationService!J9</f>
        <v/>
      </c>
      <c r="H133" s="30">
        <f>QuotationService!K9</f>
        <v/>
      </c>
      <c r="I133" s="54">
        <f>QuotationService!M9</f>
        <v/>
      </c>
    </row>
    <row r="134" ht="15.75" customHeight="1">
      <c r="A134" s="31" t="inlineStr">
        <is>
          <t>L1-QUO-04</t>
        </is>
      </c>
      <c r="B134" s="32" t="inlineStr">
        <is>
          <t>QuotationService</t>
        </is>
      </c>
      <c r="C134" s="32" t="inlineStr">
        <is>
          <t>PickUpQuotationAsync()</t>
        </is>
      </c>
      <c r="D134" s="32" t="inlineStr">
        <is>
          <t>FT-02 NAC-05; BR-027</t>
        </is>
      </c>
      <c r="E134" s="28" t="inlineStr">
        <is>
          <t>P1</t>
        </is>
      </c>
      <c r="F134" s="35" t="inlineStr">
        <is>
          <t>Yes</t>
        </is>
      </c>
      <c r="G134" s="33">
        <f>QuotationService!J10</f>
        <v/>
      </c>
      <c r="H134" s="33">
        <f>QuotationService!K10</f>
        <v/>
      </c>
      <c r="I134" s="54">
        <f>QuotationService!M10</f>
        <v/>
      </c>
    </row>
    <row r="135" ht="15.75" customHeight="1">
      <c r="A135" s="26" t="inlineStr">
        <is>
          <t>L1-QUO-05</t>
        </is>
      </c>
      <c r="B135" s="27" t="inlineStr">
        <is>
          <t>QuotationService</t>
        </is>
      </c>
      <c r="C135" s="27" t="inlineStr">
        <is>
          <t>CreateVersionAsync()</t>
        </is>
      </c>
      <c r="D135" s="27" t="inlineStr">
        <is>
          <t>FT-02 AC-04; BR-007; BR-027</t>
        </is>
      </c>
      <c r="E135" s="28" t="inlineStr">
        <is>
          <t>P1</t>
        </is>
      </c>
      <c r="F135" s="27" t="inlineStr">
        <is>
          <t>No</t>
        </is>
      </c>
      <c r="G135" s="30">
        <f>QuotationService!J12</f>
        <v/>
      </c>
      <c r="H135" s="30">
        <f>QuotationService!K12</f>
        <v/>
      </c>
      <c r="I135" s="54">
        <f>QuotationService!M12</f>
        <v/>
      </c>
    </row>
    <row r="136" ht="15.75" customHeight="1">
      <c r="A136" s="31" t="inlineStr">
        <is>
          <t>L1-QUO-06</t>
        </is>
      </c>
      <c r="B136" s="32" t="inlineStr">
        <is>
          <t>QuotationService</t>
        </is>
      </c>
      <c r="C136" s="32" t="inlineStr">
        <is>
          <t>CreateVersionAsync()</t>
        </is>
      </c>
      <c r="D136" s="32" t="inlineStr">
        <is>
          <t>FT-02 NAC-05; BR-027</t>
        </is>
      </c>
      <c r="E136" s="28" t="inlineStr">
        <is>
          <t>P1</t>
        </is>
      </c>
      <c r="F136" s="35" t="inlineStr">
        <is>
          <t>Yes</t>
        </is>
      </c>
      <c r="G136" s="33">
        <f>QuotationService!J13</f>
        <v/>
      </c>
      <c r="H136" s="33">
        <f>QuotationService!K13</f>
        <v/>
      </c>
      <c r="I136" s="54">
        <f>QuotationService!M13</f>
        <v/>
      </c>
    </row>
    <row r="137" ht="15.75" customHeight="1">
      <c r="A137" s="26" t="inlineStr">
        <is>
          <t>L1-QUO-07</t>
        </is>
      </c>
      <c r="B137" s="27" t="inlineStr">
        <is>
          <t>QuotationService</t>
        </is>
      </c>
      <c r="C137" s="27" t="inlineStr">
        <is>
          <t>ManagerReviewVersionAsync() / CeoReviewVersionAsync()</t>
        </is>
      </c>
      <c r="D137" s="27" t="inlineStr">
        <is>
          <t>FT-02 AC-04; BR-027</t>
        </is>
      </c>
      <c r="E137" s="28" t="inlineStr">
        <is>
          <t>P1</t>
        </is>
      </c>
      <c r="F137" s="27" t="inlineStr">
        <is>
          <t>No</t>
        </is>
      </c>
      <c r="G137" s="30">
        <f>QuotationService!J15</f>
        <v/>
      </c>
      <c r="H137" s="30">
        <f>QuotationService!K15</f>
        <v/>
      </c>
      <c r="I137" s="54">
        <f>QuotationService!M15</f>
        <v/>
      </c>
    </row>
    <row r="138" ht="15.75" customHeight="1">
      <c r="A138" s="31" t="inlineStr">
        <is>
          <t>L1-QUO-08</t>
        </is>
      </c>
      <c r="B138" s="32" t="inlineStr">
        <is>
          <t>QuotationService</t>
        </is>
      </c>
      <c r="C138" s="32" t="inlineStr">
        <is>
          <t>ManagerReviewVersionAsync() / CeoReviewVersionAsync()</t>
        </is>
      </c>
      <c r="D138" s="32" t="inlineStr">
        <is>
          <t>FT-02 AC-04; BR-027</t>
        </is>
      </c>
      <c r="E138" s="28" t="inlineStr">
        <is>
          <t>P1</t>
        </is>
      </c>
      <c r="F138" s="32" t="inlineStr">
        <is>
          <t>No</t>
        </is>
      </c>
      <c r="G138" s="33">
        <f>QuotationService!J16</f>
        <v/>
      </c>
      <c r="H138" s="33">
        <f>QuotationService!K16</f>
        <v/>
      </c>
      <c r="I138" s="54">
        <f>QuotationService!M16</f>
        <v/>
      </c>
    </row>
    <row r="139" ht="15.75" customHeight="1">
      <c r="A139" s="26" t="inlineStr">
        <is>
          <t>L1-QUO-09</t>
        </is>
      </c>
      <c r="B139" s="27" t="inlineStr">
        <is>
          <t>QuotationService</t>
        </is>
      </c>
      <c r="C139" s="27" t="inlineStr">
        <is>
          <t>ManagerReviewVersionAsync() / CeoReviewVersionAsync()</t>
        </is>
      </c>
      <c r="D139" s="27" t="inlineStr">
        <is>
          <t>FT-02 NAC-05; NFR-SEC03</t>
        </is>
      </c>
      <c r="E139" s="28" t="inlineStr">
        <is>
          <t>P1</t>
        </is>
      </c>
      <c r="F139" s="29" t="inlineStr">
        <is>
          <t>Yes</t>
        </is>
      </c>
      <c r="G139" s="30">
        <f>QuotationService!J17</f>
        <v/>
      </c>
      <c r="H139" s="30">
        <f>QuotationService!K17</f>
        <v/>
      </c>
      <c r="I139" s="54">
        <f>QuotationService!M17</f>
        <v/>
      </c>
    </row>
    <row r="140" ht="15.75" customHeight="1">
      <c r="A140" s="31" t="inlineStr">
        <is>
          <t>L1-QUO-10</t>
        </is>
      </c>
      <c r="B140" s="32" t="inlineStr">
        <is>
          <t>QuotationService</t>
        </is>
      </c>
      <c r="C140" s="32" t="inlineStr">
        <is>
          <t>CustomerDecisionAsync()</t>
        </is>
      </c>
      <c r="D140" s="32" t="inlineStr">
        <is>
          <t>FT-02 AC-05; BR-026</t>
        </is>
      </c>
      <c r="E140" s="28" t="inlineStr">
        <is>
          <t>P1</t>
        </is>
      </c>
      <c r="F140" s="32" t="inlineStr">
        <is>
          <t>No</t>
        </is>
      </c>
      <c r="G140" s="33">
        <f>QuotationService!J19</f>
        <v/>
      </c>
      <c r="H140" s="33">
        <f>QuotationService!K19</f>
        <v/>
      </c>
      <c r="I140" s="54">
        <f>QuotationService!M19</f>
        <v/>
      </c>
    </row>
    <row r="141" ht="15.75" customHeight="1">
      <c r="A141" s="26" t="inlineStr">
        <is>
          <t>L1-QUO-11</t>
        </is>
      </c>
      <c r="B141" s="27" t="inlineStr">
        <is>
          <t>QuotationService</t>
        </is>
      </c>
      <c r="C141" s="27" t="inlineStr">
        <is>
          <t>CustomerDecisionAsync()</t>
        </is>
      </c>
      <c r="D141" s="27" t="inlineStr">
        <is>
          <t>FT-02 AC-04; NAC-04</t>
        </is>
      </c>
      <c r="E141" s="28" t="inlineStr">
        <is>
          <t>P1</t>
        </is>
      </c>
      <c r="F141" s="27" t="inlineStr">
        <is>
          <t>No</t>
        </is>
      </c>
      <c r="G141" s="30">
        <f>QuotationService!J20</f>
        <v/>
      </c>
      <c r="H141" s="30">
        <f>QuotationService!K20</f>
        <v/>
      </c>
      <c r="I141" s="54">
        <f>QuotationService!M20</f>
        <v/>
      </c>
    </row>
    <row r="142" ht="15.75" customHeight="1">
      <c r="A142" s="31" t="inlineStr">
        <is>
          <t>L1-QUO-12</t>
        </is>
      </c>
      <c r="B142" s="32" t="inlineStr">
        <is>
          <t>QuotationService</t>
        </is>
      </c>
      <c r="C142" s="32" t="inlineStr">
        <is>
          <t>CustomerDecisionAsync()</t>
        </is>
      </c>
      <c r="D142" s="32" t="inlineStr">
        <is>
          <t>FT-02 AC-04; NAC-04</t>
        </is>
      </c>
      <c r="E142" s="28" t="inlineStr">
        <is>
          <t>P1</t>
        </is>
      </c>
      <c r="F142" s="35" t="inlineStr">
        <is>
          <t>Yes</t>
        </is>
      </c>
      <c r="G142" s="33">
        <f>QuotationService!J21</f>
        <v/>
      </c>
      <c r="H142" s="33">
        <f>QuotationService!K21</f>
        <v/>
      </c>
      <c r="I142" s="54">
        <f>QuotationService!M21</f>
        <v/>
      </c>
    </row>
    <row r="143" ht="15.75" customHeight="1">
      <c r="A143" s="26" t="inlineStr">
        <is>
          <t>L1-QUO-13</t>
        </is>
      </c>
      <c r="B143" s="27" t="inlineStr">
        <is>
          <t>QuotationService</t>
        </is>
      </c>
      <c r="C143" s="27" t="inlineStr">
        <is>
          <t>CustomerDecisionAsync()</t>
        </is>
      </c>
      <c r="D143" s="27" t="inlineStr">
        <is>
          <t>FT-02 NAC-05; NFR-SEC03</t>
        </is>
      </c>
      <c r="E143" s="28" t="inlineStr">
        <is>
          <t>P1</t>
        </is>
      </c>
      <c r="F143" s="29" t="inlineStr">
        <is>
          <t>Yes</t>
        </is>
      </c>
      <c r="G143" s="30">
        <f>QuotationService!J22</f>
        <v/>
      </c>
      <c r="H143" s="30">
        <f>QuotationService!K22</f>
        <v/>
      </c>
      <c r="I143" s="54">
        <f>QuotationService!M22</f>
        <v/>
      </c>
    </row>
    <row r="144" ht="15.75" customHeight="1">
      <c r="A144" s="31" t="inlineStr">
        <is>
          <t>L1-QUO-14</t>
        </is>
      </c>
      <c r="B144" s="32" t="inlineStr">
        <is>
          <t>QuotationService</t>
        </is>
      </c>
      <c r="C144" s="32" t="inlineStr">
        <is>
          <t>CancelQuotationAsync()</t>
        </is>
      </c>
      <c r="D144" s="32" t="inlineStr">
        <is>
          <t>FT-02 NAC-05</t>
        </is>
      </c>
      <c r="E144" s="36" t="inlineStr">
        <is>
          <t>P2</t>
        </is>
      </c>
      <c r="F144" s="32" t="inlineStr">
        <is>
          <t>No</t>
        </is>
      </c>
      <c r="G144" s="33">
        <f>QuotationService!J24</f>
        <v/>
      </c>
      <c r="H144" s="33">
        <f>QuotationService!K24</f>
        <v/>
      </c>
      <c r="I144" s="54">
        <f>QuotationService!M24</f>
        <v/>
      </c>
    </row>
    <row r="145" ht="15.75" customHeight="1">
      <c r="A145" s="26" t="inlineStr">
        <is>
          <t>L1-QUO-15</t>
        </is>
      </c>
      <c r="B145" s="27" t="inlineStr">
        <is>
          <t>QuotationService</t>
        </is>
      </c>
      <c r="C145" s="27" t="inlineStr">
        <is>
          <t>CancelQuotationAsync()</t>
        </is>
      </c>
      <c r="D145" s="27" t="inlineStr">
        <is>
          <t>FT-02 NAC-05; BR-007</t>
        </is>
      </c>
      <c r="E145" s="28" t="inlineStr">
        <is>
          <t>P1</t>
        </is>
      </c>
      <c r="F145" s="29" t="inlineStr">
        <is>
          <t>Yes</t>
        </is>
      </c>
      <c r="G145" s="30">
        <f>QuotationService!J25</f>
        <v/>
      </c>
      <c r="H145" s="30">
        <f>QuotationService!K25</f>
        <v/>
      </c>
      <c r="I145" s="54">
        <f>QuotationService!M25</f>
        <v/>
      </c>
    </row>
    <row r="146" ht="15.75" customHeight="1">
      <c r="A146" s="31" t="inlineStr">
        <is>
          <t>L1-QUO-16</t>
        </is>
      </c>
      <c r="B146" s="32" t="inlineStr">
        <is>
          <t>QuotationService</t>
        </is>
      </c>
      <c r="C146" s="32" t="inlineStr">
        <is>
          <t>SendMessageAsync() / GetMessagesAsync()</t>
        </is>
      </c>
      <c r="D146" s="32" t="inlineStr">
        <is>
          <t>FT-02 AC-04; BR-020; NFR-P04</t>
        </is>
      </c>
      <c r="E146" s="36" t="inlineStr">
        <is>
          <t>P2</t>
        </is>
      </c>
      <c r="F146" s="32" t="inlineStr">
        <is>
          <t>No</t>
        </is>
      </c>
      <c r="G146" s="33">
        <f>QuotationService!J27</f>
        <v/>
      </c>
      <c r="H146" s="33">
        <f>QuotationService!K27</f>
        <v/>
      </c>
      <c r="I146" s="54">
        <f>QuotationService!M27</f>
        <v/>
      </c>
    </row>
    <row r="147" ht="15.75" customHeight="1">
      <c r="A147" s="26" t="inlineStr">
        <is>
          <t>L1-QUO-17</t>
        </is>
      </c>
      <c r="B147" s="27" t="inlineStr">
        <is>
          <t>QuotationService</t>
        </is>
      </c>
      <c r="C147" s="27" t="inlineStr">
        <is>
          <t>SendMessageAsync() / GetMessagesAsync()</t>
        </is>
      </c>
      <c r="D147" s="27" t="inlineStr">
        <is>
          <t>FT-02 NAC-05; NFR-SEC03</t>
        </is>
      </c>
      <c r="E147" s="28" t="inlineStr">
        <is>
          <t>P1</t>
        </is>
      </c>
      <c r="F147" s="29" t="inlineStr">
        <is>
          <t>Yes</t>
        </is>
      </c>
      <c r="G147" s="30">
        <f>QuotationService!J28</f>
        <v/>
      </c>
      <c r="H147" s="30">
        <f>QuotationService!K28</f>
        <v/>
      </c>
      <c r="I147" s="54">
        <f>QuotationService!M28</f>
        <v/>
      </c>
    </row>
    <row r="148" ht="15.75" customHeight="1">
      <c r="A148" s="31" t="inlineStr">
        <is>
          <t>L1-MP-01</t>
        </is>
      </c>
      <c r="B148" s="32" t="inlineStr">
        <is>
          <t>ManualPaymentService</t>
        </is>
      </c>
      <c r="C148" s="32" t="inlineStr">
        <is>
          <t>ManualConfirmAsync()</t>
        </is>
      </c>
      <c r="D148" s="32" t="inlineStr">
        <is>
          <t>FT-03 AC-05; NAC-03; BR-016</t>
        </is>
      </c>
      <c r="E148" s="28" t="inlineStr">
        <is>
          <t>P1</t>
        </is>
      </c>
      <c r="F148" s="32" t="inlineStr">
        <is>
          <t>No</t>
        </is>
      </c>
      <c r="G148" s="33">
        <f>ManualPaymentService!J6</f>
        <v/>
      </c>
      <c r="H148" s="33">
        <f>ManualPaymentService!K6</f>
        <v/>
      </c>
      <c r="I148" s="54">
        <f>ManualPaymentService!M6</f>
        <v/>
      </c>
    </row>
    <row r="149" ht="15.75" customHeight="1">
      <c r="A149" s="26" t="inlineStr">
        <is>
          <t>L1-MP-02</t>
        </is>
      </c>
      <c r="B149" s="27" t="inlineStr">
        <is>
          <t>ManualPaymentService</t>
        </is>
      </c>
      <c r="C149" s="27" t="inlineStr">
        <is>
          <t>ManualConfirmAsync()</t>
        </is>
      </c>
      <c r="D149" s="27" t="inlineStr">
        <is>
          <t>FT-03 NAC-04; BR-016</t>
        </is>
      </c>
      <c r="E149" s="28" t="inlineStr">
        <is>
          <t>P1</t>
        </is>
      </c>
      <c r="F149" s="29" t="inlineStr">
        <is>
          <t>Yes</t>
        </is>
      </c>
      <c r="G149" s="30">
        <f>ManualPaymentService!J7</f>
        <v/>
      </c>
      <c r="H149" s="30">
        <f>ManualPaymentService!K7</f>
        <v/>
      </c>
      <c r="I149" s="54">
        <f>ManualPaymentService!M7</f>
        <v/>
      </c>
    </row>
    <row r="150" ht="15.75" customHeight="1">
      <c r="A150" s="31" t="inlineStr">
        <is>
          <t>L1-MP-03</t>
        </is>
      </c>
      <c r="B150" s="32" t="inlineStr">
        <is>
          <t>ManualPaymentService</t>
        </is>
      </c>
      <c r="C150" s="32" t="inlineStr">
        <is>
          <t>ManualConfirmAsync()</t>
        </is>
      </c>
      <c r="D150" s="32" t="inlineStr">
        <is>
          <t>FT-03 NAC-02; BR-016; BR-029</t>
        </is>
      </c>
      <c r="E150" s="28" t="inlineStr">
        <is>
          <t>P1</t>
        </is>
      </c>
      <c r="F150" s="35" t="inlineStr">
        <is>
          <t>Yes</t>
        </is>
      </c>
      <c r="G150" s="33">
        <f>ManualPaymentService!J8</f>
        <v/>
      </c>
      <c r="H150" s="33">
        <f>ManualPaymentService!K8</f>
        <v/>
      </c>
      <c r="I150" s="54">
        <f>ManualPaymentService!M8</f>
        <v/>
      </c>
    </row>
    <row r="151" ht="15.75" customHeight="1">
      <c r="A151" s="26" t="inlineStr">
        <is>
          <t>L1-MP-04</t>
        </is>
      </c>
      <c r="B151" s="27" t="inlineStr">
        <is>
          <t>ManualPaymentService</t>
        </is>
      </c>
      <c r="C151" s="27" t="inlineStr">
        <is>
          <t>RetryAllocationAsync() / GetExceptionsAsync()</t>
        </is>
      </c>
      <c r="D151" s="27" t="inlineStr">
        <is>
          <t>FT-03 AC-03; AC-05</t>
        </is>
      </c>
      <c r="E151" s="34" t="inlineStr">
        <is>
          <t>P2</t>
        </is>
      </c>
      <c r="F151" s="27" t="inlineStr">
        <is>
          <t>No</t>
        </is>
      </c>
      <c r="G151" s="30">
        <f>ManualPaymentService!J10</f>
        <v/>
      </c>
      <c r="H151" s="30">
        <f>ManualPaymentService!K10</f>
        <v/>
      </c>
      <c r="I151" s="54">
        <f>ManualPaymentService!M10</f>
        <v/>
      </c>
    </row>
    <row r="152" ht="15.75" customHeight="1">
      <c r="A152" s="31" t="inlineStr">
        <is>
          <t>L1-MP-05</t>
        </is>
      </c>
      <c r="B152" s="32" t="inlineStr">
        <is>
          <t>ManualPaymentService</t>
        </is>
      </c>
      <c r="C152" s="32" t="inlineStr">
        <is>
          <t>RetryAllocationAsync() / GetExceptionsAsync()</t>
        </is>
      </c>
      <c r="D152" s="32" t="inlineStr">
        <is>
          <t>FT-03 AC-03</t>
        </is>
      </c>
      <c r="E152" s="36" t="inlineStr">
        <is>
          <t>P2</t>
        </is>
      </c>
      <c r="F152" s="32" t="inlineStr">
        <is>
          <t>No</t>
        </is>
      </c>
      <c r="G152" s="33">
        <f>ManualPaymentService!J11</f>
        <v/>
      </c>
      <c r="H152" s="33">
        <f>ManualPaymentService!K11</f>
        <v/>
      </c>
      <c r="I152" s="54">
        <f>ManualPaymentService!M11</f>
        <v/>
      </c>
    </row>
    <row r="153" ht="15.75" customHeight="1">
      <c r="A153" s="26" t="inlineStr">
        <is>
          <t>L1-WH-01</t>
        </is>
      </c>
      <c r="B153" s="27" t="inlineStr">
        <is>
          <t>WarehouseService</t>
        </is>
      </c>
      <c r="C153" s="27" t="inlineStr">
        <is>
          <t>GetOrdersForWarehouseAsync()</t>
        </is>
      </c>
      <c r="D153" s="27" t="inlineStr">
        <is>
          <t>FT-05 AC-01; BR-011</t>
        </is>
      </c>
      <c r="E153" s="28" t="inlineStr">
        <is>
          <t>P1</t>
        </is>
      </c>
      <c r="F153" s="27" t="inlineStr">
        <is>
          <t>No</t>
        </is>
      </c>
      <c r="G153" s="30">
        <f>WarehouseService!J6</f>
        <v/>
      </c>
      <c r="H153" s="30">
        <f>WarehouseService!K6</f>
        <v/>
      </c>
      <c r="I153" s="54">
        <f>WarehouseService!M6</f>
        <v/>
      </c>
    </row>
    <row r="154" ht="15.75" customHeight="1">
      <c r="A154" s="31" t="inlineStr">
        <is>
          <t>L1-WH-02</t>
        </is>
      </c>
      <c r="B154" s="32" t="inlineStr">
        <is>
          <t>WarehouseService</t>
        </is>
      </c>
      <c r="C154" s="32" t="inlineStr">
        <is>
          <t>GetOrdersForWarehouseAsync()</t>
        </is>
      </c>
      <c r="D154" s="32" t="inlineStr">
        <is>
          <t>FT-05 AC-01</t>
        </is>
      </c>
      <c r="E154" s="36" t="inlineStr">
        <is>
          <t>P2</t>
        </is>
      </c>
      <c r="F154" s="32" t="inlineStr">
        <is>
          <t>No</t>
        </is>
      </c>
      <c r="G154" s="33">
        <f>WarehouseService!J7</f>
        <v/>
      </c>
      <c r="H154" s="33">
        <f>WarehouseService!K7</f>
        <v/>
      </c>
      <c r="I154" s="54">
        <f>WarehouseService!M7</f>
        <v/>
      </c>
    </row>
    <row r="155" ht="15.75" customHeight="1">
      <c r="A155" s="26" t="inlineStr">
        <is>
          <t>L1-WH-03</t>
        </is>
      </c>
      <c r="B155" s="27" t="inlineStr">
        <is>
          <t>WarehouseService</t>
        </is>
      </c>
      <c r="C155" s="27" t="inlineStr">
        <is>
          <t>AcceptOrderAsync()</t>
        </is>
      </c>
      <c r="D155" s="27" t="inlineStr">
        <is>
          <t>FT-05 AC-01; AC-04</t>
        </is>
      </c>
      <c r="E155" s="28" t="inlineStr">
        <is>
          <t>P1</t>
        </is>
      </c>
      <c r="F155" s="27" t="inlineStr">
        <is>
          <t>No</t>
        </is>
      </c>
      <c r="G155" s="30">
        <f>WarehouseService!J9</f>
        <v/>
      </c>
      <c r="H155" s="30">
        <f>WarehouseService!K9</f>
        <v/>
      </c>
      <c r="I155" s="54">
        <f>WarehouseService!M9</f>
        <v/>
      </c>
    </row>
    <row r="156" ht="15.75" customHeight="1">
      <c r="A156" s="31" t="inlineStr">
        <is>
          <t>L1-WH-04</t>
        </is>
      </c>
      <c r="B156" s="32" t="inlineStr">
        <is>
          <t>WarehouseService</t>
        </is>
      </c>
      <c r="C156" s="32" t="inlineStr">
        <is>
          <t>AcceptOrderAsync()</t>
        </is>
      </c>
      <c r="D156" s="32" t="inlineStr">
        <is>
          <t>FT-05 NAC-05; BR-021</t>
        </is>
      </c>
      <c r="E156" s="28" t="inlineStr">
        <is>
          <t>P1</t>
        </is>
      </c>
      <c r="F156" s="35" t="inlineStr">
        <is>
          <t>Yes</t>
        </is>
      </c>
      <c r="G156" s="33">
        <f>WarehouseService!J10</f>
        <v/>
      </c>
      <c r="H156" s="33">
        <f>WarehouseService!K10</f>
        <v/>
      </c>
      <c r="I156" s="54">
        <f>WarehouseService!M10</f>
        <v/>
      </c>
    </row>
    <row r="157" ht="15.75" customHeight="1">
      <c r="A157" s="26" t="inlineStr">
        <is>
          <t>L1-WH-05</t>
        </is>
      </c>
      <c r="B157" s="27" t="inlineStr">
        <is>
          <t>WarehouseService</t>
        </is>
      </c>
      <c r="C157" s="27" t="inlineStr">
        <is>
          <t>ReportShortageAsync()</t>
        </is>
      </c>
      <c r="D157" s="27" t="inlineStr">
        <is>
          <t>FT-05 NAC-04; BR-032</t>
        </is>
      </c>
      <c r="E157" s="28" t="inlineStr">
        <is>
          <t>P1</t>
        </is>
      </c>
      <c r="F157" s="27" t="inlineStr">
        <is>
          <t>No</t>
        </is>
      </c>
      <c r="G157" s="30">
        <f>WarehouseService!J12</f>
        <v/>
      </c>
      <c r="H157" s="30">
        <f>WarehouseService!K12</f>
        <v/>
      </c>
      <c r="I157" s="54">
        <f>WarehouseService!M12</f>
        <v/>
      </c>
    </row>
    <row r="158" ht="15.75" customHeight="1">
      <c r="A158" s="31" t="inlineStr">
        <is>
          <t>L1-WH-06</t>
        </is>
      </c>
      <c r="B158" s="32" t="inlineStr">
        <is>
          <t>WarehouseService</t>
        </is>
      </c>
      <c r="C158" s="32" t="inlineStr">
        <is>
          <t>ReportShortageAsync()</t>
        </is>
      </c>
      <c r="D158" s="32" t="inlineStr">
        <is>
          <t>FT-05 NAC-04</t>
        </is>
      </c>
      <c r="E158" s="36" t="inlineStr">
        <is>
          <t>P2</t>
        </is>
      </c>
      <c r="F158" s="35" t="inlineStr">
        <is>
          <t>Yes</t>
        </is>
      </c>
      <c r="G158" s="33">
        <f>WarehouseService!J13</f>
        <v/>
      </c>
      <c r="H158" s="33">
        <f>WarehouseService!K13</f>
        <v/>
      </c>
      <c r="I158" s="54">
        <f>WarehouseService!M13</f>
        <v/>
      </c>
    </row>
    <row r="159" ht="15.75" customHeight="1">
      <c r="A159" s="26" t="inlineStr">
        <is>
          <t>L1-WH-07</t>
        </is>
      </c>
      <c r="B159" s="27" t="inlineStr">
        <is>
          <t>WarehouseService</t>
        </is>
      </c>
      <c r="C159" s="27" t="inlineStr">
        <is>
          <t>CompletePickTaskAsync() / ConsolidateOrderAsync()</t>
        </is>
      </c>
      <c r="D159" s="27" t="inlineStr">
        <is>
          <t>FT-05 AC-04; NAC-04</t>
        </is>
      </c>
      <c r="E159" s="28" t="inlineStr">
        <is>
          <t>P1</t>
        </is>
      </c>
      <c r="F159" s="27" t="inlineStr">
        <is>
          <t>No</t>
        </is>
      </c>
      <c r="G159" s="30">
        <f>WarehouseService!J15</f>
        <v/>
      </c>
      <c r="H159" s="30">
        <f>WarehouseService!K15</f>
        <v/>
      </c>
      <c r="I159" s="54">
        <f>WarehouseService!M15</f>
        <v/>
      </c>
    </row>
    <row r="160" ht="15.75" customHeight="1">
      <c r="A160" s="31" t="inlineStr">
        <is>
          <t>L1-WH-08</t>
        </is>
      </c>
      <c r="B160" s="32" t="inlineStr">
        <is>
          <t>WarehouseService</t>
        </is>
      </c>
      <c r="C160" s="32" t="inlineStr">
        <is>
          <t>CompletePickTaskAsync() / ConsolidateOrderAsync()</t>
        </is>
      </c>
      <c r="D160" s="32" t="inlineStr">
        <is>
          <t>FT-05 NAC-05; NFR-SEC03</t>
        </is>
      </c>
      <c r="E160" s="28" t="inlineStr">
        <is>
          <t>P1</t>
        </is>
      </c>
      <c r="F160" s="35" t="inlineStr">
        <is>
          <t>Yes</t>
        </is>
      </c>
      <c r="G160" s="33">
        <f>WarehouseService!J16</f>
        <v/>
      </c>
      <c r="H160" s="33">
        <f>WarehouseService!K16</f>
        <v/>
      </c>
      <c r="I160" s="54">
        <f>WarehouseService!M16</f>
        <v/>
      </c>
    </row>
    <row r="161" ht="15.75" customHeight="1">
      <c r="A161" s="26" t="inlineStr">
        <is>
          <t>L1-WH-09</t>
        </is>
      </c>
      <c r="B161" s="27" t="inlineStr">
        <is>
          <t>WarehouseService</t>
        </is>
      </c>
      <c r="C161" s="27" t="inlineStr">
        <is>
          <t>CompletePickTaskAsync() / ConsolidateOrderAsync()</t>
        </is>
      </c>
      <c r="D161" s="27" t="inlineStr">
        <is>
          <t>FT-05 AC-04; AC-03; BR-012</t>
        </is>
      </c>
      <c r="E161" s="34" t="inlineStr">
        <is>
          <t>P2</t>
        </is>
      </c>
      <c r="F161" s="27" t="inlineStr">
        <is>
          <t>No</t>
        </is>
      </c>
      <c r="G161" s="30">
        <f>WarehouseService!J17</f>
        <v/>
      </c>
      <c r="H161" s="30">
        <f>WarehouseService!K17</f>
        <v/>
      </c>
      <c r="I161" s="54">
        <f>WarehouseService!M17</f>
        <v/>
      </c>
    </row>
    <row r="162" ht="15.75" customHeight="1">
      <c r="A162" s="31" t="inlineStr">
        <is>
          <t>L1-WH-10</t>
        </is>
      </c>
      <c r="B162" s="32" t="inlineStr">
        <is>
          <t>WarehouseService</t>
        </is>
      </c>
      <c r="C162" s="32" t="inlineStr">
        <is>
          <t>HandoverOrderAsync() / PostGoodsIssueAsync()</t>
        </is>
      </c>
      <c r="D162" s="32" t="inlineStr">
        <is>
          <t>FT-05 AC-05; BV-03; BR-034</t>
        </is>
      </c>
      <c r="E162" s="36" t="inlineStr">
        <is>
          <t>P2</t>
        </is>
      </c>
      <c r="F162" s="32" t="inlineStr">
        <is>
          <t>No</t>
        </is>
      </c>
      <c r="G162" s="33">
        <f>WarehouseService!J19</f>
        <v/>
      </c>
      <c r="H162" s="33">
        <f>WarehouseService!K19</f>
        <v/>
      </c>
      <c r="I162" s="54">
        <f>WarehouseService!M19</f>
        <v/>
      </c>
    </row>
    <row r="163" ht="15.75" customHeight="1">
      <c r="A163" s="26" t="inlineStr">
        <is>
          <t>L1-WH-11</t>
        </is>
      </c>
      <c r="B163" s="27" t="inlineStr">
        <is>
          <t>WarehouseService</t>
        </is>
      </c>
      <c r="C163" s="27" t="inlineStr">
        <is>
          <t>HandoverOrderAsync() / PostGoodsIssueAsync()</t>
        </is>
      </c>
      <c r="D163" s="27" t="inlineStr">
        <is>
          <t>FT-05 AC-05; BV-01; BV-02; BR-032; NFR-A05</t>
        </is>
      </c>
      <c r="E163" s="28" t="inlineStr">
        <is>
          <t>P1</t>
        </is>
      </c>
      <c r="F163" s="27" t="inlineStr">
        <is>
          <t>No</t>
        </is>
      </c>
      <c r="G163" s="30">
        <f>WarehouseService!J20</f>
        <v/>
      </c>
      <c r="H163" s="30">
        <f>WarehouseService!K20</f>
        <v/>
      </c>
      <c r="I163" s="54">
        <f>WarehouseService!M20</f>
        <v/>
      </c>
    </row>
    <row r="164" ht="15.75" customHeight="1">
      <c r="A164" s="31" t="inlineStr">
        <is>
          <t>L1-WH-12</t>
        </is>
      </c>
      <c r="B164" s="32" t="inlineStr">
        <is>
          <t>WarehouseService</t>
        </is>
      </c>
      <c r="C164" s="32" t="inlineStr">
        <is>
          <t>HandoverOrderAsync() / PostGoodsIssueAsync()</t>
        </is>
      </c>
      <c r="D164" s="32" t="inlineStr">
        <is>
          <t>FT-05 NAC-01; BV-01; BR-032</t>
        </is>
      </c>
      <c r="E164" s="28" t="inlineStr">
        <is>
          <t>P1</t>
        </is>
      </c>
      <c r="F164" s="35" t="inlineStr">
        <is>
          <t>Yes</t>
        </is>
      </c>
      <c r="G164" s="33">
        <f>WarehouseService!J21</f>
        <v/>
      </c>
      <c r="H164" s="33">
        <f>WarehouseService!K21</f>
        <v/>
      </c>
      <c r="I164" s="54">
        <f>WarehouseService!M21</f>
        <v/>
      </c>
    </row>
    <row r="165" ht="15.75" customHeight="1">
      <c r="A165" s="26" t="inlineStr">
        <is>
          <t>L1-PO-01</t>
        </is>
      </c>
      <c r="B165" s="27" t="inlineStr">
        <is>
          <t>PurchaseOrderService</t>
        </is>
      </c>
      <c r="C165" s="27" t="inlineStr">
        <is>
          <t>Draft lifecycle: CreateAsync() / UpdateDraftAsync()</t>
        </is>
      </c>
      <c r="D165" s="27" t="inlineStr">
        <is>
          <t>FT-06 AC-01</t>
        </is>
      </c>
      <c r="E165" s="34" t="inlineStr">
        <is>
          <t>P2</t>
        </is>
      </c>
      <c r="F165" s="27" t="inlineStr">
        <is>
          <t>No</t>
        </is>
      </c>
      <c r="G165" s="30">
        <f>PurchaseOrderService!J6</f>
        <v/>
      </c>
      <c r="H165" s="30">
        <f>PurchaseOrderService!K6</f>
        <v/>
      </c>
      <c r="I165" s="54">
        <f>PurchaseOrderService!M6</f>
        <v/>
      </c>
    </row>
    <row r="166" ht="15.75" customHeight="1">
      <c r="A166" s="31" t="inlineStr">
        <is>
          <t>L1-PO-02</t>
        </is>
      </c>
      <c r="B166" s="32" t="inlineStr">
        <is>
          <t>PurchaseOrderService</t>
        </is>
      </c>
      <c r="C166" s="32" t="inlineStr">
        <is>
          <t>Draft lifecycle: CreateAsync() / UpdateDraftAsync()</t>
        </is>
      </c>
      <c r="D166" s="32" t="inlineStr">
        <is>
          <t>FT-06 NAC-04; BR-021</t>
        </is>
      </c>
      <c r="E166" s="28" t="inlineStr">
        <is>
          <t>P1</t>
        </is>
      </c>
      <c r="F166" s="35" t="inlineStr">
        <is>
          <t>Yes</t>
        </is>
      </c>
      <c r="G166" s="33">
        <f>PurchaseOrderService!J7</f>
        <v/>
      </c>
      <c r="H166" s="33">
        <f>PurchaseOrderService!K7</f>
        <v/>
      </c>
      <c r="I166" s="54">
        <f>PurchaseOrderService!M7</f>
        <v/>
      </c>
    </row>
    <row r="167" ht="15.75" customHeight="1">
      <c r="A167" s="26" t="inlineStr">
        <is>
          <t>L1-PO-03</t>
        </is>
      </c>
      <c r="B167" s="27" t="inlineStr">
        <is>
          <t>PurchaseOrderService</t>
        </is>
      </c>
      <c r="C167" s="27" t="inlineStr">
        <is>
          <t>IssueAsync() / SendToWarehouseAsync()</t>
        </is>
      </c>
      <c r="D167" s="27" t="inlineStr">
        <is>
          <t>FT-06 AC-01</t>
        </is>
      </c>
      <c r="E167" s="28" t="inlineStr">
        <is>
          <t>P1</t>
        </is>
      </c>
      <c r="F167" s="27" t="inlineStr">
        <is>
          <t>No</t>
        </is>
      </c>
      <c r="G167" s="30">
        <f>PurchaseOrderService!J9</f>
        <v/>
      </c>
      <c r="H167" s="30">
        <f>PurchaseOrderService!K9</f>
        <v/>
      </c>
      <c r="I167" s="54">
        <f>PurchaseOrderService!M9</f>
        <v/>
      </c>
    </row>
    <row r="168" ht="15.75" customHeight="1">
      <c r="A168" s="31" t="inlineStr">
        <is>
          <t>L1-PO-04</t>
        </is>
      </c>
      <c r="B168" s="32" t="inlineStr">
        <is>
          <t>PurchaseOrderService</t>
        </is>
      </c>
      <c r="C168" s="32" t="inlineStr">
        <is>
          <t>IssueAsync() / SendToWarehouseAsync()</t>
        </is>
      </c>
      <c r="D168" s="32" t="inlineStr">
        <is>
          <t>FT-06 NAC-04</t>
        </is>
      </c>
      <c r="E168" s="28" t="inlineStr">
        <is>
          <t>P1</t>
        </is>
      </c>
      <c r="F168" s="35" t="inlineStr">
        <is>
          <t>Yes</t>
        </is>
      </c>
      <c r="G168" s="33">
        <f>PurchaseOrderService!J10</f>
        <v/>
      </c>
      <c r="H168" s="33">
        <f>PurchaseOrderService!K10</f>
        <v/>
      </c>
      <c r="I168" s="54">
        <f>PurchaseOrderService!M10</f>
        <v/>
      </c>
    </row>
    <row r="169" ht="15.75" customHeight="1">
      <c r="A169" s="26" t="inlineStr">
        <is>
          <t>L1-PO-05</t>
        </is>
      </c>
      <c r="B169" s="27" t="inlineStr">
        <is>
          <t>PurchaseOrderService</t>
        </is>
      </c>
      <c r="C169" s="27" t="inlineStr">
        <is>
          <t>IssueAsync() / SendToWarehouseAsync()</t>
        </is>
      </c>
      <c r="D169" s="27" t="inlineStr">
        <is>
          <t>FT-06 AC-01; AC-04</t>
        </is>
      </c>
      <c r="E169" s="34" t="inlineStr">
        <is>
          <t>P2</t>
        </is>
      </c>
      <c r="F169" s="27" t="inlineStr">
        <is>
          <t>No</t>
        </is>
      </c>
      <c r="G169" s="30">
        <f>PurchaseOrderService!J11</f>
        <v/>
      </c>
      <c r="H169" s="30">
        <f>PurchaseOrderService!K11</f>
        <v/>
      </c>
      <c r="I169" s="54">
        <f>PurchaseOrderService!M11</f>
        <v/>
      </c>
    </row>
    <row r="170" ht="15.75" customHeight="1">
      <c r="A170" s="31" t="inlineStr">
        <is>
          <t>L1-PO-06</t>
        </is>
      </c>
      <c r="B170" s="32" t="inlineStr">
        <is>
          <t>PurchaseOrderService</t>
        </is>
      </c>
      <c r="C170" s="32" t="inlineStr">
        <is>
          <t>CancelAsync() / ResolveDiscrepancyAsync() / ClosePurchaseOrderAsync()</t>
        </is>
      </c>
      <c r="D170" s="32" t="inlineStr">
        <is>
          <t>FT-06 AC-01</t>
        </is>
      </c>
      <c r="E170" s="36" t="inlineStr">
        <is>
          <t>P2</t>
        </is>
      </c>
      <c r="F170" s="32" t="inlineStr">
        <is>
          <t>No</t>
        </is>
      </c>
      <c r="G170" s="33">
        <f>PurchaseOrderService!J13</f>
        <v/>
      </c>
      <c r="H170" s="33">
        <f>PurchaseOrderService!K13</f>
        <v/>
      </c>
      <c r="I170" s="54">
        <f>PurchaseOrderService!M13</f>
        <v/>
      </c>
    </row>
    <row r="171" ht="15.75" customHeight="1">
      <c r="A171" s="26" t="inlineStr">
        <is>
          <t>L1-PO-07</t>
        </is>
      </c>
      <c r="B171" s="27" t="inlineStr">
        <is>
          <t>PurchaseOrderService</t>
        </is>
      </c>
      <c r="C171" s="27" t="inlineStr">
        <is>
          <t>CancelAsync() / ResolveDiscrepancyAsync() / ClosePurchaseOrderAsync()</t>
        </is>
      </c>
      <c r="D171" s="27" t="inlineStr">
        <is>
          <t>FT-06 AC-05; NAC-03; BR-036</t>
        </is>
      </c>
      <c r="E171" s="28" t="inlineStr">
        <is>
          <t>P1</t>
        </is>
      </c>
      <c r="F171" s="29" t="inlineStr">
        <is>
          <t>Yes</t>
        </is>
      </c>
      <c r="G171" s="30">
        <f>PurchaseOrderService!J14</f>
        <v/>
      </c>
      <c r="H171" s="30">
        <f>PurchaseOrderService!K14</f>
        <v/>
      </c>
      <c r="I171" s="54">
        <f>PurchaseOrderService!M14</f>
        <v/>
      </c>
    </row>
    <row r="172" ht="15.75" customHeight="1">
      <c r="A172" s="31" t="inlineStr">
        <is>
          <t>L1-GR-01</t>
        </is>
      </c>
      <c r="B172" s="32" t="inlineStr">
        <is>
          <t>GoodsReceiptService</t>
        </is>
      </c>
      <c r="C172" s="32" t="inlineStr">
        <is>
          <t>CreateFromPOAsync()</t>
        </is>
      </c>
      <c r="D172" s="32" t="inlineStr">
        <is>
          <t>FT-06 AC-03; NAC-01; BR-014</t>
        </is>
      </c>
      <c r="E172" s="36" t="inlineStr">
        <is>
          <t>P2</t>
        </is>
      </c>
      <c r="F172" s="32" t="inlineStr">
        <is>
          <t>No</t>
        </is>
      </c>
      <c r="G172" s="33">
        <f>GoodsReceiptService!J6</f>
        <v/>
      </c>
      <c r="H172" s="33">
        <f>GoodsReceiptService!K6</f>
        <v/>
      </c>
      <c r="I172" s="54">
        <f>GoodsReceiptService!M6</f>
        <v/>
      </c>
    </row>
    <row r="173" ht="15.75" customHeight="1">
      <c r="A173" s="26" t="inlineStr">
        <is>
          <t>L1-GR-02</t>
        </is>
      </c>
      <c r="B173" s="27" t="inlineStr">
        <is>
          <t>GoodsReceiptService</t>
        </is>
      </c>
      <c r="C173" s="27" t="inlineStr">
        <is>
          <t>CreateFromPOAsync()</t>
        </is>
      </c>
      <c r="D173" s="27" t="inlineStr">
        <is>
          <t>FT-06 NAC-01; BR-014</t>
        </is>
      </c>
      <c r="E173" s="28" t="inlineStr">
        <is>
          <t>P1</t>
        </is>
      </c>
      <c r="F173" s="29" t="inlineStr">
        <is>
          <t>Yes</t>
        </is>
      </c>
      <c r="G173" s="30">
        <f>GoodsReceiptService!J7</f>
        <v/>
      </c>
      <c r="H173" s="30">
        <f>GoodsReceiptService!K7</f>
        <v/>
      </c>
      <c r="I173" s="54">
        <f>GoodsReceiptService!M7</f>
        <v/>
      </c>
    </row>
    <row r="174" ht="15.75" customHeight="1">
      <c r="A174" s="31" t="inlineStr">
        <is>
          <t>L1-GR-03</t>
        </is>
      </c>
      <c r="B174" s="32" t="inlineStr">
        <is>
          <t>GoodsReceiptService</t>
        </is>
      </c>
      <c r="C174" s="32" t="inlineStr">
        <is>
          <t>PostReceiptAsync()</t>
        </is>
      </c>
      <c r="D174" s="32" t="inlineStr">
        <is>
          <t>FT-06 AC-03; BV-01; BR-014</t>
        </is>
      </c>
      <c r="E174" s="28" t="inlineStr">
        <is>
          <t>P1</t>
        </is>
      </c>
      <c r="F174" s="32" t="inlineStr">
        <is>
          <t>No</t>
        </is>
      </c>
      <c r="G174" s="33">
        <f>GoodsReceiptService!J9</f>
        <v/>
      </c>
      <c r="H174" s="33">
        <f>GoodsReceiptService!K9</f>
        <v/>
      </c>
      <c r="I174" s="54">
        <f>GoodsReceiptService!M9</f>
        <v/>
      </c>
    </row>
    <row r="175" ht="15.75" customHeight="1">
      <c r="A175" s="26" t="inlineStr">
        <is>
          <t>L1-GR-04</t>
        </is>
      </c>
      <c r="B175" s="27" t="inlineStr">
        <is>
          <t>GoodsReceiptService</t>
        </is>
      </c>
      <c r="C175" s="27" t="inlineStr">
        <is>
          <t>PostReceiptAsync()</t>
        </is>
      </c>
      <c r="D175" s="27" t="inlineStr">
        <is>
          <t>FT-06 NAC-05; BR-029</t>
        </is>
      </c>
      <c r="E175" s="28" t="inlineStr">
        <is>
          <t>P1</t>
        </is>
      </c>
      <c r="F175" s="29" t="inlineStr">
        <is>
          <t>Yes</t>
        </is>
      </c>
      <c r="G175" s="30">
        <f>GoodsReceiptService!J10</f>
        <v/>
      </c>
      <c r="H175" s="30">
        <f>GoodsReceiptService!K10</f>
        <v/>
      </c>
      <c r="I175" s="54">
        <f>GoodsReceiptService!M10</f>
        <v/>
      </c>
    </row>
    <row r="176" ht="15.75" customHeight="1">
      <c r="A176" s="31" t="inlineStr">
        <is>
          <t>L1-GR-05</t>
        </is>
      </c>
      <c r="B176" s="32" t="inlineStr">
        <is>
          <t>GoodsReceiptService</t>
        </is>
      </c>
      <c r="C176" s="32" t="inlineStr">
        <is>
          <t>Chứng từ &amp; danh sách</t>
        </is>
      </c>
      <c r="D176" s="32" t="inlineStr">
        <is>
          <t>FT-06 AC-05; NFR-SEC07</t>
        </is>
      </c>
      <c r="E176" s="36" t="inlineStr">
        <is>
          <t>P2</t>
        </is>
      </c>
      <c r="F176" s="32" t="inlineStr">
        <is>
          <t>No</t>
        </is>
      </c>
      <c r="G176" s="33">
        <f>GoodsReceiptService!J12</f>
        <v/>
      </c>
      <c r="H176" s="33">
        <f>GoodsReceiptService!K12</f>
        <v/>
      </c>
      <c r="I176" s="54">
        <f>GoodsReceiptService!M12</f>
        <v/>
      </c>
    </row>
    <row r="177" ht="15.75" customHeight="1">
      <c r="A177" s="26" t="inlineStr">
        <is>
          <t>L1-GR-06</t>
        </is>
      </c>
      <c r="B177" s="27" t="inlineStr">
        <is>
          <t>GoodsReceiptService</t>
        </is>
      </c>
      <c r="C177" s="27" t="inlineStr">
        <is>
          <t>Chứng từ &amp; danh sách</t>
        </is>
      </c>
      <c r="D177" s="27" t="inlineStr">
        <is>
          <t>NFR-SEC07</t>
        </is>
      </c>
      <c r="E177" s="28" t="inlineStr">
        <is>
          <t>P1</t>
        </is>
      </c>
      <c r="F177" s="29" t="inlineStr">
        <is>
          <t>Yes</t>
        </is>
      </c>
      <c r="G177" s="30">
        <f>GoodsReceiptService!J13</f>
        <v/>
      </c>
      <c r="H177" s="30">
        <f>GoodsReceiptService!K13</f>
        <v/>
      </c>
      <c r="I177" s="54">
        <f>GoodsReceiptService!M13</f>
        <v/>
      </c>
    </row>
    <row r="178" ht="15.75" customHeight="1">
      <c r="A178" s="31" t="inlineStr">
        <is>
          <t>L1-GR-07</t>
        </is>
      </c>
      <c r="B178" s="32" t="inlineStr">
        <is>
          <t>GoodsReceiptService</t>
        </is>
      </c>
      <c r="C178" s="32" t="inlineStr">
        <is>
          <t>Chứng từ &amp; danh sách</t>
        </is>
      </c>
      <c r="D178" s="32" t="inlineStr">
        <is>
          <t>FT-06 AC-04</t>
        </is>
      </c>
      <c r="E178" s="36" t="inlineStr">
        <is>
          <t>P3</t>
        </is>
      </c>
      <c r="F178" s="32" t="inlineStr">
        <is>
          <t>No</t>
        </is>
      </c>
      <c r="G178" s="33">
        <f>GoodsReceiptService!J14</f>
        <v/>
      </c>
      <c r="H178" s="33">
        <f>GoodsReceiptService!K14</f>
        <v/>
      </c>
      <c r="I178" s="54">
        <f>GoodsReceiptService!M14</f>
        <v/>
      </c>
    </row>
    <row r="179" ht="15.75" customHeight="1">
      <c r="A179" s="26" t="inlineStr">
        <is>
          <t>L1-SA-01</t>
        </is>
      </c>
      <c r="B179" s="27" t="inlineStr">
        <is>
          <t>SalesAllocationService</t>
        </is>
      </c>
      <c r="C179" s="27" t="inlineStr">
        <is>
          <t>AutoAssignCustomerAsync() — round-robin</t>
        </is>
      </c>
      <c r="D179" s="27" t="inlineStr">
        <is>
          <t>FT-04 AC-02; BV-02; BR-002</t>
        </is>
      </c>
      <c r="E179" s="34" t="inlineStr">
        <is>
          <t>P2</t>
        </is>
      </c>
      <c r="F179" s="27" t="inlineStr">
        <is>
          <t>No</t>
        </is>
      </c>
      <c r="G179" s="30">
        <f>SalesAllocationService!J6</f>
        <v/>
      </c>
      <c r="H179" s="30">
        <f>SalesAllocationService!K6</f>
        <v/>
      </c>
      <c r="I179" s="54">
        <f>SalesAllocationService!M6</f>
        <v/>
      </c>
    </row>
    <row r="180" ht="15.75" customHeight="1">
      <c r="A180" s="31" t="inlineStr">
        <is>
          <t>L1-SA-02</t>
        </is>
      </c>
      <c r="B180" s="32" t="inlineStr">
        <is>
          <t>SalesAllocationService</t>
        </is>
      </c>
      <c r="C180" s="32" t="inlineStr">
        <is>
          <t>AutoAssignCustomerAsync() — round-robin</t>
        </is>
      </c>
      <c r="D180" s="32" t="inlineStr">
        <is>
          <t>FT-04 BV-02; BR-002</t>
        </is>
      </c>
      <c r="E180" s="36" t="inlineStr">
        <is>
          <t>P2</t>
        </is>
      </c>
      <c r="F180" s="32" t="inlineStr">
        <is>
          <t>No</t>
        </is>
      </c>
      <c r="G180" s="33">
        <f>SalesAllocationService!J7</f>
        <v/>
      </c>
      <c r="H180" s="33">
        <f>SalesAllocationService!K7</f>
        <v/>
      </c>
      <c r="I180" s="54">
        <f>SalesAllocationService!M7</f>
        <v/>
      </c>
    </row>
    <row r="181" ht="15.75" customHeight="1">
      <c r="A181" s="26" t="inlineStr">
        <is>
          <t>L1-SA-03</t>
        </is>
      </c>
      <c r="B181" s="27" t="inlineStr">
        <is>
          <t>SalesAllocationService</t>
        </is>
      </c>
      <c r="C181" s="27" t="inlineStr">
        <is>
          <t>AssignUnassignedCustomersAsync()</t>
        </is>
      </c>
      <c r="D181" s="27" t="inlineStr">
        <is>
          <t>FT-04 AC-02; AC-03; BR-002</t>
        </is>
      </c>
      <c r="E181" s="34" t="inlineStr">
        <is>
          <t>P2</t>
        </is>
      </c>
      <c r="F181" s="27" t="inlineStr">
        <is>
          <t>No</t>
        </is>
      </c>
      <c r="G181" s="30">
        <f>SalesAllocationService!J9</f>
        <v/>
      </c>
      <c r="H181" s="30">
        <f>SalesAllocationService!K9</f>
        <v/>
      </c>
      <c r="I181" s="54">
        <f>SalesAllocationService!M9</f>
        <v/>
      </c>
    </row>
    <row r="182" ht="15.75" customHeight="1">
      <c r="A182" s="31" t="inlineStr">
        <is>
          <t>L1-SA-04</t>
        </is>
      </c>
      <c r="B182" s="32" t="inlineStr">
        <is>
          <t>SalesAllocationService</t>
        </is>
      </c>
      <c r="C182" s="32" t="inlineStr">
        <is>
          <t>GetMyCustomerDetailAsync() / UpdateCustomerNoteAsync()</t>
        </is>
      </c>
      <c r="D182" s="32" t="inlineStr">
        <is>
          <t>FT-04 NAC-04; NFR-SEC03</t>
        </is>
      </c>
      <c r="E182" s="28" t="inlineStr">
        <is>
          <t>P1</t>
        </is>
      </c>
      <c r="F182" s="35" t="inlineStr">
        <is>
          <t>Yes</t>
        </is>
      </c>
      <c r="G182" s="33">
        <f>SalesAllocationService!J11</f>
        <v/>
      </c>
      <c r="H182" s="33">
        <f>SalesAllocationService!K11</f>
        <v/>
      </c>
      <c r="I182" s="54">
        <f>SalesAllocationService!M11</f>
        <v/>
      </c>
    </row>
    <row r="183" ht="15.75" customHeight="1">
      <c r="A183" s="26" t="inlineStr">
        <is>
          <t>L1-SA-05</t>
        </is>
      </c>
      <c r="B183" s="27" t="inlineStr">
        <is>
          <t>SalesAllocationService</t>
        </is>
      </c>
      <c r="C183" s="27" t="inlineStr">
        <is>
          <t>GetMyCustomerDetailAsync() / UpdateCustomerNoteAsync()</t>
        </is>
      </c>
      <c r="D183" s="27" t="inlineStr">
        <is>
          <t>FT-04 AC-04</t>
        </is>
      </c>
      <c r="E183" s="34" t="inlineStr">
        <is>
          <t>P3</t>
        </is>
      </c>
      <c r="F183" s="27" t="inlineStr">
        <is>
          <t>No</t>
        </is>
      </c>
      <c r="G183" s="30">
        <f>SalesAllocationService!J12</f>
        <v/>
      </c>
      <c r="H183" s="30">
        <f>SalesAllocationService!K12</f>
        <v/>
      </c>
      <c r="I183" s="54">
        <f>SalesAllocationService!M12</f>
        <v/>
      </c>
    </row>
    <row r="184" ht="15.75" customHeight="1">
      <c r="A184" s="31" t="inlineStr">
        <is>
          <t>L1-SA-06</t>
        </is>
      </c>
      <c r="B184" s="32" t="inlineStr">
        <is>
          <t>SalesAllocationService</t>
        </is>
      </c>
      <c r="C184" s="32" t="inlineStr">
        <is>
          <t>Referral &amp; cấu hình round-robin</t>
        </is>
      </c>
      <c r="D184" s="32" t="inlineStr">
        <is>
          <t>FT-04 AC-02; BR-002</t>
        </is>
      </c>
      <c r="E184" s="28" t="inlineStr">
        <is>
          <t>P1</t>
        </is>
      </c>
      <c r="F184" s="32" t="inlineStr">
        <is>
          <t>No</t>
        </is>
      </c>
      <c r="G184" s="33">
        <f>SalesAllocationService!J14</f>
        <v/>
      </c>
      <c r="H184" s="33">
        <f>SalesAllocationService!K14</f>
        <v/>
      </c>
      <c r="I184" s="54">
        <f>SalesAllocationService!M14</f>
        <v/>
      </c>
    </row>
    <row r="185" ht="15.75" customHeight="1">
      <c r="A185" s="26" t="inlineStr">
        <is>
          <t>L1-SA-07</t>
        </is>
      </c>
      <c r="B185" s="27" t="inlineStr">
        <is>
          <t>SalesAllocationService</t>
        </is>
      </c>
      <c r="C185" s="27" t="inlineStr">
        <is>
          <t>Referral &amp; cấu hình round-robin</t>
        </is>
      </c>
      <c r="D185" s="27" t="inlineStr">
        <is>
          <t>FT-04 NAC-02</t>
        </is>
      </c>
      <c r="E185" s="28" t="inlineStr">
        <is>
          <t>P1</t>
        </is>
      </c>
      <c r="F185" s="29" t="inlineStr">
        <is>
          <t>Yes</t>
        </is>
      </c>
      <c r="G185" s="30">
        <f>SalesAllocationService!J15</f>
        <v/>
      </c>
      <c r="H185" s="30">
        <f>SalesAllocationService!K15</f>
        <v/>
      </c>
      <c r="I185" s="54">
        <f>SalesAllocationService!M15</f>
        <v/>
      </c>
    </row>
    <row r="186" ht="15.75" customHeight="1">
      <c r="A186" s="31" t="inlineStr">
        <is>
          <t>L1-SA-08</t>
        </is>
      </c>
      <c r="B186" s="32" t="inlineStr">
        <is>
          <t>SalesAllocationService</t>
        </is>
      </c>
      <c r="C186" s="32" t="inlineStr">
        <is>
          <t>Referral &amp; cấu hình round-robin</t>
        </is>
      </c>
      <c r="D186" s="32" t="inlineStr">
        <is>
          <t>FT-04 NAC-02</t>
        </is>
      </c>
      <c r="E186" s="28" t="inlineStr">
        <is>
          <t>P1</t>
        </is>
      </c>
      <c r="F186" s="35" t="inlineStr">
        <is>
          <t>Yes</t>
        </is>
      </c>
      <c r="G186" s="33">
        <f>SalesAllocationService!J16</f>
        <v/>
      </c>
      <c r="H186" s="33">
        <f>SalesAllocationService!K16</f>
        <v/>
      </c>
      <c r="I186" s="54">
        <f>SalesAllocationService!M16</f>
        <v/>
      </c>
    </row>
    <row r="187" ht="15.75" customHeight="1">
      <c r="A187" s="26" t="inlineStr">
        <is>
          <t>L1-SA-09</t>
        </is>
      </c>
      <c r="B187" s="27" t="inlineStr">
        <is>
          <t>SalesAllocationService</t>
        </is>
      </c>
      <c r="C187" s="27" t="inlineStr">
        <is>
          <t>Referral &amp; cấu hình round-robin</t>
        </is>
      </c>
      <c r="D187" s="27" t="inlineStr">
        <is>
          <t>FT-04 NAC-02</t>
        </is>
      </c>
      <c r="E187" s="28" t="inlineStr">
        <is>
          <t>P1</t>
        </is>
      </c>
      <c r="F187" s="29" t="inlineStr">
        <is>
          <t>Yes</t>
        </is>
      </c>
      <c r="G187" s="30">
        <f>SalesAllocationService!J17</f>
        <v/>
      </c>
      <c r="H187" s="30">
        <f>SalesAllocationService!K17</f>
        <v/>
      </c>
      <c r="I187" s="54">
        <f>SalesAllocationService!M17</f>
        <v/>
      </c>
    </row>
    <row r="188" ht="15.75" customHeight="1">
      <c r="A188" s="31" t="inlineStr">
        <is>
          <t>L1-SA-10</t>
        </is>
      </c>
      <c r="B188" s="32" t="inlineStr">
        <is>
          <t>SalesAllocationService</t>
        </is>
      </c>
      <c r="C188" s="32" t="inlineStr">
        <is>
          <t>Referral &amp; cấu hình round-robin</t>
        </is>
      </c>
      <c r="D188" s="32" t="inlineStr">
        <is>
          <t>FT-04 AC-01; BV-01</t>
        </is>
      </c>
      <c r="E188" s="28" t="inlineStr">
        <is>
          <t>P1</t>
        </is>
      </c>
      <c r="F188" s="32" t="inlineStr">
        <is>
          <t>No</t>
        </is>
      </c>
      <c r="G188" s="33">
        <f>SalesAllocationService!J18</f>
        <v/>
      </c>
      <c r="H188" s="33">
        <f>SalesAllocationService!K18</f>
        <v/>
      </c>
      <c r="I188" s="54">
        <f>SalesAllocationService!M18</f>
        <v/>
      </c>
    </row>
    <row r="189" ht="15.75" customHeight="1">
      <c r="A189" s="26" t="inlineStr">
        <is>
          <t>L1-SA-11</t>
        </is>
      </c>
      <c r="B189" s="27" t="inlineStr">
        <is>
          <t>SalesAllocationService</t>
        </is>
      </c>
      <c r="C189" s="27" t="inlineStr">
        <is>
          <t>Referral &amp; cấu hình round-robin</t>
        </is>
      </c>
      <c r="D189" s="27" t="inlineStr">
        <is>
          <t>FT-04 BV-02; BR-002</t>
        </is>
      </c>
      <c r="E189" s="28" t="inlineStr">
        <is>
          <t>P1</t>
        </is>
      </c>
      <c r="F189" s="27" t="inlineStr">
        <is>
          <t>No</t>
        </is>
      </c>
      <c r="G189" s="30">
        <f>SalesAllocationService!J19</f>
        <v/>
      </c>
      <c r="H189" s="30">
        <f>SalesAllocationService!K19</f>
        <v/>
      </c>
      <c r="I189" s="54">
        <f>SalesAllocationService!M19</f>
        <v/>
      </c>
    </row>
    <row r="190" ht="15.75" customHeight="1">
      <c r="A190" s="31" t="inlineStr">
        <is>
          <t>L1-SA-12</t>
        </is>
      </c>
      <c r="B190" s="32" t="inlineStr">
        <is>
          <t>SalesAllocationService</t>
        </is>
      </c>
      <c r="C190" s="32" t="inlineStr">
        <is>
          <t>Referral &amp; cấu hình round-robin</t>
        </is>
      </c>
      <c r="D190" s="32" t="inlineStr">
        <is>
          <t>FT-04 BV-02; NAC-03</t>
        </is>
      </c>
      <c r="E190" s="28" t="inlineStr">
        <is>
          <t>P1</t>
        </is>
      </c>
      <c r="F190" s="35" t="inlineStr">
        <is>
          <t>Yes</t>
        </is>
      </c>
      <c r="G190" s="33">
        <f>SalesAllocationService!J20</f>
        <v/>
      </c>
      <c r="H190" s="33">
        <f>SalesAllocationService!K20</f>
        <v/>
      </c>
      <c r="I190" s="54">
        <f>SalesAllocationService!M20</f>
        <v/>
      </c>
    </row>
    <row r="191" ht="15.75" customHeight="1">
      <c r="A191" s="26" t="inlineStr">
        <is>
          <t>L1-SA-13</t>
        </is>
      </c>
      <c r="B191" s="27" t="inlineStr">
        <is>
          <t>SalesAllocationService</t>
        </is>
      </c>
      <c r="C191" s="27" t="inlineStr">
        <is>
          <t>Referral &amp; cấu hình round-robin</t>
        </is>
      </c>
      <c r="D191" s="27" t="inlineStr">
        <is>
          <t>FT-04 BV-02</t>
        </is>
      </c>
      <c r="E191" s="34" t="inlineStr">
        <is>
          <t>P2</t>
        </is>
      </c>
      <c r="F191" s="27" t="inlineStr">
        <is>
          <t>No</t>
        </is>
      </c>
      <c r="G191" s="30">
        <f>SalesAllocationService!J21</f>
        <v/>
      </c>
      <c r="H191" s="30">
        <f>SalesAllocationService!K21</f>
        <v/>
      </c>
      <c r="I191" s="54">
        <f>SalesAllocationService!M21</f>
        <v/>
      </c>
    </row>
    <row r="192" ht="15.75" customHeight="1">
      <c r="A192" s="31" t="inlineStr">
        <is>
          <t>L1-JWT-01</t>
        </is>
      </c>
      <c r="B192" s="32" t="inlineStr">
        <is>
          <t>JwtService</t>
        </is>
      </c>
      <c r="C192" s="32" t="inlineStr">
        <is>
          <t>GenerateAccessToken() / GetAccessTokenExpiry()</t>
        </is>
      </c>
      <c r="D192" s="32" t="inlineStr">
        <is>
          <t>NFR-SEC03</t>
        </is>
      </c>
      <c r="E192" s="28" t="inlineStr">
        <is>
          <t>P1</t>
        </is>
      </c>
      <c r="F192" s="32" t="inlineStr">
        <is>
          <t>No</t>
        </is>
      </c>
      <c r="G192" s="33">
        <f>JwtService!J6</f>
        <v/>
      </c>
      <c r="H192" s="33">
        <f>JwtService!K6</f>
        <v/>
      </c>
      <c r="I192" s="54">
        <f>JwtService!M6</f>
        <v/>
      </c>
    </row>
    <row r="193" ht="15.75" customHeight="1">
      <c r="A193" s="26" t="inlineStr">
        <is>
          <t>L1-JWT-02</t>
        </is>
      </c>
      <c r="B193" s="27" t="inlineStr">
        <is>
          <t>JwtService</t>
        </is>
      </c>
      <c r="C193" s="27" t="inlineStr">
        <is>
          <t>GenerateAccessToken() / GetAccessTokenExpiry()</t>
        </is>
      </c>
      <c r="D193" s="27" t="inlineStr">
        <is>
          <t>NFR-SEC02</t>
        </is>
      </c>
      <c r="E193" s="34" t="inlineStr">
        <is>
          <t>P2</t>
        </is>
      </c>
      <c r="F193" s="27" t="inlineStr">
        <is>
          <t>No</t>
        </is>
      </c>
      <c r="G193" s="30">
        <f>JwtService!J7</f>
        <v/>
      </c>
      <c r="H193" s="30">
        <f>JwtService!K7</f>
        <v/>
      </c>
      <c r="I193" s="54">
        <f>JwtService!M7</f>
        <v/>
      </c>
    </row>
    <row r="194" ht="15.75" customHeight="1">
      <c r="A194" s="31" t="inlineStr">
        <is>
          <t>L1-JWT-03</t>
        </is>
      </c>
      <c r="B194" s="32" t="inlineStr">
        <is>
          <t>JwtService</t>
        </is>
      </c>
      <c r="C194" s="32" t="inlineStr">
        <is>
          <t>GenerateRefreshToken()</t>
        </is>
      </c>
      <c r="D194" s="32" t="inlineStr">
        <is>
          <t>NFR-SEC02</t>
        </is>
      </c>
      <c r="E194" s="36" t="inlineStr">
        <is>
          <t>P2</t>
        </is>
      </c>
      <c r="F194" s="32" t="inlineStr">
        <is>
          <t>No</t>
        </is>
      </c>
      <c r="G194" s="33">
        <f>JwtService!J9</f>
        <v/>
      </c>
      <c r="H194" s="33">
        <f>JwtService!K9</f>
        <v/>
      </c>
      <c r="I194" s="54">
        <f>JwtService!M9</f>
        <v/>
      </c>
    </row>
    <row r="195" ht="15.75" customHeight="1">
      <c r="A195" s="26" t="inlineStr">
        <is>
          <t>L1-JWT-04</t>
        </is>
      </c>
      <c r="B195" s="27" t="inlineStr">
        <is>
          <t>JwtService</t>
        </is>
      </c>
      <c r="C195" s="27" t="inlineStr">
        <is>
          <t>GetPrincipalFromExpiredToken()</t>
        </is>
      </c>
      <c r="D195" s="27" t="inlineStr">
        <is>
          <t>NFR-SEC02</t>
        </is>
      </c>
      <c r="E195" s="28" t="inlineStr">
        <is>
          <t>P1</t>
        </is>
      </c>
      <c r="F195" s="27" t="inlineStr">
        <is>
          <t>No</t>
        </is>
      </c>
      <c r="G195" s="30">
        <f>JwtService!J11</f>
        <v/>
      </c>
      <c r="H195" s="30">
        <f>JwtService!K11</f>
        <v/>
      </c>
      <c r="I195" s="54">
        <f>JwtService!M11</f>
        <v/>
      </c>
    </row>
    <row r="196" ht="15.75" customHeight="1">
      <c r="A196" s="31" t="inlineStr">
        <is>
          <t>L1-JWT-05</t>
        </is>
      </c>
      <c r="B196" s="32" t="inlineStr">
        <is>
          <t>JwtService</t>
        </is>
      </c>
      <c r="C196" s="32" t="inlineStr">
        <is>
          <t>GetPrincipalFromExpiredToken()</t>
        </is>
      </c>
      <c r="D196" s="32" t="inlineStr">
        <is>
          <t>NFR-SEC02</t>
        </is>
      </c>
      <c r="E196" s="28" t="inlineStr">
        <is>
          <t>P1</t>
        </is>
      </c>
      <c r="F196" s="35" t="inlineStr">
        <is>
          <t>Yes</t>
        </is>
      </c>
      <c r="G196" s="33">
        <f>JwtService!J12</f>
        <v/>
      </c>
      <c r="H196" s="33">
        <f>JwtService!K12</f>
        <v/>
      </c>
      <c r="I196" s="54">
        <f>JwtService!M12</f>
        <v/>
      </c>
    </row>
    <row r="197" ht="15.75" customHeight="1">
      <c r="A197" s="26" t="inlineStr">
        <is>
          <t>L1-ADDR-01</t>
        </is>
      </c>
      <c r="B197" s="27" t="inlineStr">
        <is>
          <t>AddressService</t>
        </is>
      </c>
      <c r="C197" s="27" t="inlineStr">
        <is>
          <t>SetDefaultAddressAsync()</t>
        </is>
      </c>
      <c r="D197" s="27" t="inlineStr">
        <is>
          <t>FT-01 AC-03; BV-03; BR-028</t>
        </is>
      </c>
      <c r="E197" s="28" t="inlineStr">
        <is>
          <t>P1</t>
        </is>
      </c>
      <c r="F197" s="27" t="inlineStr">
        <is>
          <t>No</t>
        </is>
      </c>
      <c r="G197" s="30">
        <f>AddressService!J6</f>
        <v/>
      </c>
      <c r="H197" s="30">
        <f>AddressService!K6</f>
        <v/>
      </c>
      <c r="I197" s="54">
        <f>AddressService!M6</f>
        <v/>
      </c>
    </row>
    <row r="198" ht="15.75" customHeight="1">
      <c r="A198" s="31" t="inlineStr">
        <is>
          <t>L1-ADDR-02</t>
        </is>
      </c>
      <c r="B198" s="32" t="inlineStr">
        <is>
          <t>AddressService</t>
        </is>
      </c>
      <c r="C198" s="32" t="inlineStr">
        <is>
          <t>CreateAddressAsync() / UpdateAddressAsync() / DeleteAddressAsync()</t>
        </is>
      </c>
      <c r="D198" s="32" t="inlineStr">
        <is>
          <t>FT-01 NAC-05; NFR-SEC03</t>
        </is>
      </c>
      <c r="E198" s="28" t="inlineStr">
        <is>
          <t>P1</t>
        </is>
      </c>
      <c r="F198" s="35" t="inlineStr">
        <is>
          <t>Yes</t>
        </is>
      </c>
      <c r="G198" s="33">
        <f>AddressService!J8</f>
        <v/>
      </c>
      <c r="H198" s="33">
        <f>AddressService!K8</f>
        <v/>
      </c>
      <c r="I198" s="54">
        <f>AddressService!M8</f>
        <v/>
      </c>
    </row>
    <row r="199" ht="15.75" customHeight="1">
      <c r="A199" s="26" t="inlineStr">
        <is>
          <t>L1-ADDR-03</t>
        </is>
      </c>
      <c r="B199" s="27" t="inlineStr">
        <is>
          <t>AddressService</t>
        </is>
      </c>
      <c r="C199" s="27" t="inlineStr">
        <is>
          <t>CreateAddressAsync() / UpdateAddressAsync() / DeleteAddressAsync()</t>
        </is>
      </c>
      <c r="D199" s="27" t="inlineStr">
        <is>
          <t>FT-01 NAC-05; BR-028</t>
        </is>
      </c>
      <c r="E199" s="34" t="inlineStr">
        <is>
          <t>P3</t>
        </is>
      </c>
      <c r="F199" s="27" t="inlineStr">
        <is>
          <t>No</t>
        </is>
      </c>
      <c r="G199" s="30">
        <f>AddressService!J9</f>
        <v/>
      </c>
      <c r="H199" s="30">
        <f>AddressService!K9</f>
        <v/>
      </c>
      <c r="I199" s="54">
        <f>AddressService!M9</f>
        <v/>
      </c>
    </row>
    <row r="200" ht="15.75" customHeight="1">
      <c r="A200" s="31" t="inlineStr">
        <is>
          <t>L1-ADDR-04</t>
        </is>
      </c>
      <c r="B200" s="32" t="inlineStr">
        <is>
          <t>AddressService</t>
        </is>
      </c>
      <c r="C200" s="32" t="inlineStr">
        <is>
          <t>CreateAddressAsync() / UpdateAddressAsync() / DeleteAddressAsync()</t>
        </is>
      </c>
      <c r="D200" s="32" t="inlineStr">
        <is>
          <t>FT-01 AC-03; BV-03</t>
        </is>
      </c>
      <c r="E200" s="36" t="inlineStr">
        <is>
          <t>P3</t>
        </is>
      </c>
      <c r="F200" s="32" t="inlineStr">
        <is>
          <t>No</t>
        </is>
      </c>
      <c r="G200" s="33">
        <f>AddressService!J10</f>
        <v/>
      </c>
      <c r="H200" s="33">
        <f>AddressService!K10</f>
        <v/>
      </c>
      <c r="I200" s="54">
        <f>AddressService!M10</f>
        <v/>
      </c>
    </row>
    <row r="201" ht="15.75" customHeight="1">
      <c r="A201" s="26" t="inlineStr">
        <is>
          <t>L1-UP-01</t>
        </is>
      </c>
      <c r="B201" s="27" t="inlineStr">
        <is>
          <t>UserProfileService</t>
        </is>
      </c>
      <c r="C201" s="27" t="inlineStr">
        <is>
          <t>ChangePasswordAsync()</t>
        </is>
      </c>
      <c r="D201" s="27" t="inlineStr">
        <is>
          <t>NFR-SEC02</t>
        </is>
      </c>
      <c r="E201" s="28" t="inlineStr">
        <is>
          <t>P1</t>
        </is>
      </c>
      <c r="F201" s="29" t="inlineStr">
        <is>
          <t>Yes</t>
        </is>
      </c>
      <c r="G201" s="30">
        <f>UserProfileService!J6</f>
        <v/>
      </c>
      <c r="H201" s="30">
        <f>UserProfileService!K6</f>
        <v/>
      </c>
      <c r="I201" s="54">
        <f>UserProfileService!M6</f>
        <v/>
      </c>
    </row>
    <row r="202" ht="15.75" customHeight="1">
      <c r="A202" s="31" t="inlineStr">
        <is>
          <t>L1-UP-02</t>
        </is>
      </c>
      <c r="B202" s="32" t="inlineStr">
        <is>
          <t>UserProfileService</t>
        </is>
      </c>
      <c r="C202" s="32" t="inlineStr">
        <is>
          <t>ChangePasswordAsync()</t>
        </is>
      </c>
      <c r="D202" s="32" t="inlineStr">
        <is>
          <t>NFR-SEC02</t>
        </is>
      </c>
      <c r="E202" s="28" t="inlineStr">
        <is>
          <t>P1</t>
        </is>
      </c>
      <c r="F202" s="32" t="inlineStr">
        <is>
          <t>No</t>
        </is>
      </c>
      <c r="G202" s="33">
        <f>UserProfileService!J7</f>
        <v/>
      </c>
      <c r="H202" s="33">
        <f>UserProfileService!K7</f>
        <v/>
      </c>
      <c r="I202" s="54">
        <f>UserProfileService!M7</f>
        <v/>
      </c>
    </row>
    <row r="203" ht="15.75" customHeight="1">
      <c r="A203" s="26" t="inlineStr">
        <is>
          <t>L1-UP-03</t>
        </is>
      </c>
      <c r="B203" s="27" t="inlineStr">
        <is>
          <t>UserProfileService</t>
        </is>
      </c>
      <c r="C203" s="27" t="inlineStr">
        <is>
          <t>UpdateProfileAsync() / avatar methods</t>
        </is>
      </c>
      <c r="D203" s="27" t="inlineStr">
        <is>
          <t>FT-01 AC-03; NFR-SEC06</t>
        </is>
      </c>
      <c r="E203" s="34" t="inlineStr">
        <is>
          <t>P2</t>
        </is>
      </c>
      <c r="F203" s="27" t="inlineStr">
        <is>
          <t>No</t>
        </is>
      </c>
      <c r="G203" s="30">
        <f>UserProfileService!J9</f>
        <v/>
      </c>
      <c r="H203" s="30">
        <f>UserProfileService!K9</f>
        <v/>
      </c>
      <c r="I203" s="54">
        <f>UserProfileService!M9</f>
        <v/>
      </c>
    </row>
    <row r="204" ht="15.75" customHeight="1">
      <c r="A204" s="31" t="inlineStr">
        <is>
          <t>L1-UP-04</t>
        </is>
      </c>
      <c r="B204" s="32" t="inlineStr">
        <is>
          <t>UserProfileService</t>
        </is>
      </c>
      <c r="C204" s="32" t="inlineStr">
        <is>
          <t>UpdateProfileAsync() / avatar methods</t>
        </is>
      </c>
      <c r="D204" s="32" t="inlineStr">
        <is>
          <t>FT-01 AC-03; NFR-SEC07</t>
        </is>
      </c>
      <c r="E204" s="36" t="inlineStr">
        <is>
          <t>P3</t>
        </is>
      </c>
      <c r="F204" s="32" t="inlineStr">
        <is>
          <t>No</t>
        </is>
      </c>
      <c r="G204" s="33">
        <f>UserProfileService!J10</f>
        <v/>
      </c>
      <c r="H204" s="33">
        <f>UserProfileService!K10</f>
        <v/>
      </c>
      <c r="I204" s="54">
        <f>UserProfileService!M10</f>
        <v/>
      </c>
    </row>
    <row r="205" ht="15.75" customHeight="1">
      <c r="A205" s="26" t="inlineStr">
        <is>
          <t>L1-UP-05</t>
        </is>
      </c>
      <c r="B205" s="27" t="inlineStr">
        <is>
          <t>UserProfileService</t>
        </is>
      </c>
      <c r="C205" s="27" t="inlineStr">
        <is>
          <t>UpdateProfileAsync() / avatar methods</t>
        </is>
      </c>
      <c r="D205" s="27" t="inlineStr">
        <is>
          <t>FT-01 AC-03; NFR-SEC07</t>
        </is>
      </c>
      <c r="E205" s="34" t="inlineStr">
        <is>
          <t>P3</t>
        </is>
      </c>
      <c r="F205" s="27" t="inlineStr">
        <is>
          <t>No</t>
        </is>
      </c>
      <c r="G205" s="30">
        <f>UserProfileService!J11</f>
        <v/>
      </c>
      <c r="H205" s="30">
        <f>UserProfileService!K11</f>
        <v/>
      </c>
      <c r="I205" s="54">
        <f>UserProfileService!M11</f>
        <v/>
      </c>
    </row>
    <row r="206" ht="15.75" customHeight="1">
      <c r="A206" s="31" t="inlineStr">
        <is>
          <t>L1-SUP-01</t>
        </is>
      </c>
      <c r="B206" s="32" t="inlineStr">
        <is>
          <t>SupplierService</t>
        </is>
      </c>
      <c r="C206" s="32" t="inlineStr">
        <is>
          <t>CreateAsync() / UpdateAsync() / GetByIdAsync()</t>
        </is>
      </c>
      <c r="D206" s="32" t="inlineStr">
        <is>
          <t>FT-09 AC-03; FT-06 AC-01</t>
        </is>
      </c>
      <c r="E206" s="36" t="inlineStr">
        <is>
          <t>P3</t>
        </is>
      </c>
      <c r="F206" s="32" t="inlineStr">
        <is>
          <t>No</t>
        </is>
      </c>
      <c r="G206" s="33">
        <f>SupplierService!J6</f>
        <v/>
      </c>
      <c r="H206" s="33">
        <f>SupplierService!K6</f>
        <v/>
      </c>
      <c r="I206" s="54">
        <f>SupplierService!M6</f>
        <v/>
      </c>
    </row>
    <row r="207" ht="15.75" customHeight="1">
      <c r="A207" s="26" t="inlineStr">
        <is>
          <t>L1-SUP-02</t>
        </is>
      </c>
      <c r="B207" s="27" t="inlineStr">
        <is>
          <t>SupplierService</t>
        </is>
      </c>
      <c r="C207" s="27" t="inlineStr">
        <is>
          <t>CreateAsync() / UpdateAsync() / GetByIdAsync()</t>
        </is>
      </c>
      <c r="D207" s="27" t="inlineStr">
        <is>
          <t>FT-09 AC-03</t>
        </is>
      </c>
      <c r="E207" s="34" t="inlineStr">
        <is>
          <t>P3</t>
        </is>
      </c>
      <c r="F207" s="29" t="inlineStr">
        <is>
          <t>Yes</t>
        </is>
      </c>
      <c r="G207" s="30">
        <f>SupplierService!J7</f>
        <v/>
      </c>
      <c r="H207" s="30">
        <f>SupplierService!K7</f>
        <v/>
      </c>
      <c r="I207" s="54">
        <f>SupplierService!M7</f>
        <v/>
      </c>
    </row>
    <row r="208" ht="15.75" customHeight="1">
      <c r="A208" s="31" t="inlineStr">
        <is>
          <t>L1-SUP-03</t>
        </is>
      </c>
      <c r="B208" s="32" t="inlineStr">
        <is>
          <t>SupplierService</t>
        </is>
      </c>
      <c r="C208" s="32" t="inlineStr">
        <is>
          <t>CreateAsync() / UpdateAsync() / GetByIdAsync()</t>
        </is>
      </c>
      <c r="D208" s="32" t="inlineStr">
        <is>
          <t>FT-09 AC-03</t>
        </is>
      </c>
      <c r="E208" s="36" t="inlineStr">
        <is>
          <t>P3</t>
        </is>
      </c>
      <c r="F208" s="35" t="inlineStr">
        <is>
          <t>Yes</t>
        </is>
      </c>
      <c r="G208" s="33">
        <f>SupplierService!J8</f>
        <v/>
      </c>
      <c r="H208" s="33">
        <f>SupplierService!K8</f>
        <v/>
      </c>
      <c r="I208" s="54">
        <f>SupplierService!M8</f>
        <v/>
      </c>
    </row>
    <row r="209" ht="15.75" customHeight="1">
      <c r="A209" s="26" t="inlineStr">
        <is>
          <t>L1-INV-01</t>
        </is>
      </c>
      <c r="B209" s="27" t="inlineStr">
        <is>
          <t>InventoryService</t>
        </is>
      </c>
      <c r="C209" s="27" t="inlineStr">
        <is>
          <t>GetInventoryByWarehouseAsync()</t>
        </is>
      </c>
      <c r="D209" s="27" t="inlineStr">
        <is>
          <t>FT-12 AC-04; FT-09 AC-01</t>
        </is>
      </c>
      <c r="E209" s="34" t="inlineStr">
        <is>
          <t>P2</t>
        </is>
      </c>
      <c r="F209" s="27" t="inlineStr">
        <is>
          <t>No</t>
        </is>
      </c>
      <c r="G209" s="30">
        <f>InventoryService!J6</f>
        <v/>
      </c>
      <c r="H209" s="30">
        <f>InventoryService!K6</f>
        <v/>
      </c>
      <c r="I209" s="54">
        <f>InventoryService!M6</f>
        <v/>
      </c>
    </row>
    <row r="210" ht="15.75" customHeight="1">
      <c r="A210" s="31" t="inlineStr">
        <is>
          <t>L1-INV-02</t>
        </is>
      </c>
      <c r="B210" s="32" t="inlineStr">
        <is>
          <t>InventoryService</t>
        </is>
      </c>
      <c r="C210" s="32" t="inlineStr">
        <is>
          <t>AdjustInventoryAsync()</t>
        </is>
      </c>
      <c r="D210" s="32" t="inlineStr">
        <is>
          <t>FT-12 AC-02; AC-03; BR-044; BR-022</t>
        </is>
      </c>
      <c r="E210" s="28" t="inlineStr">
        <is>
          <t>P1</t>
        </is>
      </c>
      <c r="F210" s="32" t="inlineStr">
        <is>
          <t>No</t>
        </is>
      </c>
      <c r="G210" s="33">
        <f>InventoryService!J8</f>
        <v/>
      </c>
      <c r="H210" s="33">
        <f>InventoryService!K8</f>
        <v/>
      </c>
      <c r="I210" s="54">
        <f>InventoryService!M8</f>
        <v/>
      </c>
    </row>
    <row r="211" ht="15.75" customHeight="1">
      <c r="A211" s="26" t="inlineStr">
        <is>
          <t>L1-INV-03</t>
        </is>
      </c>
      <c r="B211" s="27" t="inlineStr">
        <is>
          <t>InventoryService</t>
        </is>
      </c>
      <c r="C211" s="27" t="inlineStr">
        <is>
          <t>AdjustInventoryAsync()</t>
        </is>
      </c>
      <c r="D211" s="27" t="inlineStr">
        <is>
          <t>FT-12 NAC-03; BV-01; BR-032</t>
        </is>
      </c>
      <c r="E211" s="28" t="inlineStr">
        <is>
          <t>P1</t>
        </is>
      </c>
      <c r="F211" s="29" t="inlineStr">
        <is>
          <t>Yes</t>
        </is>
      </c>
      <c r="G211" s="30">
        <f>InventoryService!J9</f>
        <v/>
      </c>
      <c r="H211" s="30">
        <f>InventoryService!K9</f>
        <v/>
      </c>
      <c r="I211" s="54">
        <f>InventoryService!M9</f>
        <v/>
      </c>
    </row>
    <row r="212" ht="15.75" customHeight="1">
      <c r="A212" s="31" t="inlineStr">
        <is>
          <t>L1-INV-04</t>
        </is>
      </c>
      <c r="B212" s="32" t="inlineStr">
        <is>
          <t>InventoryService</t>
        </is>
      </c>
      <c r="C212" s="32" t="inlineStr">
        <is>
          <t>AddProductToWarehouseAsync()</t>
        </is>
      </c>
      <c r="D212" s="32" t="inlineStr">
        <is>
          <t>FT-12 AC-01</t>
        </is>
      </c>
      <c r="E212" s="36" t="inlineStr">
        <is>
          <t>P2</t>
        </is>
      </c>
      <c r="F212" s="32" t="inlineStr">
        <is>
          <t>No</t>
        </is>
      </c>
      <c r="G212" s="33">
        <f>InventoryService!J11</f>
        <v/>
      </c>
      <c r="H212" s="33">
        <f>InventoryService!K11</f>
        <v/>
      </c>
      <c r="I212" s="54">
        <f>InventoryService!M11</f>
        <v/>
      </c>
    </row>
    <row r="213" ht="15.75" customHeight="1">
      <c r="A213" s="26" t="inlineStr">
        <is>
          <t>L1-INV-05</t>
        </is>
      </c>
      <c r="B213" s="27" t="inlineStr">
        <is>
          <t>InventoryService</t>
        </is>
      </c>
      <c r="C213" s="27" t="inlineStr">
        <is>
          <t>AddProductToWarehouseAsync()</t>
        </is>
      </c>
      <c r="D213" s="27" t="inlineStr">
        <is>
          <t>FT-12 NAC-01</t>
        </is>
      </c>
      <c r="E213" s="34" t="inlineStr">
        <is>
          <t>P2</t>
        </is>
      </c>
      <c r="F213" s="29" t="inlineStr">
        <is>
          <t>Yes</t>
        </is>
      </c>
      <c r="G213" s="30">
        <f>InventoryService!J12</f>
        <v/>
      </c>
      <c r="H213" s="30">
        <f>InventoryService!K12</f>
        <v/>
      </c>
      <c r="I213" s="54">
        <f>InventoryService!M12</f>
        <v/>
      </c>
    </row>
    <row r="214" ht="15.75" customHeight="1">
      <c r="A214" s="31" t="inlineStr">
        <is>
          <t>L1-GI-01</t>
        </is>
      </c>
      <c r="B214" s="32" t="inlineStr">
        <is>
          <t>GoodsIssueService</t>
        </is>
      </c>
      <c r="C214" s="32" t="inlineStr">
        <is>
          <t>CreateGoodsIssueAsync() / UploadProofAsync()</t>
        </is>
      </c>
      <c r="D214" s="32" t="inlineStr">
        <is>
          <t>FT-05 AC-04</t>
        </is>
      </c>
      <c r="E214" s="36" t="inlineStr">
        <is>
          <t>P2</t>
        </is>
      </c>
      <c r="F214" s="32" t="inlineStr">
        <is>
          <t>No</t>
        </is>
      </c>
      <c r="G214" s="33">
        <f>GoodsIssueService!J6</f>
        <v/>
      </c>
      <c r="H214" s="33">
        <f>GoodsIssueService!K6</f>
        <v/>
      </c>
      <c r="I214" s="54">
        <f>GoodsIssueService!M6</f>
        <v/>
      </c>
    </row>
    <row r="215" ht="15.75" customHeight="1">
      <c r="A215" s="26" t="inlineStr">
        <is>
          <t>L1-GI-02</t>
        </is>
      </c>
      <c r="B215" s="27" t="inlineStr">
        <is>
          <t>GoodsIssueService</t>
        </is>
      </c>
      <c r="C215" s="27" t="inlineStr">
        <is>
          <t>CreateGoodsIssueAsync() / UploadProofAsync()</t>
        </is>
      </c>
      <c r="D215" s="27" t="inlineStr">
        <is>
          <t>FT-05 AC-04; NFR-SEC07</t>
        </is>
      </c>
      <c r="E215" s="34" t="inlineStr">
        <is>
          <t>P3</t>
        </is>
      </c>
      <c r="F215" s="27" t="inlineStr">
        <is>
          <t>No</t>
        </is>
      </c>
      <c r="G215" s="30">
        <f>GoodsIssueService!J7</f>
        <v/>
      </c>
      <c r="H215" s="30">
        <f>GoodsIssueService!K7</f>
        <v/>
      </c>
      <c r="I215" s="54">
        <f>GoodsIssueService!M7</f>
        <v/>
      </c>
    </row>
    <row r="216" ht="15.75" customHeight="1">
      <c r="A216" s="31" t="inlineStr">
        <is>
          <t>L1-GI-03</t>
        </is>
      </c>
      <c r="B216" s="32" t="inlineStr">
        <is>
          <t>GoodsIssueService</t>
        </is>
      </c>
      <c r="C216" s="32" t="inlineStr">
        <is>
          <t>PostGoodsIssueAsync()</t>
        </is>
      </c>
      <c r="D216" s="32" t="inlineStr">
        <is>
          <t>FT-05 AC-05; BV-02; BR-032</t>
        </is>
      </c>
      <c r="E216" s="28" t="inlineStr">
        <is>
          <t>P1</t>
        </is>
      </c>
      <c r="F216" s="32" t="inlineStr">
        <is>
          <t>No</t>
        </is>
      </c>
      <c r="G216" s="33">
        <f>GoodsIssueService!J9</f>
        <v/>
      </c>
      <c r="H216" s="33">
        <f>GoodsIssueService!K9</f>
        <v/>
      </c>
      <c r="I216" s="54">
        <f>GoodsIssueService!M9</f>
        <v/>
      </c>
    </row>
    <row r="217" ht="15.75" customHeight="1">
      <c r="A217" s="26" t="inlineStr">
        <is>
          <t>L1-GI-04</t>
        </is>
      </c>
      <c r="B217" s="27" t="inlineStr">
        <is>
          <t>GoodsIssueService</t>
        </is>
      </c>
      <c r="C217" s="27" t="inlineStr">
        <is>
          <t>PostGoodsIssueAsync()</t>
        </is>
      </c>
      <c r="D217" s="27" t="inlineStr">
        <is>
          <t>FT-05 NAC-05; BR-021; BR-029</t>
        </is>
      </c>
      <c r="E217" s="28" t="inlineStr">
        <is>
          <t>P1</t>
        </is>
      </c>
      <c r="F217" s="29" t="inlineStr">
        <is>
          <t>Yes</t>
        </is>
      </c>
      <c r="G217" s="30">
        <f>GoodsIssueService!J10</f>
        <v/>
      </c>
      <c r="H217" s="30">
        <f>GoodsIssueService!K10</f>
        <v/>
      </c>
      <c r="I217" s="54">
        <f>GoodsIssueService!M10</f>
        <v/>
      </c>
    </row>
    <row r="218" ht="15.75" customHeight="1">
      <c r="A218" s="31" t="inlineStr">
        <is>
          <t>L1-GI-05</t>
        </is>
      </c>
      <c r="B218" s="32" t="inlineStr">
        <is>
          <t>GoodsIssueService</t>
        </is>
      </c>
      <c r="C218" s="32" t="inlineStr">
        <is>
          <t>Bàn giao &amp; phiếu đảo</t>
        </is>
      </c>
      <c r="D218" s="32" t="inlineStr">
        <is>
          <t>FT-05 AC-05; BR-034</t>
        </is>
      </c>
      <c r="E218" s="28" t="inlineStr">
        <is>
          <t>P1</t>
        </is>
      </c>
      <c r="F218" s="32" t="inlineStr">
        <is>
          <t>No</t>
        </is>
      </c>
      <c r="G218" s="33">
        <f>GoodsIssueService!J12</f>
        <v/>
      </c>
      <c r="H218" s="33">
        <f>GoodsIssueService!K12</f>
        <v/>
      </c>
      <c r="I218" s="54">
        <f>GoodsIssueService!M12</f>
        <v/>
      </c>
    </row>
    <row r="219" ht="15.75" customHeight="1">
      <c r="A219" s="26" t="inlineStr">
        <is>
          <t>L1-GI-06</t>
        </is>
      </c>
      <c r="B219" s="27" t="inlineStr">
        <is>
          <t>GoodsIssueService</t>
        </is>
      </c>
      <c r="C219" s="27" t="inlineStr">
        <is>
          <t>Bàn giao &amp; phiếu đảo</t>
        </is>
      </c>
      <c r="D219" s="27" t="inlineStr">
        <is>
          <t>FT-05 NAC-05; BR-021</t>
        </is>
      </c>
      <c r="E219" s="28" t="inlineStr">
        <is>
          <t>P1</t>
        </is>
      </c>
      <c r="F219" s="29" t="inlineStr">
        <is>
          <t>Yes</t>
        </is>
      </c>
      <c r="G219" s="30">
        <f>GoodsIssueService!J13</f>
        <v/>
      </c>
      <c r="H219" s="30">
        <f>GoodsIssueService!K13</f>
        <v/>
      </c>
      <c r="I219" s="54">
        <f>GoodsIssueService!M13</f>
        <v/>
      </c>
    </row>
    <row r="220" ht="15.75" customHeight="1">
      <c r="A220" s="31" t="inlineStr">
        <is>
          <t>L1-GI-07</t>
        </is>
      </c>
      <c r="B220" s="32" t="inlineStr">
        <is>
          <t>GoodsIssueService</t>
        </is>
      </c>
      <c r="C220" s="32" t="inlineStr">
        <is>
          <t>Bàn giao &amp; phiếu đảo</t>
        </is>
      </c>
      <c r="D220" s="32" t="inlineStr">
        <is>
          <t>FT-05 NAC-05; BR-021</t>
        </is>
      </c>
      <c r="E220" s="28" t="inlineStr">
        <is>
          <t>P1</t>
        </is>
      </c>
      <c r="F220" s="32" t="inlineStr">
        <is>
          <t>No</t>
        </is>
      </c>
      <c r="G220" s="33">
        <f>GoodsIssueService!J14</f>
        <v/>
      </c>
      <c r="H220" s="33">
        <f>GoodsIssueService!K14</f>
        <v/>
      </c>
      <c r="I220" s="54">
        <f>GoodsIssueService!M14</f>
        <v/>
      </c>
    </row>
    <row r="221" ht="15.75" customHeight="1">
      <c r="A221" s="26" t="inlineStr">
        <is>
          <t>L1-GI-08</t>
        </is>
      </c>
      <c r="B221" s="27" t="inlineStr">
        <is>
          <t>GoodsIssueService</t>
        </is>
      </c>
      <c r="C221" s="27" t="inlineStr">
        <is>
          <t>Bàn giao &amp; phiếu đảo</t>
        </is>
      </c>
      <c r="D221" s="27" t="inlineStr">
        <is>
          <t>BR-021</t>
        </is>
      </c>
      <c r="E221" s="28" t="inlineStr">
        <is>
          <t>P1</t>
        </is>
      </c>
      <c r="F221" s="29" t="inlineStr">
        <is>
          <t>Yes</t>
        </is>
      </c>
      <c r="G221" s="30">
        <f>GoodsIssueService!J15</f>
        <v/>
      </c>
      <c r="H221" s="30">
        <f>GoodsIssueService!K15</f>
        <v/>
      </c>
      <c r="I221" s="54">
        <f>GoodsIssueService!M15</f>
        <v/>
      </c>
    </row>
    <row r="222" ht="15.75" customHeight="1">
      <c r="A222" s="31" t="inlineStr">
        <is>
          <t>L1-GI-09</t>
        </is>
      </c>
      <c r="B222" s="32" t="inlineStr">
        <is>
          <t>GoodsIssueService</t>
        </is>
      </c>
      <c r="C222" s="32" t="inlineStr">
        <is>
          <t>Bàn giao &amp; phiếu đảo</t>
        </is>
      </c>
      <c r="D222" s="32" t="inlineStr">
        <is>
          <t>BR-029; BR-032</t>
        </is>
      </c>
      <c r="E222" s="28" t="inlineStr">
        <is>
          <t>P1</t>
        </is>
      </c>
      <c r="F222" s="35" t="inlineStr">
        <is>
          <t>Yes</t>
        </is>
      </c>
      <c r="G222" s="33">
        <f>GoodsIssueService!J16</f>
        <v/>
      </c>
      <c r="H222" s="33">
        <f>GoodsIssueService!K16</f>
        <v/>
      </c>
      <c r="I222" s="54">
        <f>GoodsIssueService!M16</f>
        <v/>
      </c>
    </row>
    <row r="223" ht="15.75" customHeight="1">
      <c r="A223" s="26" t="inlineStr">
        <is>
          <t>L1-ST-01</t>
        </is>
      </c>
      <c r="B223" s="27" t="inlineStr">
        <is>
          <t>StockTransferService</t>
        </is>
      </c>
      <c r="C223" s="27" t="inlineStr">
        <is>
          <t>CreateAsync() / DispatchAsync()</t>
        </is>
      </c>
      <c r="D223" s="27" t="inlineStr">
        <is>
          <t>FT-11 AC-01; BV-03</t>
        </is>
      </c>
      <c r="E223" s="34" t="inlineStr">
        <is>
          <t>P2</t>
        </is>
      </c>
      <c r="F223" s="27" t="inlineStr">
        <is>
          <t>No</t>
        </is>
      </c>
      <c r="G223" s="30">
        <f>StockTransferService!J6</f>
        <v/>
      </c>
      <c r="H223" s="30">
        <f>StockTransferService!K6</f>
        <v/>
      </c>
      <c r="I223" s="54">
        <f>StockTransferService!M6</f>
        <v/>
      </c>
    </row>
    <row r="224" ht="15.75" customHeight="1">
      <c r="A224" s="31" t="inlineStr">
        <is>
          <t>L1-ST-02</t>
        </is>
      </c>
      <c r="B224" s="32" t="inlineStr">
        <is>
          <t>StockTransferService</t>
        </is>
      </c>
      <c r="C224" s="32" t="inlineStr">
        <is>
          <t>CreateAsync() / DispatchAsync()</t>
        </is>
      </c>
      <c r="D224" s="32" t="inlineStr">
        <is>
          <t>FT-11 NAC-01; BV-03</t>
        </is>
      </c>
      <c r="E224" s="36" t="inlineStr">
        <is>
          <t>P2</t>
        </is>
      </c>
      <c r="F224" s="35" t="inlineStr">
        <is>
          <t>Yes</t>
        </is>
      </c>
      <c r="G224" s="33">
        <f>StockTransferService!J7</f>
        <v/>
      </c>
      <c r="H224" s="33">
        <f>StockTransferService!K7</f>
        <v/>
      </c>
      <c r="I224" s="54">
        <f>StockTransferService!M7</f>
        <v/>
      </c>
    </row>
    <row r="225" ht="15.75" customHeight="1">
      <c r="A225" s="26" t="inlineStr">
        <is>
          <t>L1-ST-03</t>
        </is>
      </c>
      <c r="B225" s="27" t="inlineStr">
        <is>
          <t>StockTransferService</t>
        </is>
      </c>
      <c r="C225" s="27" t="inlineStr">
        <is>
          <t>CreateAsync() / DispatchAsync()</t>
        </is>
      </c>
      <c r="D225" s="27" t="inlineStr">
        <is>
          <t>FT-11 AC-01; BV-01; BR-035</t>
        </is>
      </c>
      <c r="E225" s="28" t="inlineStr">
        <is>
          <t>P1</t>
        </is>
      </c>
      <c r="F225" s="27" t="inlineStr">
        <is>
          <t>No</t>
        </is>
      </c>
      <c r="G225" s="30">
        <f>StockTransferService!J8</f>
        <v/>
      </c>
      <c r="H225" s="30">
        <f>StockTransferService!K8</f>
        <v/>
      </c>
      <c r="I225" s="54">
        <f>StockTransferService!M8</f>
        <v/>
      </c>
    </row>
    <row r="226" ht="15.75" customHeight="1">
      <c r="A226" s="31" t="inlineStr">
        <is>
          <t>L1-ST-04</t>
        </is>
      </c>
      <c r="B226" s="32" t="inlineStr">
        <is>
          <t>StockTransferService</t>
        </is>
      </c>
      <c r="C226" s="32" t="inlineStr">
        <is>
          <t>CreateAsync() / DispatchAsync()</t>
        </is>
      </c>
      <c r="D226" s="32" t="inlineStr">
        <is>
          <t>FT-11 NAC-04; BR-021; BR-035</t>
        </is>
      </c>
      <c r="E226" s="28" t="inlineStr">
        <is>
          <t>P1</t>
        </is>
      </c>
      <c r="F226" s="35" t="inlineStr">
        <is>
          <t>Yes</t>
        </is>
      </c>
      <c r="G226" s="33">
        <f>StockTransferService!J9</f>
        <v/>
      </c>
      <c r="H226" s="33">
        <f>StockTransferService!K9</f>
        <v/>
      </c>
      <c r="I226" s="54">
        <f>StockTransferService!M9</f>
        <v/>
      </c>
    </row>
    <row r="227" ht="15.75" customHeight="1">
      <c r="A227" s="26" t="inlineStr">
        <is>
          <t>L1-ST-05</t>
        </is>
      </c>
      <c r="B227" s="27" t="inlineStr">
        <is>
          <t>StockTransferService</t>
        </is>
      </c>
      <c r="C227" s="27" t="inlineStr">
        <is>
          <t>ReceiveAsync() / CancelAsync()</t>
        </is>
      </c>
      <c r="D227" s="27" t="inlineStr">
        <is>
          <t>FT-11 AC-02; BV-02; BR-035</t>
        </is>
      </c>
      <c r="E227" s="28" t="inlineStr">
        <is>
          <t>P1</t>
        </is>
      </c>
      <c r="F227" s="27" t="inlineStr">
        <is>
          <t>No</t>
        </is>
      </c>
      <c r="G227" s="30">
        <f>StockTransferService!J11</f>
        <v/>
      </c>
      <c r="H227" s="30">
        <f>StockTransferService!K11</f>
        <v/>
      </c>
      <c r="I227" s="54">
        <f>StockTransferService!M11</f>
        <v/>
      </c>
    </row>
    <row r="228" ht="15.75" customHeight="1">
      <c r="A228" s="31" t="inlineStr">
        <is>
          <t>L1-ST-06</t>
        </is>
      </c>
      <c r="B228" s="32" t="inlineStr">
        <is>
          <t>StockTransferService</t>
        </is>
      </c>
      <c r="C228" s="32" t="inlineStr">
        <is>
          <t>ReceiveAsync() / CancelAsync()</t>
        </is>
      </c>
      <c r="D228" s="32" t="inlineStr">
        <is>
          <t>FT-11 NAC-03; BV-02</t>
        </is>
      </c>
      <c r="E228" s="28" t="inlineStr">
        <is>
          <t>P1</t>
        </is>
      </c>
      <c r="F228" s="35" t="inlineStr">
        <is>
          <t>Yes</t>
        </is>
      </c>
      <c r="G228" s="33">
        <f>StockTransferService!J12</f>
        <v/>
      </c>
      <c r="H228" s="33">
        <f>StockTransferService!K12</f>
        <v/>
      </c>
      <c r="I228" s="54">
        <f>StockTransferService!M12</f>
        <v/>
      </c>
    </row>
    <row r="229" ht="15.75" customHeight="1">
      <c r="A229" s="26" t="inlineStr">
        <is>
          <t>L1-WM-01</t>
        </is>
      </c>
      <c r="B229" s="27" t="inlineStr">
        <is>
          <t>WarehouseManagementService</t>
        </is>
      </c>
      <c r="C229" s="27" t="inlineStr">
        <is>
          <t>CRUD + delete guard</t>
        </is>
      </c>
      <c r="D229" s="27" t="inlineStr">
        <is>
          <t>FT-09 AC-03</t>
        </is>
      </c>
      <c r="E229" s="34" t="inlineStr">
        <is>
          <t>P3</t>
        </is>
      </c>
      <c r="F229" s="27" t="inlineStr">
        <is>
          <t>No</t>
        </is>
      </c>
      <c r="G229" s="30">
        <f>WarehouseManagementService!J6</f>
        <v/>
      </c>
      <c r="H229" s="30">
        <f>WarehouseManagementService!K6</f>
        <v/>
      </c>
      <c r="I229" s="54">
        <f>WarehouseManagementService!M6</f>
        <v/>
      </c>
    </row>
    <row r="230" ht="15.75" customHeight="1">
      <c r="A230" s="31" t="inlineStr">
        <is>
          <t>L1-WM-02</t>
        </is>
      </c>
      <c r="B230" s="32" t="inlineStr">
        <is>
          <t>WarehouseManagementService</t>
        </is>
      </c>
      <c r="C230" s="32" t="inlineStr">
        <is>
          <t>CRUD + delete guard</t>
        </is>
      </c>
      <c r="D230" s="32" t="inlineStr">
        <is>
          <t>FT-09 AC-03; FT-05 NAC-01</t>
        </is>
      </c>
      <c r="E230" s="28" t="inlineStr">
        <is>
          <t>P1</t>
        </is>
      </c>
      <c r="F230" s="35" t="inlineStr">
        <is>
          <t>Yes</t>
        </is>
      </c>
      <c r="G230" s="33">
        <f>WarehouseManagementService!J7</f>
        <v/>
      </c>
      <c r="H230" s="33">
        <f>WarehouseManagementService!K7</f>
        <v/>
      </c>
      <c r="I230" s="54">
        <f>WarehouseManagementService!M7</f>
        <v/>
      </c>
    </row>
    <row r="231" ht="15.75" customHeight="1">
      <c r="A231" s="26" t="inlineStr">
        <is>
          <t>L1-WM-03</t>
        </is>
      </c>
      <c r="B231" s="27" t="inlineStr">
        <is>
          <t>WarehouseManagementService</t>
        </is>
      </c>
      <c r="C231" s="27" t="inlineStr">
        <is>
          <t>CRUD + delete guard</t>
        </is>
      </c>
      <c r="D231" s="27" t="inlineStr">
        <is>
          <t>FT-09 AC-03</t>
        </is>
      </c>
      <c r="E231" s="34" t="inlineStr">
        <is>
          <t>P3</t>
        </is>
      </c>
      <c r="F231" s="29" t="inlineStr">
        <is>
          <t>Yes</t>
        </is>
      </c>
      <c r="G231" s="30">
        <f>WarehouseManagementService!J8</f>
        <v/>
      </c>
      <c r="H231" s="30">
        <f>WarehouseManagementService!K8</f>
        <v/>
      </c>
      <c r="I231" s="54">
        <f>WarehouseManagementService!M8</f>
        <v/>
      </c>
    </row>
    <row r="232" ht="15.75" customHeight="1">
      <c r="A232" s="31" t="inlineStr">
        <is>
          <t>L1-MAT-01</t>
        </is>
      </c>
      <c r="B232" s="32" t="inlineStr">
        <is>
          <t>MaterialService</t>
        </is>
      </c>
      <c r="C232" s="32" t="inlineStr">
        <is>
          <t>CRUD</t>
        </is>
      </c>
      <c r="D232" s="32" t="inlineStr">
        <is>
          <t>FT-12 AC-05; BR-045</t>
        </is>
      </c>
      <c r="E232" s="36" t="inlineStr">
        <is>
          <t>P3</t>
        </is>
      </c>
      <c r="F232" s="32" t="inlineStr">
        <is>
          <t>No</t>
        </is>
      </c>
      <c r="G232" s="33">
        <f>MaterialService!J6</f>
        <v/>
      </c>
      <c r="H232" s="33">
        <f>MaterialService!K6</f>
        <v/>
      </c>
      <c r="I232" s="54">
        <f>MaterialService!M6</f>
        <v/>
      </c>
    </row>
    <row r="233" ht="15.75" customHeight="1">
      <c r="A233" s="26" t="inlineStr">
        <is>
          <t>L1-MAT-02</t>
        </is>
      </c>
      <c r="B233" s="27" t="inlineStr">
        <is>
          <t>MaterialService</t>
        </is>
      </c>
      <c r="C233" s="27" t="inlineStr">
        <is>
          <t>CRUD</t>
        </is>
      </c>
      <c r="D233" s="27" t="inlineStr">
        <is>
          <t>FT-12 AC-05</t>
        </is>
      </c>
      <c r="E233" s="34" t="inlineStr">
        <is>
          <t>P3</t>
        </is>
      </c>
      <c r="F233" s="27" t="inlineStr">
        <is>
          <t>No</t>
        </is>
      </c>
      <c r="G233" s="30">
        <f>MaterialService!J7</f>
        <v/>
      </c>
      <c r="H233" s="30">
        <f>MaterialService!K7</f>
        <v/>
      </c>
      <c r="I233" s="54">
        <f>MaterialService!M7</f>
        <v/>
      </c>
    </row>
    <row r="234" ht="15.75" customHeight="1">
      <c r="A234" s="31" t="inlineStr">
        <is>
          <t>L1-MAT-03</t>
        </is>
      </c>
      <c r="B234" s="32" t="inlineStr">
        <is>
          <t>MaterialService</t>
        </is>
      </c>
      <c r="C234" s="32" t="inlineStr">
        <is>
          <t>CRUD</t>
        </is>
      </c>
      <c r="D234" s="32" t="inlineStr">
        <is>
          <t>FT-12 AC-05</t>
        </is>
      </c>
      <c r="E234" s="36" t="inlineStr">
        <is>
          <t>P3</t>
        </is>
      </c>
      <c r="F234" s="35" t="inlineStr">
        <is>
          <t>Yes</t>
        </is>
      </c>
      <c r="G234" s="33">
        <f>MaterialService!J8</f>
        <v/>
      </c>
      <c r="H234" s="33">
        <f>MaterialService!K8</f>
        <v/>
      </c>
      <c r="I234" s="54">
        <f>MaterialService!M8</f>
        <v/>
      </c>
    </row>
    <row r="235" ht="15.75" customHeight="1">
      <c r="A235" s="26" t="inlineStr">
        <is>
          <t>L1-SCR-01</t>
        </is>
      </c>
      <c r="B235" s="27" t="inlineStr">
        <is>
          <t>SalesChangeRequestService</t>
        </is>
      </c>
      <c r="C235" s="27" t="inlineStr">
        <is>
          <t>CreateAsync() / CancelAsync()</t>
        </is>
      </c>
      <c r="D235" s="27" t="inlineStr">
        <is>
          <t>FT-04 AC-04; BV-03</t>
        </is>
      </c>
      <c r="E235" s="34" t="inlineStr">
        <is>
          <t>P2</t>
        </is>
      </c>
      <c r="F235" s="27" t="inlineStr">
        <is>
          <t>No</t>
        </is>
      </c>
      <c r="G235" s="30">
        <f>SalesChangeRequestService!J6</f>
        <v/>
      </c>
      <c r="H235" s="30">
        <f>SalesChangeRequestService!K6</f>
        <v/>
      </c>
      <c r="I235" s="54">
        <f>SalesChangeRequestService!M6</f>
        <v/>
      </c>
    </row>
    <row r="236" ht="15.75" customHeight="1">
      <c r="A236" s="31" t="inlineStr">
        <is>
          <t>L1-SCR-02</t>
        </is>
      </c>
      <c r="B236" s="32" t="inlineStr">
        <is>
          <t>SalesChangeRequestService</t>
        </is>
      </c>
      <c r="C236" s="32" t="inlineStr">
        <is>
          <t>CreateAsync() / CancelAsync()</t>
        </is>
      </c>
      <c r="D236" s="32" t="inlineStr">
        <is>
          <t>FT-04 BV-03</t>
        </is>
      </c>
      <c r="E236" s="36" t="inlineStr">
        <is>
          <t>P2</t>
        </is>
      </c>
      <c r="F236" s="35" t="inlineStr">
        <is>
          <t>Yes</t>
        </is>
      </c>
      <c r="G236" s="33">
        <f>SalesChangeRequestService!J7</f>
        <v/>
      </c>
      <c r="H236" s="33">
        <f>SalesChangeRequestService!K7</f>
        <v/>
      </c>
      <c r="I236" s="54">
        <f>SalesChangeRequestService!M7</f>
        <v/>
      </c>
    </row>
    <row r="237" ht="15.75" customHeight="1">
      <c r="A237" s="26" t="inlineStr">
        <is>
          <t>L1-SCR-03</t>
        </is>
      </c>
      <c r="B237" s="27" t="inlineStr">
        <is>
          <t>SalesChangeRequestService</t>
        </is>
      </c>
      <c r="C237" s="27" t="inlineStr">
        <is>
          <t>CreateAsync() / CancelAsync()</t>
        </is>
      </c>
      <c r="D237" s="27" t="inlineStr">
        <is>
          <t>FT-04 NAC-04; NFR-SEC03</t>
        </is>
      </c>
      <c r="E237" s="28" t="inlineStr">
        <is>
          <t>P1</t>
        </is>
      </c>
      <c r="F237" s="29" t="inlineStr">
        <is>
          <t>Yes</t>
        </is>
      </c>
      <c r="G237" s="30">
        <f>SalesChangeRequestService!J8</f>
        <v/>
      </c>
      <c r="H237" s="30">
        <f>SalesChangeRequestService!K8</f>
        <v/>
      </c>
      <c r="I237" s="54">
        <f>SalesChangeRequestService!M8</f>
        <v/>
      </c>
    </row>
    <row r="238" ht="15.75" customHeight="1">
      <c r="A238" s="31" t="inlineStr">
        <is>
          <t>L1-SCR-04</t>
        </is>
      </c>
      <c r="B238" s="32" t="inlineStr">
        <is>
          <t>SalesChangeRequestService</t>
        </is>
      </c>
      <c r="C238" s="32" t="inlineStr">
        <is>
          <t>Review workflow: RequestExplanation / SubmitExplanation / Approve / Reject</t>
        </is>
      </c>
      <c r="D238" s="32" t="inlineStr">
        <is>
          <t>FT-04 AC-04</t>
        </is>
      </c>
      <c r="E238" s="36" t="inlineStr">
        <is>
          <t>P2</t>
        </is>
      </c>
      <c r="F238" s="32" t="inlineStr">
        <is>
          <t>No</t>
        </is>
      </c>
      <c r="G238" s="33">
        <f>SalesChangeRequestService!J10</f>
        <v/>
      </c>
      <c r="H238" s="33">
        <f>SalesChangeRequestService!K10</f>
        <v/>
      </c>
      <c r="I238" s="54">
        <f>SalesChangeRequestService!M10</f>
        <v/>
      </c>
    </row>
    <row r="239" ht="15.75" customHeight="1">
      <c r="A239" s="26" t="inlineStr">
        <is>
          <t>L1-SCR-05</t>
        </is>
      </c>
      <c r="B239" s="27" t="inlineStr">
        <is>
          <t>SalesChangeRequestService</t>
        </is>
      </c>
      <c r="C239" s="27" t="inlineStr">
        <is>
          <t>Review workflow: RequestExplanation / SubmitExplanation / Approve / Reject</t>
        </is>
      </c>
      <c r="D239" s="27" t="inlineStr">
        <is>
          <t>FT-04 AC-04</t>
        </is>
      </c>
      <c r="E239" s="34" t="inlineStr">
        <is>
          <t>P2</t>
        </is>
      </c>
      <c r="F239" s="27" t="inlineStr">
        <is>
          <t>No</t>
        </is>
      </c>
      <c r="G239" s="30">
        <f>SalesChangeRequestService!J11</f>
        <v/>
      </c>
      <c r="H239" s="30">
        <f>SalesChangeRequestService!K11</f>
        <v/>
      </c>
      <c r="I239" s="54">
        <f>SalesChangeRequestService!M11</f>
        <v/>
      </c>
    </row>
    <row r="240" ht="15.75" customHeight="1">
      <c r="A240" s="31" t="inlineStr">
        <is>
          <t>L1-SCR-06</t>
        </is>
      </c>
      <c r="B240" s="32" t="inlineStr">
        <is>
          <t>SalesChangeRequestService</t>
        </is>
      </c>
      <c r="C240" s="32" t="inlineStr">
        <is>
          <t>Review workflow: RequestExplanation / SubmitExplanation / Approve / Reject</t>
        </is>
      </c>
      <c r="D240" s="32" t="inlineStr">
        <is>
          <t>FT-04 AC-04; AC-05; BR-031</t>
        </is>
      </c>
      <c r="E240" s="28" t="inlineStr">
        <is>
          <t>P1</t>
        </is>
      </c>
      <c r="F240" s="32" t="inlineStr">
        <is>
          <t>No</t>
        </is>
      </c>
      <c r="G240" s="33">
        <f>SalesChangeRequestService!J12</f>
        <v/>
      </c>
      <c r="H240" s="33">
        <f>SalesChangeRequestService!K12</f>
        <v/>
      </c>
      <c r="I240" s="54">
        <f>SalesChangeRequestService!M12</f>
        <v/>
      </c>
    </row>
    <row r="241" ht="15.75" customHeight="1">
      <c r="A241" s="26" t="inlineStr">
        <is>
          <t>L1-SCR-07</t>
        </is>
      </c>
      <c r="B241" s="27" t="inlineStr">
        <is>
          <t>SalesChangeRequestService</t>
        </is>
      </c>
      <c r="C241" s="27" t="inlineStr">
        <is>
          <t>Review workflow: RequestExplanation / SubmitExplanation / Approve / Reject</t>
        </is>
      </c>
      <c r="D241" s="27" t="inlineStr">
        <is>
          <t>FT-04 AC-04</t>
        </is>
      </c>
      <c r="E241" s="34" t="inlineStr">
        <is>
          <t>P2</t>
        </is>
      </c>
      <c r="F241" s="27" t="inlineStr">
        <is>
          <t>No</t>
        </is>
      </c>
      <c r="G241" s="30">
        <f>SalesChangeRequestService!J13</f>
        <v/>
      </c>
      <c r="H241" s="30">
        <f>SalesChangeRequestService!K13</f>
        <v/>
      </c>
      <c r="I241" s="54">
        <f>SalesChangeRequestService!M13</f>
        <v/>
      </c>
    </row>
    <row r="242" ht="15.75" customHeight="1">
      <c r="A242" s="31" t="inlineStr">
        <is>
          <t>L1-NOTI-01</t>
        </is>
      </c>
      <c r="B242" s="32" t="inlineStr">
        <is>
          <t>NotificationService</t>
        </is>
      </c>
      <c r="C242" s="32" t="inlineStr">
        <is>
          <t>CreateNotificationAsync() / CreateRoleNotificationAsync()</t>
        </is>
      </c>
      <c r="D242" s="32" t="inlineStr">
        <is>
          <t>FT-09 AC-02</t>
        </is>
      </c>
      <c r="E242" s="36" t="inlineStr">
        <is>
          <t>P2</t>
        </is>
      </c>
      <c r="F242" s="32" t="inlineStr">
        <is>
          <t>No</t>
        </is>
      </c>
      <c r="G242" s="33">
        <f>NotificationService!J6</f>
        <v/>
      </c>
      <c r="H242" s="33">
        <f>NotificationService!K6</f>
        <v/>
      </c>
      <c r="I242" s="54">
        <f>NotificationService!M6</f>
        <v/>
      </c>
    </row>
    <row r="243" ht="15.75" customHeight="1">
      <c r="A243" s="26" t="inlineStr">
        <is>
          <t>L1-NOTI-02</t>
        </is>
      </c>
      <c r="B243" s="27" t="inlineStr">
        <is>
          <t>NotificationService</t>
        </is>
      </c>
      <c r="C243" s="27" t="inlineStr">
        <is>
          <t>CreateNotificationAsync() / CreateRoleNotificationAsync()</t>
        </is>
      </c>
      <c r="D243" s="27" t="inlineStr">
        <is>
          <t>FT-09 AC-02</t>
        </is>
      </c>
      <c r="E243" s="28" t="inlineStr">
        <is>
          <t>P1</t>
        </is>
      </c>
      <c r="F243" s="27" t="inlineStr">
        <is>
          <t>No</t>
        </is>
      </c>
      <c r="G243" s="30">
        <f>NotificationService!J7</f>
        <v/>
      </c>
      <c r="H243" s="30">
        <f>NotificationService!K7</f>
        <v/>
      </c>
      <c r="I243" s="54">
        <f>NotificationService!M7</f>
        <v/>
      </c>
    </row>
    <row r="244" ht="15.75" customHeight="1">
      <c r="A244" s="31" t="inlineStr">
        <is>
          <t>L1-NOTI-03</t>
        </is>
      </c>
      <c r="B244" s="32" t="inlineStr">
        <is>
          <t>NotificationService</t>
        </is>
      </c>
      <c r="C244" s="32" t="inlineStr">
        <is>
          <t>CreateNotificationAsync() / CreateRoleNotificationAsync()</t>
        </is>
      </c>
      <c r="D244" s="32" t="inlineStr">
        <is>
          <t>FT-09 AC-02</t>
        </is>
      </c>
      <c r="E244" s="36" t="inlineStr">
        <is>
          <t>P3</t>
        </is>
      </c>
      <c r="F244" s="35" t="inlineStr">
        <is>
          <t>Yes</t>
        </is>
      </c>
      <c r="G244" s="33">
        <f>NotificationService!J8</f>
        <v/>
      </c>
      <c r="H244" s="33">
        <f>NotificationService!K8</f>
        <v/>
      </c>
      <c r="I244" s="54">
        <f>NotificationService!M8</f>
        <v/>
      </c>
    </row>
    <row r="245" ht="15.75" customHeight="1">
      <c r="A245" s="26" t="inlineStr">
        <is>
          <t>L1-FES-01</t>
        </is>
      </c>
      <c r="B245" s="27" t="inlineStr">
        <is>
          <t>FE-Services</t>
        </is>
      </c>
      <c r="C245" s="27" t="inlineStr">
        <is>
          <t>authService.fetchWithToken()</t>
        </is>
      </c>
      <c r="D245" s="27" t="inlineStr">
        <is>
          <t>NFR-SEC03</t>
        </is>
      </c>
      <c r="E245" s="28" t="inlineStr">
        <is>
          <t>P1</t>
        </is>
      </c>
      <c r="F245" s="27" t="inlineStr">
        <is>
          <t>No</t>
        </is>
      </c>
      <c r="G245" s="30">
        <f>'FE-Services'!J6</f>
        <v/>
      </c>
      <c r="H245" s="30">
        <f>'FE-Services'!K6</f>
        <v/>
      </c>
      <c r="I245" s="54">
        <f>'FE-Services'!M6</f>
        <v/>
      </c>
    </row>
    <row r="246" ht="15.75" customHeight="1">
      <c r="A246" s="31" t="inlineStr">
        <is>
          <t>L1-FES-02</t>
        </is>
      </c>
      <c r="B246" s="32" t="inlineStr">
        <is>
          <t>FE-Services</t>
        </is>
      </c>
      <c r="C246" s="32" t="inlineStr">
        <is>
          <t>authService.fetchWithToken()</t>
        </is>
      </c>
      <c r="D246" s="32" t="inlineStr">
        <is>
          <t>NFR-SEC02</t>
        </is>
      </c>
      <c r="E246" s="28" t="inlineStr">
        <is>
          <t>P1</t>
        </is>
      </c>
      <c r="F246" s="32" t="inlineStr">
        <is>
          <t>No</t>
        </is>
      </c>
      <c r="G246" s="33">
        <f>'FE-Services'!J7</f>
        <v/>
      </c>
      <c r="H246" s="33">
        <f>'FE-Services'!K7</f>
        <v/>
      </c>
      <c r="I246" s="54">
        <f>'FE-Services'!M7</f>
        <v/>
      </c>
    </row>
    <row r="247" ht="15.75" customHeight="1">
      <c r="A247" s="26" t="inlineStr">
        <is>
          <t>L1-FES-03</t>
        </is>
      </c>
      <c r="B247" s="27" t="inlineStr">
        <is>
          <t>FE-Services</t>
        </is>
      </c>
      <c r="C247" s="27" t="inlineStr">
        <is>
          <t>authService.fetchWithToken()</t>
        </is>
      </c>
      <c r="D247" s="27" t="inlineStr">
        <is>
          <t>NFR-SEC02; FT-01 NAC-05</t>
        </is>
      </c>
      <c r="E247" s="28" t="inlineStr">
        <is>
          <t>P1</t>
        </is>
      </c>
      <c r="F247" s="29" t="inlineStr">
        <is>
          <t>Yes</t>
        </is>
      </c>
      <c r="G247" s="30">
        <f>'FE-Services'!J8</f>
        <v/>
      </c>
      <c r="H247" s="30">
        <f>'FE-Services'!K8</f>
        <v/>
      </c>
      <c r="I247" s="54">
        <f>'FE-Services'!M8</f>
        <v/>
      </c>
    </row>
    <row r="248" ht="15.75" customHeight="1">
      <c r="A248" s="31" t="inlineStr">
        <is>
          <t>L1-FES-04</t>
        </is>
      </c>
      <c r="B248" s="32" t="inlineStr">
        <is>
          <t>FE-Services</t>
        </is>
      </c>
      <c r="C248" s="32" t="inlineStr">
        <is>
          <t>cartService / orderService / productService</t>
        </is>
      </c>
      <c r="D248" s="32" t="inlineStr">
        <is>
          <t>FT-01 AC-05</t>
        </is>
      </c>
      <c r="E248" s="36" t="inlineStr">
        <is>
          <t>P2</t>
        </is>
      </c>
      <c r="F248" s="32" t="inlineStr">
        <is>
          <t>No</t>
        </is>
      </c>
      <c r="G248" s="33">
        <f>'FE-Services'!J10</f>
        <v/>
      </c>
      <c r="H248" s="33">
        <f>'FE-Services'!K10</f>
        <v/>
      </c>
      <c r="I248" s="54">
        <f>'FE-Services'!M10</f>
        <v/>
      </c>
    </row>
    <row r="249" ht="15.75" customHeight="1">
      <c r="A249" s="26" t="inlineStr">
        <is>
          <t>L1-FES-05</t>
        </is>
      </c>
      <c r="B249" s="27" t="inlineStr">
        <is>
          <t>FE-Services</t>
        </is>
      </c>
      <c r="C249" s="27" t="inlineStr">
        <is>
          <t>cartService / orderService / productService</t>
        </is>
      </c>
      <c r="D249" s="27" t="inlineStr">
        <is>
          <t>FT-01 AC-05</t>
        </is>
      </c>
      <c r="E249" s="34" t="inlineStr">
        <is>
          <t>P2</t>
        </is>
      </c>
      <c r="F249" s="27" t="inlineStr">
        <is>
          <t>No</t>
        </is>
      </c>
      <c r="G249" s="30">
        <f>'FE-Services'!J11</f>
        <v/>
      </c>
      <c r="H249" s="30">
        <f>'FE-Services'!K11</f>
        <v/>
      </c>
      <c r="I249" s="54">
        <f>'FE-Services'!M11</f>
        <v/>
      </c>
    </row>
    <row r="250" ht="15.75" customHeight="1">
      <c r="A250" s="31" t="inlineStr">
        <is>
          <t>L1-FES-06</t>
        </is>
      </c>
      <c r="B250" s="32" t="inlineStr">
        <is>
          <t>FE-Services</t>
        </is>
      </c>
      <c r="C250" s="32" t="inlineStr">
        <is>
          <t>cartService / orderService / productService</t>
        </is>
      </c>
      <c r="D250" s="32" t="inlineStr">
        <is>
          <t>NFR-U02</t>
        </is>
      </c>
      <c r="E250" s="36" t="inlineStr">
        <is>
          <t>P3</t>
        </is>
      </c>
      <c r="F250" s="32" t="inlineStr">
        <is>
          <t>No</t>
        </is>
      </c>
      <c r="G250" s="33">
        <f>'FE-Services'!J12</f>
        <v/>
      </c>
      <c r="H250" s="33">
        <f>'FE-Services'!K12</f>
        <v/>
      </c>
      <c r="I250" s="54">
        <f>'FE-Services'!M12</f>
        <v/>
      </c>
    </row>
    <row r="251" ht="15.75" customHeight="1">
      <c r="A251" s="26" t="inlineStr">
        <is>
          <t>L1-FES-07</t>
        </is>
      </c>
      <c r="B251" s="27" t="inlineStr">
        <is>
          <t>FE-Services</t>
        </is>
      </c>
      <c r="C251" s="27" t="inlineStr">
        <is>
          <t>Endpoint gửi lại OTP</t>
        </is>
      </c>
      <c r="D251" s="27" t="inlineStr">
        <is>
          <t>FT-01 AC-04</t>
        </is>
      </c>
      <c r="E251" s="34" t="inlineStr">
        <is>
          <t>P2</t>
        </is>
      </c>
      <c r="F251" s="27" t="inlineStr">
        <is>
          <t>No</t>
        </is>
      </c>
      <c r="G251" s="30">
        <f>'FE-Services'!J17</f>
        <v/>
      </c>
      <c r="H251" s="30">
        <f>'FE-Services'!K17</f>
        <v/>
      </c>
      <c r="I251" s="54">
        <f>'FE-Services'!M17</f>
        <v/>
      </c>
    </row>
    <row r="252" ht="15.75" customHeight="1">
      <c r="A252" s="31" t="inlineStr">
        <is>
          <t>L1-FES-08</t>
        </is>
      </c>
      <c r="B252" s="32" t="inlineStr">
        <is>
          <t>FE-Services</t>
        </is>
      </c>
      <c r="C252" s="32" t="inlineStr">
        <is>
          <t>Endpoint gửi lại OTP</t>
        </is>
      </c>
      <c r="D252" s="32" t="inlineStr">
        <is>
          <t>FT-01 BV-02</t>
        </is>
      </c>
      <c r="E252" s="36" t="inlineStr">
        <is>
          <t>P2</t>
        </is>
      </c>
      <c r="F252" s="35" t="inlineStr">
        <is>
          <t>Yes</t>
        </is>
      </c>
      <c r="G252" s="33">
        <f>'FE-Services'!J18</f>
        <v/>
      </c>
      <c r="H252" s="33">
        <f>'FE-Services'!K18</f>
        <v/>
      </c>
      <c r="I252" s="54">
        <f>'FE-Services'!M18</f>
        <v/>
      </c>
    </row>
    <row r="253" ht="15.75" customHeight="1">
      <c r="A253" s="26" t="inlineStr">
        <is>
          <t>L1-FEC-01</t>
        </is>
      </c>
      <c r="B253" s="27" t="inlineStr">
        <is>
          <t>FE-Contexts</t>
        </is>
      </c>
      <c r="C253" s="27" t="inlineStr">
        <is>
          <t>AuthContext</t>
        </is>
      </c>
      <c r="D253" s="27" t="inlineStr">
        <is>
          <t>NFR-SEC02</t>
        </is>
      </c>
      <c r="E253" s="28" t="inlineStr">
        <is>
          <t>P1</t>
        </is>
      </c>
      <c r="F253" s="27" t="inlineStr">
        <is>
          <t>No</t>
        </is>
      </c>
      <c r="G253" s="30">
        <f>'FE-Contexts'!J6</f>
        <v/>
      </c>
      <c r="H253" s="30">
        <f>'FE-Contexts'!K6</f>
        <v/>
      </c>
      <c r="I253" s="54">
        <f>'FE-Contexts'!M6</f>
        <v/>
      </c>
    </row>
    <row r="254" ht="15.75" customHeight="1">
      <c r="A254" s="31" t="inlineStr">
        <is>
          <t>L1-FEC-02</t>
        </is>
      </c>
      <c r="B254" s="32" t="inlineStr">
        <is>
          <t>FE-Contexts</t>
        </is>
      </c>
      <c r="C254" s="32" t="inlineStr">
        <is>
          <t>AuthContext</t>
        </is>
      </c>
      <c r="D254" s="32" t="inlineStr">
        <is>
          <t>NFR-SEC02</t>
        </is>
      </c>
      <c r="E254" s="28" t="inlineStr">
        <is>
          <t>P1</t>
        </is>
      </c>
      <c r="F254" s="32" t="inlineStr">
        <is>
          <t>No</t>
        </is>
      </c>
      <c r="G254" s="33">
        <f>'FE-Contexts'!J7</f>
        <v/>
      </c>
      <c r="H254" s="33">
        <f>'FE-Contexts'!K7</f>
        <v/>
      </c>
      <c r="I254" s="54">
        <f>'FE-Contexts'!M7</f>
        <v/>
      </c>
    </row>
    <row r="255" ht="15.75" customHeight="1">
      <c r="A255" s="26" t="inlineStr">
        <is>
          <t>L1-FEC-03</t>
        </is>
      </c>
      <c r="B255" s="27" t="inlineStr">
        <is>
          <t>FE-Contexts</t>
        </is>
      </c>
      <c r="C255" s="27" t="inlineStr">
        <is>
          <t>CartContext</t>
        </is>
      </c>
      <c r="D255" s="27" t="inlineStr">
        <is>
          <t>FT-01 AC-05</t>
        </is>
      </c>
      <c r="E255" s="28" t="inlineStr">
        <is>
          <t>P1</t>
        </is>
      </c>
      <c r="F255" s="27" t="inlineStr">
        <is>
          <t>No</t>
        </is>
      </c>
      <c r="G255" s="30">
        <f>'FE-Contexts'!J9</f>
        <v/>
      </c>
      <c r="H255" s="30">
        <f>'FE-Contexts'!K9</f>
        <v/>
      </c>
      <c r="I255" s="54">
        <f>'FE-Contexts'!M9</f>
        <v/>
      </c>
    </row>
    <row r="256" ht="15.75" customHeight="1">
      <c r="A256" s="31" t="inlineStr">
        <is>
          <t>L1-FEC-04</t>
        </is>
      </c>
      <c r="B256" s="32" t="inlineStr">
        <is>
          <t>FE-Contexts</t>
        </is>
      </c>
      <c r="C256" s="32" t="inlineStr">
        <is>
          <t>CartContext</t>
        </is>
      </c>
      <c r="D256" s="32" t="inlineStr">
        <is>
          <t>FT-01 AC-05; NAC-05</t>
        </is>
      </c>
      <c r="E256" s="28" t="inlineStr">
        <is>
          <t>P1</t>
        </is>
      </c>
      <c r="F256" s="32" t="inlineStr">
        <is>
          <t>No</t>
        </is>
      </c>
      <c r="G256" s="33">
        <f>'FE-Contexts'!J10</f>
        <v/>
      </c>
      <c r="H256" s="33">
        <f>'FE-Contexts'!K10</f>
        <v/>
      </c>
      <c r="I256" s="54">
        <f>'FE-Contexts'!M10</f>
        <v/>
      </c>
    </row>
    <row r="257" ht="15.75" customHeight="1">
      <c r="A257" s="26" t="inlineStr">
        <is>
          <t>L1-FEC-05</t>
        </is>
      </c>
      <c r="B257" s="27" t="inlineStr">
        <is>
          <t>FE-Contexts</t>
        </is>
      </c>
      <c r="C257" s="27" t="inlineStr">
        <is>
          <t>ToastContext</t>
        </is>
      </c>
      <c r="D257" s="27" t="inlineStr">
        <is>
          <t>NFR-U03</t>
        </is>
      </c>
      <c r="E257" s="34" t="inlineStr">
        <is>
          <t>P3</t>
        </is>
      </c>
      <c r="F257" s="27" t="inlineStr">
        <is>
          <t>No</t>
        </is>
      </c>
      <c r="G257" s="30">
        <f>'FE-Contexts'!J12</f>
        <v/>
      </c>
      <c r="H257" s="30">
        <f>'FE-Contexts'!K12</f>
        <v/>
      </c>
      <c r="I257" s="54">
        <f>'FE-Contexts'!M12</f>
        <v/>
      </c>
    </row>
    <row r="258" ht="15.75" customHeight="1">
      <c r="A258" s="31" t="inlineStr">
        <is>
          <t>L1-FEC-06</t>
        </is>
      </c>
      <c r="B258" s="32" t="inlineStr">
        <is>
          <t>FE-Contexts</t>
        </is>
      </c>
      <c r="C258" s="32" t="inlineStr">
        <is>
          <t>Gộp giỏ khách vãng lai</t>
        </is>
      </c>
      <c r="D258" s="32" t="inlineStr">
        <is>
          <t>FT-01 AC-05</t>
        </is>
      </c>
      <c r="E258" s="28" t="inlineStr">
        <is>
          <t>P1</t>
        </is>
      </c>
      <c r="F258" s="32" t="inlineStr">
        <is>
          <t>No</t>
        </is>
      </c>
      <c r="G258" s="33">
        <f>'FE-Contexts'!J17</f>
        <v/>
      </c>
      <c r="H258" s="33">
        <f>'FE-Contexts'!K17</f>
        <v/>
      </c>
      <c r="I258" s="54">
        <f>'FE-Contexts'!M17</f>
        <v/>
      </c>
    </row>
    <row r="259" ht="15.75" customHeight="1">
      <c r="A259" s="26" t="inlineStr">
        <is>
          <t>L1-FEC-07</t>
        </is>
      </c>
      <c r="B259" s="27" t="inlineStr">
        <is>
          <t>FE-Contexts</t>
        </is>
      </c>
      <c r="C259" s="27" t="inlineStr">
        <is>
          <t>Gộp giỏ khách vãng lai</t>
        </is>
      </c>
      <c r="D259" s="27" t="inlineStr">
        <is>
          <t>BR-025; FT-02 NAC-01; FT-01 AC-05</t>
        </is>
      </c>
      <c r="E259" s="28" t="inlineStr">
        <is>
          <t>P1</t>
        </is>
      </c>
      <c r="F259" s="29" t="inlineStr">
        <is>
          <t>Yes</t>
        </is>
      </c>
      <c r="G259" s="30">
        <f>'FE-Contexts'!J18</f>
        <v/>
      </c>
      <c r="H259" s="30">
        <f>'FE-Contexts'!K18</f>
        <v/>
      </c>
      <c r="I259" s="54">
        <f>'FE-Contexts'!M18</f>
        <v/>
      </c>
    </row>
    <row r="260" ht="15.75" customHeight="1">
      <c r="A260" s="31" t="inlineStr">
        <is>
          <t>L1-FEC-08</t>
        </is>
      </c>
      <c r="B260" s="32" t="inlineStr">
        <is>
          <t>FE-Contexts</t>
        </is>
      </c>
      <c r="C260" s="32" t="inlineStr">
        <is>
          <t>Gộp giỏ khách vãng lai</t>
        </is>
      </c>
      <c r="D260" s="32" t="inlineStr">
        <is>
          <t>FT-01 AC-05</t>
        </is>
      </c>
      <c r="E260" s="36" t="inlineStr">
        <is>
          <t>P2</t>
        </is>
      </c>
      <c r="F260" s="35" t="inlineStr">
        <is>
          <t>Yes</t>
        </is>
      </c>
      <c r="G260" s="33">
        <f>'FE-Contexts'!J19</f>
        <v/>
      </c>
      <c r="H260" s="33">
        <f>'FE-Contexts'!K19</f>
        <v/>
      </c>
      <c r="I260" s="54">
        <f>'FE-Contexts'!M19</f>
        <v/>
      </c>
    </row>
    <row r="261" ht="15.75" customHeight="1">
      <c r="A261" s="26" t="inlineStr">
        <is>
          <t>L1-FCMP-01</t>
        </is>
      </c>
      <c r="B261" s="27" t="inlineStr">
        <is>
          <t>FE-Components</t>
        </is>
      </c>
      <c r="C261" s="27" t="inlineStr">
        <is>
          <t>ProtectedRoute</t>
        </is>
      </c>
      <c r="D261" s="27" t="inlineStr">
        <is>
          <t>FT-01 NAC-05; NFR-SEC03</t>
        </is>
      </c>
      <c r="E261" s="28" t="inlineStr">
        <is>
          <t>P1</t>
        </is>
      </c>
      <c r="F261" s="29" t="inlineStr">
        <is>
          <t>Yes</t>
        </is>
      </c>
      <c r="G261" s="30">
        <f>'FE-Components'!J6</f>
        <v/>
      </c>
      <c r="H261" s="30">
        <f>'FE-Components'!K6</f>
        <v/>
      </c>
      <c r="I261" s="54">
        <f>'FE-Components'!M6</f>
        <v/>
      </c>
    </row>
    <row r="262" ht="15.75" customHeight="1">
      <c r="A262" s="31" t="inlineStr">
        <is>
          <t>L1-FCMP-02</t>
        </is>
      </c>
      <c r="B262" s="32" t="inlineStr">
        <is>
          <t>FE-Components</t>
        </is>
      </c>
      <c r="C262" s="32" t="inlineStr">
        <is>
          <t>ProtectedRoute</t>
        </is>
      </c>
      <c r="D262" s="32" t="inlineStr">
        <is>
          <t>NFR-SEC03; FT-09 NAC-01</t>
        </is>
      </c>
      <c r="E262" s="28" t="inlineStr">
        <is>
          <t>P1</t>
        </is>
      </c>
      <c r="F262" s="35" t="inlineStr">
        <is>
          <t>Yes</t>
        </is>
      </c>
      <c r="G262" s="33">
        <f>'FE-Components'!J7</f>
        <v/>
      </c>
      <c r="H262" s="33">
        <f>'FE-Components'!K7</f>
        <v/>
      </c>
      <c r="I262" s="54">
        <f>'FE-Components'!M7</f>
        <v/>
      </c>
    </row>
    <row r="263" ht="15.75" customHeight="1">
      <c r="A263" s="26" t="inlineStr">
        <is>
          <t>L1-FCMP-03</t>
        </is>
      </c>
      <c r="B263" s="27" t="inlineStr">
        <is>
          <t>FE-Components</t>
        </is>
      </c>
      <c r="C263" s="27" t="inlineStr">
        <is>
          <t>Cart &amp; Checkout pages</t>
        </is>
      </c>
      <c r="D263" s="27" t="inlineStr">
        <is>
          <t>FT-01 AC-05</t>
        </is>
      </c>
      <c r="E263" s="28" t="inlineStr">
        <is>
          <t>P1</t>
        </is>
      </c>
      <c r="F263" s="29" t="inlineStr">
        <is>
          <t>Yes</t>
        </is>
      </c>
      <c r="G263" s="30">
        <f>'FE-Components'!J9</f>
        <v/>
      </c>
      <c r="H263" s="30">
        <f>'FE-Components'!K9</f>
        <v/>
      </c>
      <c r="I263" s="54">
        <f>'FE-Components'!M9</f>
        <v/>
      </c>
    </row>
    <row r="264" ht="15.75" customHeight="1">
      <c r="A264" s="31" t="inlineStr">
        <is>
          <t>L1-FCMP-04</t>
        </is>
      </c>
      <c r="B264" s="32" t="inlineStr">
        <is>
          <t>FE-Components</t>
        </is>
      </c>
      <c r="C264" s="32" t="inlineStr">
        <is>
          <t>Cart &amp; Checkout pages</t>
        </is>
      </c>
      <c r="D264" s="32" t="inlineStr">
        <is>
          <t>FT-01 NAC-03; BV-01; BR-025</t>
        </is>
      </c>
      <c r="E264" s="28" t="inlineStr">
        <is>
          <t>P1</t>
        </is>
      </c>
      <c r="F264" s="35" t="inlineStr">
        <is>
          <t>Yes</t>
        </is>
      </c>
      <c r="G264" s="33">
        <f>'FE-Components'!J10</f>
        <v/>
      </c>
      <c r="H264" s="33">
        <f>'FE-Components'!K10</f>
        <v/>
      </c>
      <c r="I264" s="54">
        <f>'FE-Components'!M10</f>
        <v/>
      </c>
    </row>
    <row r="265" ht="15.75" customHeight="1">
      <c r="A265" s="26" t="inlineStr">
        <is>
          <t>L1-FCMP-05</t>
        </is>
      </c>
      <c r="B265" s="27" t="inlineStr">
        <is>
          <t>FE-Components</t>
        </is>
      </c>
      <c r="C265" s="27" t="inlineStr">
        <is>
          <t>Cart &amp; Checkout pages</t>
        </is>
      </c>
      <c r="D265" s="27" t="inlineStr">
        <is>
          <t>FT-02 AC-03; BR-026</t>
        </is>
      </c>
      <c r="E265" s="28" t="inlineStr">
        <is>
          <t>P1</t>
        </is>
      </c>
      <c r="F265" s="27" t="inlineStr">
        <is>
          <t>No</t>
        </is>
      </c>
      <c r="G265" s="30">
        <f>'FE-Components'!J11</f>
        <v/>
      </c>
      <c r="H265" s="30">
        <f>'FE-Components'!K11</f>
        <v/>
      </c>
      <c r="I265" s="54">
        <f>'FE-Components'!M11</f>
        <v/>
      </c>
    </row>
    <row r="266" ht="15.75" customHeight="1">
      <c r="A266" s="31" t="inlineStr">
        <is>
          <t>L1-FCMP-06</t>
        </is>
      </c>
      <c r="B266" s="32" t="inlineStr">
        <is>
          <t>FE-Components</t>
        </is>
      </c>
      <c r="C266" s="32" t="inlineStr">
        <is>
          <t>Cart &amp; Checkout pages</t>
        </is>
      </c>
      <c r="D266" s="32" t="inlineStr">
        <is>
          <t>FT-03 BV-01; BR-008</t>
        </is>
      </c>
      <c r="E266" s="28" t="inlineStr">
        <is>
          <t>P1</t>
        </is>
      </c>
      <c r="F266" s="32" t="inlineStr">
        <is>
          <t>No</t>
        </is>
      </c>
      <c r="G266" s="33">
        <f>'FE-Components'!J12</f>
        <v/>
      </c>
      <c r="H266" s="33">
        <f>'FE-Components'!K12</f>
        <v/>
      </c>
      <c r="I266" s="54">
        <f>'FE-Components'!M12</f>
        <v/>
      </c>
    </row>
    <row r="267" ht="15.75" customHeight="1">
      <c r="A267" s="26" t="inlineStr">
        <is>
          <t>L1-FCMP-07</t>
        </is>
      </c>
      <c r="B267" s="27" t="inlineStr">
        <is>
          <t>FE-Components</t>
        </is>
      </c>
      <c r="C267" s="27" t="inlineStr">
        <is>
          <t>Form validation &amp; shared components</t>
        </is>
      </c>
      <c r="D267" s="27" t="inlineStr">
        <is>
          <t>FT-01 NAC-02; BV-02</t>
        </is>
      </c>
      <c r="E267" s="28" t="inlineStr">
        <is>
          <t>P1</t>
        </is>
      </c>
      <c r="F267" s="29" t="inlineStr">
        <is>
          <t>Yes</t>
        </is>
      </c>
      <c r="G267" s="30">
        <f>'FE-Components'!J14</f>
        <v/>
      </c>
      <c r="H267" s="30">
        <f>'FE-Components'!K14</f>
        <v/>
      </c>
      <c r="I267" s="54">
        <f>'FE-Components'!M14</f>
        <v/>
      </c>
    </row>
    <row r="268" ht="15.75" customHeight="1">
      <c r="A268" s="31" t="inlineStr">
        <is>
          <t>L1-FCMP-08</t>
        </is>
      </c>
      <c r="B268" s="32" t="inlineStr">
        <is>
          <t>FE-Components</t>
        </is>
      </c>
      <c r="C268" s="32" t="inlineStr">
        <is>
          <t>Form validation &amp; shared components</t>
        </is>
      </c>
      <c r="D268" s="32" t="inlineStr">
        <is>
          <t>FT-01 AC-01</t>
        </is>
      </c>
      <c r="E268" s="36" t="inlineStr">
        <is>
          <t>P3</t>
        </is>
      </c>
      <c r="F268" s="32" t="inlineStr">
        <is>
          <t>No</t>
        </is>
      </c>
      <c r="G268" s="33">
        <f>'FE-Components'!J15</f>
        <v/>
      </c>
      <c r="H268" s="33">
        <f>'FE-Components'!K15</f>
        <v/>
      </c>
      <c r="I268" s="54">
        <f>'FE-Components'!M15</f>
        <v/>
      </c>
    </row>
    <row r="269" ht="15.75" customHeight="1">
      <c r="A269" s="26" t="inlineStr">
        <is>
          <t>L1-FCMP-09</t>
        </is>
      </c>
      <c r="B269" s="27" t="inlineStr">
        <is>
          <t>FE-Components</t>
        </is>
      </c>
      <c r="C269" s="27" t="inlineStr">
        <is>
          <t>Form validation &amp; shared components</t>
        </is>
      </c>
      <c r="D269" s="27" t="inlineStr">
        <is>
          <t>FT-01 AC-01; NFR-U02</t>
        </is>
      </c>
      <c r="E269" s="34" t="inlineStr">
        <is>
          <t>P3</t>
        </is>
      </c>
      <c r="F269" s="27" t="inlineStr">
        <is>
          <t>No</t>
        </is>
      </c>
      <c r="G269" s="30">
        <f>'FE-Components'!J16</f>
        <v/>
      </c>
      <c r="H269" s="30">
        <f>'FE-Components'!K16</f>
        <v/>
      </c>
      <c r="I269" s="54">
        <f>'FE-Components'!M16</f>
        <v/>
      </c>
    </row>
    <row r="270" ht="15.75" customHeight="1">
      <c r="A270" s="31" t="inlineStr">
        <is>
          <t>L1-FCMP-10</t>
        </is>
      </c>
      <c r="B270" s="32" t="inlineStr">
        <is>
          <t>FE-Components</t>
        </is>
      </c>
      <c r="C270" s="32" t="inlineStr">
        <is>
          <t>Form validation &amp; shared components</t>
        </is>
      </c>
      <c r="D270" s="32" t="inlineStr">
        <is>
          <t>FT-09 AC-02</t>
        </is>
      </c>
      <c r="E270" s="36" t="inlineStr">
        <is>
          <t>P2</t>
        </is>
      </c>
      <c r="F270" s="32" t="inlineStr">
        <is>
          <t>No</t>
        </is>
      </c>
      <c r="G270" s="33">
        <f>'FE-Components'!J17</f>
        <v/>
      </c>
      <c r="H270" s="33">
        <f>'FE-Components'!K17</f>
        <v/>
      </c>
      <c r="I270" s="54">
        <f>'FE-Components'!M17</f>
        <v/>
      </c>
    </row>
    <row r="271" ht="15.75" customHeight="1">
      <c r="A271" s="26" t="inlineStr">
        <is>
          <t>L1-FCMP-11</t>
        </is>
      </c>
      <c r="B271" s="27" t="inlineStr">
        <is>
          <t>FE-Components</t>
        </is>
      </c>
      <c r="C271" s="27" t="inlineStr">
        <is>
          <t>ProtectedRoute: prop allowGuest + điều hướng theo vai trò</t>
        </is>
      </c>
      <c r="D271" s="27" t="inlineStr">
        <is>
          <t>FT-01 AC-01; NFR-SEC03</t>
        </is>
      </c>
      <c r="E271" s="34" t="inlineStr">
        <is>
          <t>P2</t>
        </is>
      </c>
      <c r="F271" s="27" t="inlineStr">
        <is>
          <t>No</t>
        </is>
      </c>
      <c r="G271" s="30">
        <f>'FE-Components'!J22</f>
        <v/>
      </c>
      <c r="H271" s="30">
        <f>'FE-Components'!K22</f>
        <v/>
      </c>
      <c r="I271" s="54">
        <f>'FE-Components'!M22</f>
        <v/>
      </c>
    </row>
    <row r="272" ht="15.75" customHeight="1">
      <c r="A272" s="31" t="inlineStr">
        <is>
          <t>L1-FCMP-12</t>
        </is>
      </c>
      <c r="B272" s="32" t="inlineStr">
        <is>
          <t>FE-Components</t>
        </is>
      </c>
      <c r="C272" s="32" t="inlineStr">
        <is>
          <t>ProtectedRoute: prop allowGuest + điều hướng theo vai trò</t>
        </is>
      </c>
      <c r="D272" s="32" t="inlineStr">
        <is>
          <t>FT-01 NAC-05; NFR-SEC03</t>
        </is>
      </c>
      <c r="E272" s="28" t="inlineStr">
        <is>
          <t>P1</t>
        </is>
      </c>
      <c r="F272" s="35" t="inlineStr">
        <is>
          <t>Yes</t>
        </is>
      </c>
      <c r="G272" s="33">
        <f>'FE-Components'!J23</f>
        <v/>
      </c>
      <c r="H272" s="33">
        <f>'FE-Components'!K23</f>
        <v/>
      </c>
      <c r="I272" s="54">
        <f>'FE-Components'!M23</f>
        <v/>
      </c>
    </row>
    <row r="273" ht="15.75" customHeight="1">
      <c r="A273" s="26" t="inlineStr">
        <is>
          <t>L1-FCMP-13</t>
        </is>
      </c>
      <c r="B273" s="27" t="inlineStr">
        <is>
          <t>FE-Components</t>
        </is>
      </c>
      <c r="C273" s="27" t="inlineStr">
        <is>
          <t>ProtectedRoute: prop allowGuest + điều hướng theo vai trò</t>
        </is>
      </c>
      <c r="D273" s="27" t="inlineStr">
        <is>
          <t>NFR-SEC03; FT-09 AC-01</t>
        </is>
      </c>
      <c r="E273" s="34" t="inlineStr">
        <is>
          <t>P2</t>
        </is>
      </c>
      <c r="F273" s="27" t="inlineStr">
        <is>
          <t>No</t>
        </is>
      </c>
      <c r="G273" s="30">
        <f>'FE-Components'!J24</f>
        <v/>
      </c>
      <c r="H273" s="30">
        <f>'FE-Components'!K24</f>
        <v/>
      </c>
      <c r="I273" s="54">
        <f>'FE-Components'!M24</f>
        <v/>
      </c>
    </row>
    <row r="274" ht="15.75" customHeight="1">
      <c r="A274" s="31" t="inlineStr">
        <is>
          <t>L1-RES-01</t>
        </is>
      </c>
      <c r="B274" s="32" t="inlineStr">
        <is>
          <t>InventoryReservationService</t>
        </is>
      </c>
      <c r="C274" s="32" t="inlineStr">
        <is>
          <t>ReserveAsync()</t>
        </is>
      </c>
      <c r="D274" s="32" t="inlineStr">
        <is>
          <t>FT-03 AC-01; BR-008</t>
        </is>
      </c>
      <c r="E274" s="28" t="inlineStr">
        <is>
          <t>P1</t>
        </is>
      </c>
      <c r="F274" s="32" t="inlineStr">
        <is>
          <t>No</t>
        </is>
      </c>
      <c r="G274" s="33">
        <f>InventoryReservationService!J6</f>
        <v/>
      </c>
      <c r="H274" s="33">
        <f>InventoryReservationService!K6</f>
        <v/>
      </c>
      <c r="I274" s="54">
        <f>InventoryReservationService!M6</f>
        <v/>
      </c>
    </row>
    <row r="275" ht="15.75" customHeight="1">
      <c r="A275" s="26" t="inlineStr">
        <is>
          <t>L1-RES-02</t>
        </is>
      </c>
      <c r="B275" s="27" t="inlineStr">
        <is>
          <t>InventoryReservationService</t>
        </is>
      </c>
      <c r="C275" s="27" t="inlineStr">
        <is>
          <t>ReserveAsync()</t>
        </is>
      </c>
      <c r="D275" s="27" t="inlineStr">
        <is>
          <t>FT-03 AC-04; BR-008; BV-02</t>
        </is>
      </c>
      <c r="E275" s="28" t="inlineStr">
        <is>
          <t>P1</t>
        </is>
      </c>
      <c r="F275" s="27" t="inlineStr">
        <is>
          <t>No</t>
        </is>
      </c>
      <c r="G275" s="30">
        <f>InventoryReservationService!J7</f>
        <v/>
      </c>
      <c r="H275" s="30">
        <f>InventoryReservationService!K7</f>
        <v/>
      </c>
      <c r="I275" s="54">
        <f>InventoryReservationService!M7</f>
        <v/>
      </c>
    </row>
    <row r="276" ht="15.75" customHeight="1">
      <c r="A276" s="31" t="inlineStr">
        <is>
          <t>L1-RES-03</t>
        </is>
      </c>
      <c r="B276" s="32" t="inlineStr">
        <is>
          <t>InventoryReservationService</t>
        </is>
      </c>
      <c r="C276" s="32" t="inlineStr">
        <is>
          <t>ReserveAsync()</t>
        </is>
      </c>
      <c r="D276" s="32" t="inlineStr">
        <is>
          <t>FT-05 BV-01; BR-032</t>
        </is>
      </c>
      <c r="E276" s="28" t="inlineStr">
        <is>
          <t>P1</t>
        </is>
      </c>
      <c r="F276" s="32" t="inlineStr">
        <is>
          <t>No</t>
        </is>
      </c>
      <c r="G276" s="33">
        <f>InventoryReservationService!J8</f>
        <v/>
      </c>
      <c r="H276" s="33">
        <f>InventoryReservationService!K8</f>
        <v/>
      </c>
      <c r="I276" s="54">
        <f>InventoryReservationService!M8</f>
        <v/>
      </c>
    </row>
    <row r="277" ht="15.75" customHeight="1">
      <c r="A277" s="26" t="inlineStr">
        <is>
          <t>L1-RES-04</t>
        </is>
      </c>
      <c r="B277" s="27" t="inlineStr">
        <is>
          <t>InventoryReservationService</t>
        </is>
      </c>
      <c r="C277" s="27" t="inlineStr">
        <is>
          <t>ReserveAsync()</t>
        </is>
      </c>
      <c r="D277" s="27" t="inlineStr">
        <is>
          <t>FT-05 NAC-01; BV-01; BR-032</t>
        </is>
      </c>
      <c r="E277" s="28" t="inlineStr">
        <is>
          <t>P1</t>
        </is>
      </c>
      <c r="F277" s="29" t="inlineStr">
        <is>
          <t>Yes</t>
        </is>
      </c>
      <c r="G277" s="30">
        <f>InventoryReservationService!J9</f>
        <v/>
      </c>
      <c r="H277" s="30">
        <f>InventoryReservationService!K9</f>
        <v/>
      </c>
      <c r="I277" s="54">
        <f>InventoryReservationService!M9</f>
        <v/>
      </c>
    </row>
    <row r="278" ht="15.75" customHeight="1">
      <c r="A278" s="31" t="inlineStr">
        <is>
          <t>L1-RES-05</t>
        </is>
      </c>
      <c r="B278" s="32" t="inlineStr">
        <is>
          <t>InventoryReservationService</t>
        </is>
      </c>
      <c r="C278" s="32" t="inlineStr">
        <is>
          <t>ReserveAsync()</t>
        </is>
      </c>
      <c r="D278" s="32" t="inlineStr">
        <is>
          <t>FT-05 NAC-01; BR-032</t>
        </is>
      </c>
      <c r="E278" s="28" t="inlineStr">
        <is>
          <t>P1</t>
        </is>
      </c>
      <c r="F278" s="35" t="inlineStr">
        <is>
          <t>Yes</t>
        </is>
      </c>
      <c r="G278" s="33">
        <f>InventoryReservationService!J10</f>
        <v/>
      </c>
      <c r="H278" s="33">
        <f>InventoryReservationService!K10</f>
        <v/>
      </c>
      <c r="I278" s="54">
        <f>InventoryReservationService!M10</f>
        <v/>
      </c>
    </row>
    <row r="279" ht="15.75" customHeight="1">
      <c r="A279" s="26" t="inlineStr">
        <is>
          <t>L1-RES-06</t>
        </is>
      </c>
      <c r="B279" s="27" t="inlineStr">
        <is>
          <t>InventoryReservationService</t>
        </is>
      </c>
      <c r="C279" s="27" t="inlineStr">
        <is>
          <t>ReserveAsync()</t>
        </is>
      </c>
      <c r="D279" s="27" t="inlineStr">
        <is>
          <t>FT-05 NAC-01; NFR-A05; NFR-D01</t>
        </is>
      </c>
      <c r="E279" s="28" t="inlineStr">
        <is>
          <t>P1</t>
        </is>
      </c>
      <c r="F279" s="27" t="inlineStr">
        <is>
          <t>No</t>
        </is>
      </c>
      <c r="G279" s="30">
        <f>InventoryReservationService!J11</f>
        <v/>
      </c>
      <c r="H279" s="30">
        <f>InventoryReservationService!K11</f>
        <v/>
      </c>
      <c r="I279" s="54">
        <f>InventoryReservationService!M11</f>
        <v/>
      </c>
    </row>
    <row r="280" ht="15.75" customHeight="1">
      <c r="A280" s="31" t="inlineStr">
        <is>
          <t>L1-RES-07</t>
        </is>
      </c>
      <c r="B280" s="32" t="inlineStr">
        <is>
          <t>InventoryReservationService</t>
        </is>
      </c>
      <c r="C280" s="32" t="inlineStr">
        <is>
          <t>AllocateAsync() / ReleaseReservedAsync() / ReleaseAllocatedAsync()</t>
        </is>
      </c>
      <c r="D280" s="32" t="inlineStr">
        <is>
          <t>FT-03 AC-02; FT-05 AC-02</t>
        </is>
      </c>
      <c r="E280" s="28" t="inlineStr">
        <is>
          <t>P1</t>
        </is>
      </c>
      <c r="F280" s="32" t="inlineStr">
        <is>
          <t>No</t>
        </is>
      </c>
      <c r="G280" s="33">
        <f>InventoryReservationService!J13</f>
        <v/>
      </c>
      <c r="H280" s="33">
        <f>InventoryReservationService!K13</f>
        <v/>
      </c>
      <c r="I280" s="54">
        <f>InventoryReservationService!M13</f>
        <v/>
      </c>
    </row>
    <row r="281" ht="15.75" customHeight="1">
      <c r="A281" s="26" t="inlineStr">
        <is>
          <t>L1-RES-08</t>
        </is>
      </c>
      <c r="B281" s="27" t="inlineStr">
        <is>
          <t>InventoryReservationService</t>
        </is>
      </c>
      <c r="C281" s="27" t="inlineStr">
        <is>
          <t>AllocateAsync() / ReleaseReservedAsync() / ReleaseAllocatedAsync()</t>
        </is>
      </c>
      <c r="D281" s="27" t="inlineStr">
        <is>
          <t>BR-033; FT-05 AC-02</t>
        </is>
      </c>
      <c r="E281" s="28" t="inlineStr">
        <is>
          <t>P1</t>
        </is>
      </c>
      <c r="F281" s="27" t="inlineStr">
        <is>
          <t>No</t>
        </is>
      </c>
      <c r="G281" s="30">
        <f>InventoryReservationService!J14</f>
        <v/>
      </c>
      <c r="H281" s="30">
        <f>InventoryReservationService!K14</f>
        <v/>
      </c>
      <c r="I281" s="54">
        <f>InventoryReservationService!M14</f>
        <v/>
      </c>
    </row>
    <row r="282" ht="15.75" customHeight="1">
      <c r="A282" s="31" t="inlineStr">
        <is>
          <t>L1-RES-09</t>
        </is>
      </c>
      <c r="B282" s="32" t="inlineStr">
        <is>
          <t>InventoryReservationService</t>
        </is>
      </c>
      <c r="C282" s="32" t="inlineStr">
        <is>
          <t>AllocateAsync() / ReleaseReservedAsync() / ReleaseAllocatedAsync()</t>
        </is>
      </c>
      <c r="D282" s="32" t="inlineStr">
        <is>
          <t>BR-033; FT-03 BV-03</t>
        </is>
      </c>
      <c r="E282" s="28" t="inlineStr">
        <is>
          <t>P1</t>
        </is>
      </c>
      <c r="F282" s="35" t="inlineStr">
        <is>
          <t>Yes</t>
        </is>
      </c>
      <c r="G282" s="33">
        <f>InventoryReservationService!J15</f>
        <v/>
      </c>
      <c r="H282" s="33">
        <f>InventoryReservationService!K15</f>
        <v/>
      </c>
      <c r="I282" s="54">
        <f>InventoryReservationService!M15</f>
        <v/>
      </c>
    </row>
    <row r="283" ht="15.75" customHeight="1">
      <c r="A283" s="26" t="inlineStr">
        <is>
          <t>L1-RES-10</t>
        </is>
      </c>
      <c r="B283" s="27" t="inlineStr">
        <is>
          <t>InventoryReservationService</t>
        </is>
      </c>
      <c r="C283" s="27" t="inlineStr">
        <is>
          <t>AllocateAsync() / ReleaseReservedAsync() / ReleaseAllocatedAsync()</t>
        </is>
      </c>
      <c r="D283" s="27" t="inlineStr">
        <is>
          <t>FT-08 AC-01; BR-032</t>
        </is>
      </c>
      <c r="E283" s="28" t="inlineStr">
        <is>
          <t>P1</t>
        </is>
      </c>
      <c r="F283" s="27" t="inlineStr">
        <is>
          <t>No</t>
        </is>
      </c>
      <c r="G283" s="30">
        <f>InventoryReservationService!J16</f>
        <v/>
      </c>
      <c r="H283" s="30">
        <f>InventoryReservationService!K16</f>
        <v/>
      </c>
      <c r="I283" s="54">
        <f>InventoryReservationService!M16</f>
        <v/>
      </c>
    </row>
    <row r="284" ht="15.75" customHeight="1">
      <c r="A284" s="31" t="inlineStr">
        <is>
          <t>L1-RES-11</t>
        </is>
      </c>
      <c r="B284" s="32" t="inlineStr">
        <is>
          <t>InventoryReservationService</t>
        </is>
      </c>
      <c r="C284" s="32" t="inlineStr">
        <is>
          <t>DeductOnHandAsync()</t>
        </is>
      </c>
      <c r="D284" s="32" t="inlineStr">
        <is>
          <t>FT-05 AC-05; BR-032</t>
        </is>
      </c>
      <c r="E284" s="28" t="inlineStr">
        <is>
          <t>P1</t>
        </is>
      </c>
      <c r="F284" s="32" t="inlineStr">
        <is>
          <t>No</t>
        </is>
      </c>
      <c r="G284" s="33">
        <f>InventoryReservationService!J18</f>
        <v/>
      </c>
      <c r="H284" s="33">
        <f>InventoryReservationService!K18</f>
        <v/>
      </c>
      <c r="I284" s="54">
        <f>InventoryReservationService!M18</f>
        <v/>
      </c>
    </row>
    <row r="285" ht="15.75" customHeight="1">
      <c r="A285" s="26" t="inlineStr">
        <is>
          <t>L1-RES-12</t>
        </is>
      </c>
      <c r="B285" s="27" t="inlineStr">
        <is>
          <t>InventoryReservationService</t>
        </is>
      </c>
      <c r="C285" s="27" t="inlineStr">
        <is>
          <t>DeductOnHandAsync()</t>
        </is>
      </c>
      <c r="D285" s="27" t="inlineStr">
        <is>
          <t>FT-05 NAC-01; BV-01; BR-032</t>
        </is>
      </c>
      <c r="E285" s="28" t="inlineStr">
        <is>
          <t>P1</t>
        </is>
      </c>
      <c r="F285" s="29" t="inlineStr">
        <is>
          <t>Yes</t>
        </is>
      </c>
      <c r="G285" s="30">
        <f>InventoryReservationService!J19</f>
        <v/>
      </c>
      <c r="H285" s="30">
        <f>InventoryReservationService!K19</f>
        <v/>
      </c>
      <c r="I285" s="54">
        <f>InventoryReservationService!M19</f>
        <v/>
      </c>
    </row>
    <row r="286" ht="15.75" customHeight="1">
      <c r="A286" s="31" t="inlineStr">
        <is>
          <t>L1-RES-13</t>
        </is>
      </c>
      <c r="B286" s="32" t="inlineStr">
        <is>
          <t>InventoryReservationService</t>
        </is>
      </c>
      <c r="C286" s="32" t="inlineStr">
        <is>
          <t>DeductOnHandAsync()</t>
        </is>
      </c>
      <c r="D286" s="32" t="inlineStr">
        <is>
          <t>BR-029; BR-032</t>
        </is>
      </c>
      <c r="E286" s="28" t="inlineStr">
        <is>
          <t>P1</t>
        </is>
      </c>
      <c r="F286" s="35" t="inlineStr">
        <is>
          <t>Yes</t>
        </is>
      </c>
      <c r="G286" s="33">
        <f>InventoryReservationService!J20</f>
        <v/>
      </c>
      <c r="H286" s="33">
        <f>InventoryReservationService!K20</f>
        <v/>
      </c>
      <c r="I286" s="54">
        <f>InventoryReservationService!M20</f>
        <v/>
      </c>
    </row>
    <row r="287" ht="15.75" customHeight="1">
      <c r="A287" s="26" t="inlineStr">
        <is>
          <t>L1-RES-14</t>
        </is>
      </c>
      <c r="B287" s="27" t="inlineStr">
        <is>
          <t>InventoryReservationService</t>
        </is>
      </c>
      <c r="C287" s="27" t="inlineStr">
        <is>
          <t>Công thức AvailableQuantity</t>
        </is>
      </c>
      <c r="D287" s="27" t="inlineStr">
        <is>
          <t>FT-05 BV-01; BR-032</t>
        </is>
      </c>
      <c r="E287" s="28" t="inlineStr">
        <is>
          <t>P1</t>
        </is>
      </c>
      <c r="F287" s="27" t="inlineStr">
        <is>
          <t>No</t>
        </is>
      </c>
      <c r="G287" s="30">
        <f>InventoryReservationService!J25</f>
        <v/>
      </c>
      <c r="H287" s="30">
        <f>InventoryReservationService!K25</f>
        <v/>
      </c>
      <c r="I287" s="54">
        <f>InventoryReservationService!M25</f>
        <v/>
      </c>
    </row>
    <row r="288" ht="15.75" customHeight="1">
      <c r="A288" s="31" t="inlineStr">
        <is>
          <t>L1-RES-15</t>
        </is>
      </c>
      <c r="B288" s="32" t="inlineStr">
        <is>
          <t>InventoryReservationService</t>
        </is>
      </c>
      <c r="C288" s="32" t="inlineStr">
        <is>
          <t>Công thức AvailableQuantity</t>
        </is>
      </c>
      <c r="D288" s="32" t="inlineStr">
        <is>
          <t>FT-08 AC-05; BR-019; BR-032</t>
        </is>
      </c>
      <c r="E288" s="28" t="inlineStr">
        <is>
          <t>P1</t>
        </is>
      </c>
      <c r="F288" s="32" t="inlineStr">
        <is>
          <t>No</t>
        </is>
      </c>
      <c r="G288" s="33">
        <f>InventoryReservationService!J26</f>
        <v/>
      </c>
      <c r="H288" s="33">
        <f>InventoryReservationService!K26</f>
        <v/>
      </c>
      <c r="I288" s="54">
        <f>InventoryReservationService!M26</f>
        <v/>
      </c>
    </row>
    <row r="289" ht="15.75" customHeight="1">
      <c r="A289" s="26" t="inlineStr">
        <is>
          <t>L1-DT-01</t>
        </is>
      </c>
      <c r="B289" s="27" t="inlineStr">
        <is>
          <t>DiscountTierService</t>
        </is>
      </c>
      <c r="C289" s="27" t="inlineStr">
        <is>
          <t>GetApplicableDiscountPercentAsync()</t>
        </is>
      </c>
      <c r="D289" s="27" t="inlineStr">
        <is>
          <t>FT-02 AC-01; BV-01; BR-006</t>
        </is>
      </c>
      <c r="E289" s="28" t="inlineStr">
        <is>
          <t>P1</t>
        </is>
      </c>
      <c r="F289" s="27" t="inlineStr">
        <is>
          <t>No</t>
        </is>
      </c>
      <c r="G289" s="30">
        <f>DiscountTierService!J6</f>
        <v/>
      </c>
      <c r="H289" s="30">
        <f>DiscountTierService!K6</f>
        <v/>
      </c>
      <c r="I289" s="54">
        <f>DiscountTierService!M6</f>
        <v/>
      </c>
    </row>
    <row r="290" ht="15.75" customHeight="1">
      <c r="A290" s="31" t="inlineStr">
        <is>
          <t>L1-DT-02</t>
        </is>
      </c>
      <c r="B290" s="32" t="inlineStr">
        <is>
          <t>DiscountTierService</t>
        </is>
      </c>
      <c r="C290" s="32" t="inlineStr">
        <is>
          <t>GetApplicableDiscountPercentAsync()</t>
        </is>
      </c>
      <c r="D290" s="32" t="inlineStr">
        <is>
          <t>FT-02 AC-01; BV-01; BR-006</t>
        </is>
      </c>
      <c r="E290" s="28" t="inlineStr">
        <is>
          <t>P1</t>
        </is>
      </c>
      <c r="F290" s="32" t="inlineStr">
        <is>
          <t>No</t>
        </is>
      </c>
      <c r="G290" s="33">
        <f>DiscountTierService!J7</f>
        <v/>
      </c>
      <c r="H290" s="33">
        <f>DiscountTierService!K7</f>
        <v/>
      </c>
      <c r="I290" s="54">
        <f>DiscountTierService!M7</f>
        <v/>
      </c>
    </row>
    <row r="291" ht="15.75" customHeight="1">
      <c r="A291" s="26" t="inlineStr">
        <is>
          <t>L1-DT-03</t>
        </is>
      </c>
      <c r="B291" s="27" t="inlineStr">
        <is>
          <t>DiscountTierService</t>
        </is>
      </c>
      <c r="C291" s="27" t="inlineStr">
        <is>
          <t>GetApplicableDiscountPercentAsync()</t>
        </is>
      </c>
      <c r="D291" s="27" t="inlineStr">
        <is>
          <t>FT-02 BV-01; BR-006</t>
        </is>
      </c>
      <c r="E291" s="28" t="inlineStr">
        <is>
          <t>P1</t>
        </is>
      </c>
      <c r="F291" s="27" t="inlineStr">
        <is>
          <t>No</t>
        </is>
      </c>
      <c r="G291" s="30">
        <f>DiscountTierService!J8</f>
        <v/>
      </c>
      <c r="H291" s="30">
        <f>DiscountTierService!K8</f>
        <v/>
      </c>
      <c r="I291" s="54">
        <f>DiscountTierService!M8</f>
        <v/>
      </c>
    </row>
    <row r="292" ht="15.75" customHeight="1">
      <c r="A292" s="31" t="inlineStr">
        <is>
          <t>L1-DT-04</t>
        </is>
      </c>
      <c r="B292" s="32" t="inlineStr">
        <is>
          <t>DiscountTierService</t>
        </is>
      </c>
      <c r="C292" s="32" t="inlineStr">
        <is>
          <t>GetApplicableDiscountPercentAsync()</t>
        </is>
      </c>
      <c r="D292" s="32" t="inlineStr">
        <is>
          <t>FT-02 AC-01; BV-01; BR-026</t>
        </is>
      </c>
      <c r="E292" s="28" t="inlineStr">
        <is>
          <t>P1</t>
        </is>
      </c>
      <c r="F292" s="32" t="inlineStr">
        <is>
          <t>No</t>
        </is>
      </c>
      <c r="G292" s="33">
        <f>DiscountTierService!J9</f>
        <v/>
      </c>
      <c r="H292" s="33">
        <f>DiscountTierService!K9</f>
        <v/>
      </c>
      <c r="I292" s="54">
        <f>DiscountTierService!M9</f>
        <v/>
      </c>
    </row>
    <row r="293" ht="15.75" customHeight="1">
      <c r="A293" s="26" t="inlineStr">
        <is>
          <t>L1-DT-05</t>
        </is>
      </c>
      <c r="B293" s="27" t="inlineStr">
        <is>
          <t>DiscountTierService</t>
        </is>
      </c>
      <c r="C293" s="27" t="inlineStr">
        <is>
          <t>GetApplicableDiscountPercentAsync()</t>
        </is>
      </c>
      <c r="D293" s="27" t="inlineStr">
        <is>
          <t>FT-02 BV-01</t>
        </is>
      </c>
      <c r="E293" s="34" t="inlineStr">
        <is>
          <t>P2</t>
        </is>
      </c>
      <c r="F293" s="27" t="inlineStr">
        <is>
          <t>No</t>
        </is>
      </c>
      <c r="G293" s="30">
        <f>DiscountTierService!J10</f>
        <v/>
      </c>
      <c r="H293" s="30">
        <f>DiscountTierService!K10</f>
        <v/>
      </c>
      <c r="I293" s="54">
        <f>DiscountTierService!M10</f>
        <v/>
      </c>
    </row>
    <row r="294" ht="15.75" customHeight="1">
      <c r="A294" s="31" t="inlineStr">
        <is>
          <t>L1-DT-06</t>
        </is>
      </c>
      <c r="B294" s="32" t="inlineStr">
        <is>
          <t>DiscountTierService</t>
        </is>
      </c>
      <c r="C294" s="32" t="inlineStr">
        <is>
          <t>GetApplicableDiscountPercentAsync()</t>
        </is>
      </c>
      <c r="D294" s="32" t="inlineStr">
        <is>
          <t>BR-050; FT-09 AC-03</t>
        </is>
      </c>
      <c r="E294" s="28" t="inlineStr">
        <is>
          <t>P1</t>
        </is>
      </c>
      <c r="F294" s="32" t="inlineStr">
        <is>
          <t>No</t>
        </is>
      </c>
      <c r="G294" s="33">
        <f>DiscountTierService!J11</f>
        <v/>
      </c>
      <c r="H294" s="33">
        <f>DiscountTierService!K11</f>
        <v/>
      </c>
      <c r="I294" s="54">
        <f>DiscountTierService!M11</f>
        <v/>
      </c>
    </row>
    <row r="295" ht="15.75" customHeight="1">
      <c r="A295" s="26" t="inlineStr">
        <is>
          <t>L1-DT-07</t>
        </is>
      </c>
      <c r="B295" s="27" t="inlineStr">
        <is>
          <t>DiscountTierService</t>
        </is>
      </c>
      <c r="C295" s="27" t="inlineStr">
        <is>
          <t>CRUD</t>
        </is>
      </c>
      <c r="D295" s="27" t="inlineStr">
        <is>
          <t>BR-006; BR-050</t>
        </is>
      </c>
      <c r="E295" s="28" t="inlineStr">
        <is>
          <t>P1</t>
        </is>
      </c>
      <c r="F295" s="29" t="inlineStr">
        <is>
          <t>Yes</t>
        </is>
      </c>
      <c r="G295" s="30">
        <f>DiscountTierService!J13</f>
        <v/>
      </c>
      <c r="H295" s="30">
        <f>DiscountTierService!K13</f>
        <v/>
      </c>
      <c r="I295" s="54">
        <f>DiscountTierService!M13</f>
        <v/>
      </c>
    </row>
    <row r="296" ht="15.75" customHeight="1">
      <c r="A296" s="31" t="inlineStr">
        <is>
          <t>L1-DT-08</t>
        </is>
      </c>
      <c r="B296" s="32" t="inlineStr">
        <is>
          <t>DiscountTierService</t>
        </is>
      </c>
      <c r="C296" s="32" t="inlineStr">
        <is>
          <t>CRUD</t>
        </is>
      </c>
      <c r="D296" s="32" t="inlineStr">
        <is>
          <t>BR-006</t>
        </is>
      </c>
      <c r="E296" s="36" t="inlineStr">
        <is>
          <t>P2</t>
        </is>
      </c>
      <c r="F296" s="35" t="inlineStr">
        <is>
          <t>Yes</t>
        </is>
      </c>
      <c r="G296" s="33">
        <f>DiscountTierService!J14</f>
        <v/>
      </c>
      <c r="H296" s="33">
        <f>DiscountTierService!K14</f>
        <v/>
      </c>
      <c r="I296" s="54">
        <f>DiscountTierService!M14</f>
        <v/>
      </c>
    </row>
    <row r="297" ht="15.75" customHeight="1">
      <c r="A297" s="26" t="inlineStr">
        <is>
          <t>L1-DT-09</t>
        </is>
      </c>
      <c r="B297" s="27" t="inlineStr">
        <is>
          <t>DiscountTierService</t>
        </is>
      </c>
      <c r="C297" s="27" t="inlineStr">
        <is>
          <t>CRUD</t>
        </is>
      </c>
      <c r="D297" s="27" t="inlineStr">
        <is>
          <t>BR-050; FT-09 NAC-04</t>
        </is>
      </c>
      <c r="E297" s="28" t="inlineStr">
        <is>
          <t>P1</t>
        </is>
      </c>
      <c r="F297" s="27" t="inlineStr">
        <is>
          <t>No</t>
        </is>
      </c>
      <c r="G297" s="30">
        <f>DiscountTierService!J15</f>
        <v/>
      </c>
      <c r="H297" s="30">
        <f>DiscountTierService!K15</f>
        <v/>
      </c>
      <c r="I297" s="54">
        <f>DiscountTierService!M15</f>
        <v/>
      </c>
    </row>
    <row r="298" ht="15.75" customHeight="1">
      <c r="A298" s="31" t="inlineStr">
        <is>
          <t>L1-CFG-01</t>
        </is>
      </c>
      <c r="B298" s="32" t="inlineStr">
        <is>
          <t>SystemConfigService</t>
        </is>
      </c>
      <c r="C298" s="32" t="inlineStr">
        <is>
          <t>GetEffectiveValueAsync()</t>
        </is>
      </c>
      <c r="D298" s="32" t="inlineStr">
        <is>
          <t>FT-09 BV-02; BR-050</t>
        </is>
      </c>
      <c r="E298" s="28" t="inlineStr">
        <is>
          <t>P1</t>
        </is>
      </c>
      <c r="F298" s="32" t="inlineStr">
        <is>
          <t>No</t>
        </is>
      </c>
      <c r="G298" s="33">
        <f>SystemConfigService!J6</f>
        <v/>
      </c>
      <c r="H298" s="33">
        <f>SystemConfigService!K6</f>
        <v/>
      </c>
      <c r="I298" s="54">
        <f>SystemConfigService!M6</f>
        <v/>
      </c>
    </row>
    <row r="299" ht="15.75" customHeight="1">
      <c r="A299" s="26" t="inlineStr">
        <is>
          <t>L1-CFG-02</t>
        </is>
      </c>
      <c r="B299" s="27" t="inlineStr">
        <is>
          <t>SystemConfigService</t>
        </is>
      </c>
      <c r="C299" s="27" t="inlineStr">
        <is>
          <t>GetEffectiveValueAsync()</t>
        </is>
      </c>
      <c r="D299" s="27" t="inlineStr">
        <is>
          <t>FT-09 AC-03</t>
        </is>
      </c>
      <c r="E299" s="34" t="inlineStr">
        <is>
          <t>P2</t>
        </is>
      </c>
      <c r="F299" s="29" t="inlineStr">
        <is>
          <t>Yes</t>
        </is>
      </c>
      <c r="G299" s="30">
        <f>SystemConfigService!J7</f>
        <v/>
      </c>
      <c r="H299" s="30">
        <f>SystemConfigService!K7</f>
        <v/>
      </c>
      <c r="I299" s="54">
        <f>SystemConfigService!M7</f>
        <v/>
      </c>
    </row>
    <row r="300" ht="15.75" customHeight="1">
      <c r="A300" s="31" t="inlineStr">
        <is>
          <t>L1-CFG-03</t>
        </is>
      </c>
      <c r="B300" s="32" t="inlineStr">
        <is>
          <t>SystemConfigService</t>
        </is>
      </c>
      <c r="C300" s="32" t="inlineStr">
        <is>
          <t>SetValueAsync() / GetHistoryAsync()</t>
        </is>
      </c>
      <c r="D300" s="32" t="inlineStr">
        <is>
          <t>FT-09 AC-03; AC-04; BR-050; BR-022</t>
        </is>
      </c>
      <c r="E300" s="28" t="inlineStr">
        <is>
          <t>P1</t>
        </is>
      </c>
      <c r="F300" s="32" t="inlineStr">
        <is>
          <t>No</t>
        </is>
      </c>
      <c r="G300" s="33">
        <f>SystemConfigService!J9</f>
        <v/>
      </c>
      <c r="H300" s="33">
        <f>SystemConfigService!K9</f>
        <v/>
      </c>
      <c r="I300" s="54">
        <f>SystemConfigService!M9</f>
        <v/>
      </c>
    </row>
    <row r="301" ht="15.75" customHeight="1">
      <c r="A301" s="26" t="inlineStr">
        <is>
          <t>L1-CFG-04</t>
        </is>
      </c>
      <c r="B301" s="27" t="inlineStr">
        <is>
          <t>SystemConfigService</t>
        </is>
      </c>
      <c r="C301" s="27" t="inlineStr">
        <is>
          <t>SetValueAsync() / GetHistoryAsync()</t>
        </is>
      </c>
      <c r="D301" s="27" t="inlineStr">
        <is>
          <t>FT-09 NAC-04; BR-050</t>
        </is>
      </c>
      <c r="E301" s="28" t="inlineStr">
        <is>
          <t>P1</t>
        </is>
      </c>
      <c r="F301" s="29" t="inlineStr">
        <is>
          <t>Yes</t>
        </is>
      </c>
      <c r="G301" s="30">
        <f>SystemConfigService!J10</f>
        <v/>
      </c>
      <c r="H301" s="30">
        <f>SystemConfigService!K10</f>
        <v/>
      </c>
      <c r="I301" s="54">
        <f>SystemConfigService!M10</f>
        <v/>
      </c>
    </row>
    <row r="302" ht="15.75" customHeight="1">
      <c r="A302" s="31" t="inlineStr">
        <is>
          <t>L1-CFG-05</t>
        </is>
      </c>
      <c r="B302" s="32" t="inlineStr">
        <is>
          <t>SystemConfigService</t>
        </is>
      </c>
      <c r="C302" s="32" t="inlineStr">
        <is>
          <t>SetValueAsync() / GetHistoryAsync()</t>
        </is>
      </c>
      <c r="D302" s="32" t="inlineStr">
        <is>
          <t>FT-09 AC-04; BR-022</t>
        </is>
      </c>
      <c r="E302" s="28" t="inlineStr">
        <is>
          <t>P1</t>
        </is>
      </c>
      <c r="F302" s="35" t="inlineStr">
        <is>
          <t>Yes</t>
        </is>
      </c>
      <c r="G302" s="33">
        <f>SystemConfigService!J11</f>
        <v/>
      </c>
      <c r="H302" s="33">
        <f>SystemConfigService!K11</f>
        <v/>
      </c>
      <c r="I302" s="54">
        <f>SystemConfigService!M11</f>
        <v/>
      </c>
    </row>
    <row r="303" ht="15.75" customHeight="1">
      <c r="A303" s="26" t="inlineStr">
        <is>
          <t>L1-CFG-06</t>
        </is>
      </c>
      <c r="B303" s="27" t="inlineStr">
        <is>
          <t>SystemConfigService</t>
        </is>
      </c>
      <c r="C303" s="27" t="inlineStr">
        <is>
          <t>SetValueAsync() / GetHistoryAsync()</t>
        </is>
      </c>
      <c r="D303" s="27" t="inlineStr">
        <is>
          <t>FT-09 AC-04</t>
        </is>
      </c>
      <c r="E303" s="34" t="inlineStr">
        <is>
          <t>P2</t>
        </is>
      </c>
      <c r="F303" s="27" t="inlineStr">
        <is>
          <t>No</t>
        </is>
      </c>
      <c r="G303" s="30">
        <f>SystemConfigService!J12</f>
        <v/>
      </c>
      <c r="H303" s="30">
        <f>SystemConfigService!K12</f>
        <v/>
      </c>
      <c r="I303" s="54">
        <f>SystemConfigService!M12</f>
        <v/>
      </c>
    </row>
    <row r="304" ht="15.75" customHeight="1">
      <c r="A304" s="31" t="inlineStr">
        <is>
          <t>L1-ADM-01</t>
        </is>
      </c>
      <c r="B304" s="32" t="inlineStr">
        <is>
          <t>AdminUserService</t>
        </is>
      </c>
      <c r="C304" s="32" t="inlineStr">
        <is>
          <t>CreateStaffAsync() / ChangeRoleAsync()</t>
        </is>
      </c>
      <c r="D304" s="32" t="inlineStr">
        <is>
          <t>NFR-SEC02; FT-09 AC-04</t>
        </is>
      </c>
      <c r="E304" s="28" t="inlineStr">
        <is>
          <t>P1</t>
        </is>
      </c>
      <c r="F304" s="32" t="inlineStr">
        <is>
          <t>No</t>
        </is>
      </c>
      <c r="G304" s="33">
        <f>AdminUserService!J6</f>
        <v/>
      </c>
      <c r="H304" s="33">
        <f>AdminUserService!K6</f>
        <v/>
      </c>
      <c r="I304" s="54">
        <f>AdminUserService!M6</f>
        <v/>
      </c>
    </row>
    <row r="305" ht="15.75" customHeight="1">
      <c r="A305" s="26" t="inlineStr">
        <is>
          <t>L1-ADM-02</t>
        </is>
      </c>
      <c r="B305" s="27" t="inlineStr">
        <is>
          <t>AdminUserService</t>
        </is>
      </c>
      <c r="C305" s="27" t="inlineStr">
        <is>
          <t>CreateStaffAsync() / ChangeRoleAsync()</t>
        </is>
      </c>
      <c r="D305" s="27" t="inlineStr">
        <is>
          <t>FT-01 NAC-01</t>
        </is>
      </c>
      <c r="E305" s="28" t="inlineStr">
        <is>
          <t>P1</t>
        </is>
      </c>
      <c r="F305" s="29" t="inlineStr">
        <is>
          <t>Yes</t>
        </is>
      </c>
      <c r="G305" s="30">
        <f>AdminUserService!J7</f>
        <v/>
      </c>
      <c r="H305" s="30">
        <f>AdminUserService!K7</f>
        <v/>
      </c>
      <c r="I305" s="54">
        <f>AdminUserService!M7</f>
        <v/>
      </c>
    </row>
    <row r="306" ht="15.75" customHeight="1">
      <c r="A306" s="31" t="inlineStr">
        <is>
          <t>L1-ADM-03</t>
        </is>
      </c>
      <c r="B306" s="32" t="inlineStr">
        <is>
          <t>AdminUserService</t>
        </is>
      </c>
      <c r="C306" s="32" t="inlineStr">
        <is>
          <t>CreateStaffAsync() / ChangeRoleAsync()</t>
        </is>
      </c>
      <c r="D306" s="32" t="inlineStr">
        <is>
          <t>FT-09 AC-04; BR-022</t>
        </is>
      </c>
      <c r="E306" s="28" t="inlineStr">
        <is>
          <t>P1</t>
        </is>
      </c>
      <c r="F306" s="32" t="inlineStr">
        <is>
          <t>No</t>
        </is>
      </c>
      <c r="G306" s="33">
        <f>AdminUserService!J8</f>
        <v/>
      </c>
      <c r="H306" s="33">
        <f>AdminUserService!K8</f>
        <v/>
      </c>
      <c r="I306" s="54">
        <f>AdminUserService!M8</f>
        <v/>
      </c>
    </row>
    <row r="307" ht="15.75" customHeight="1">
      <c r="A307" s="26" t="inlineStr">
        <is>
          <t>L1-ADM-04</t>
        </is>
      </c>
      <c r="B307" s="27" t="inlineStr">
        <is>
          <t>AdminUserService</t>
        </is>
      </c>
      <c r="C307" s="27" t="inlineStr">
        <is>
          <t>CreateStaffAsync() / ChangeRoleAsync()</t>
        </is>
      </c>
      <c r="D307" s="27" t="inlineStr">
        <is>
          <t>NFR-SEC03</t>
        </is>
      </c>
      <c r="E307" s="28" t="inlineStr">
        <is>
          <t>P1</t>
        </is>
      </c>
      <c r="F307" s="29" t="inlineStr">
        <is>
          <t>Yes</t>
        </is>
      </c>
      <c r="G307" s="30">
        <f>AdminUserService!J9</f>
        <v/>
      </c>
      <c r="H307" s="30">
        <f>AdminUserService!K9</f>
        <v/>
      </c>
      <c r="I307" s="54">
        <f>AdminUserService!M9</f>
        <v/>
      </c>
    </row>
    <row r="308" ht="15.75" customHeight="1">
      <c r="A308" s="31" t="inlineStr">
        <is>
          <t>L1-ADM-05</t>
        </is>
      </c>
      <c r="B308" s="32" t="inlineStr">
        <is>
          <t>AdminUserService</t>
        </is>
      </c>
      <c r="C308" s="32" t="inlineStr">
        <is>
          <t>CreateStaffAsync() / ChangeRoleAsync()</t>
        </is>
      </c>
      <c r="D308" s="32" t="inlineStr">
        <is>
          <t>FT-04 NAC-03; BV-01</t>
        </is>
      </c>
      <c r="E308" s="28" t="inlineStr">
        <is>
          <t>P1</t>
        </is>
      </c>
      <c r="F308" s="35" t="inlineStr">
        <is>
          <t>Yes</t>
        </is>
      </c>
      <c r="G308" s="33">
        <f>AdminUserService!J10</f>
        <v/>
      </c>
      <c r="H308" s="33">
        <f>AdminUserService!K10</f>
        <v/>
      </c>
      <c r="I308" s="54">
        <f>AdminUserService!M10</f>
        <v/>
      </c>
    </row>
    <row r="309" ht="15.75" customHeight="1">
      <c r="A309" s="26" t="inlineStr">
        <is>
          <t>L1-ADM-06</t>
        </is>
      </c>
      <c r="B309" s="27" t="inlineStr">
        <is>
          <t>AdminUserService</t>
        </is>
      </c>
      <c r="C309" s="27" t="inlineStr">
        <is>
          <t>SetActiveStatusAsync() / SearchAsync()</t>
        </is>
      </c>
      <c r="D309" s="27" t="inlineStr">
        <is>
          <t>NFR-SEC02; NFR-SEC03</t>
        </is>
      </c>
      <c r="E309" s="28" t="inlineStr">
        <is>
          <t>P1</t>
        </is>
      </c>
      <c r="F309" s="27" t="inlineStr">
        <is>
          <t>No</t>
        </is>
      </c>
      <c r="G309" s="30">
        <f>AdminUserService!J12</f>
        <v/>
      </c>
      <c r="H309" s="30">
        <f>AdminUserService!K12</f>
        <v/>
      </c>
      <c r="I309" s="54">
        <f>AdminUserService!M12</f>
        <v/>
      </c>
    </row>
    <row r="310" ht="15.75" customHeight="1">
      <c r="A310" s="31" t="inlineStr">
        <is>
          <t>L1-ADM-07</t>
        </is>
      </c>
      <c r="B310" s="32" t="inlineStr">
        <is>
          <t>AdminUserService</t>
        </is>
      </c>
      <c r="C310" s="32" t="inlineStr">
        <is>
          <t>SetActiveStatusAsync() / SearchAsync()</t>
        </is>
      </c>
      <c r="D310" s="32" t="inlineStr">
        <is>
          <t>FT-04 NAC-03; BV-02</t>
        </is>
      </c>
      <c r="E310" s="28" t="inlineStr">
        <is>
          <t>P1</t>
        </is>
      </c>
      <c r="F310" s="35" t="inlineStr">
        <is>
          <t>Yes</t>
        </is>
      </c>
      <c r="G310" s="33">
        <f>AdminUserService!J13</f>
        <v/>
      </c>
      <c r="H310" s="33">
        <f>AdminUserService!K13</f>
        <v/>
      </c>
      <c r="I310" s="54">
        <f>AdminUserService!M13</f>
        <v/>
      </c>
    </row>
    <row r="311" ht="15.75" customHeight="1">
      <c r="A311" s="26" t="inlineStr">
        <is>
          <t>L1-ADM-08</t>
        </is>
      </c>
      <c r="B311" s="27" t="inlineStr">
        <is>
          <t>AdminUserService</t>
        </is>
      </c>
      <c r="C311" s="27" t="inlineStr">
        <is>
          <t>SetActiveStatusAsync() / SearchAsync()</t>
        </is>
      </c>
      <c r="D311" s="27" t="inlineStr">
        <is>
          <t>FT-09 AC-01</t>
        </is>
      </c>
      <c r="E311" s="34" t="inlineStr">
        <is>
          <t>P3</t>
        </is>
      </c>
      <c r="F311" s="27" t="inlineStr">
        <is>
          <t>No</t>
        </is>
      </c>
      <c r="G311" s="30">
        <f>AdminUserService!J14</f>
        <v/>
      </c>
      <c r="H311" s="30">
        <f>AdminUserService!K14</f>
        <v/>
      </c>
      <c r="I311" s="54">
        <f>AdminUserService!M14</f>
        <v/>
      </c>
    </row>
    <row r="312" ht="15.75" customHeight="1">
      <c r="A312" s="31" t="inlineStr">
        <is>
          <t>L1-ADM-09</t>
        </is>
      </c>
      <c r="B312" s="32" t="inlineStr">
        <is>
          <t>AdminUserService</t>
        </is>
      </c>
      <c r="C312" s="32" t="inlineStr">
        <is>
          <t>SetActiveStatusAsync() / SearchAsync()</t>
        </is>
      </c>
      <c r="D312" s="32" t="inlineStr">
        <is>
          <t>FT-09 NAC-01</t>
        </is>
      </c>
      <c r="E312" s="36" t="inlineStr">
        <is>
          <t>P3</t>
        </is>
      </c>
      <c r="F312" s="35" t="inlineStr">
        <is>
          <t>Yes</t>
        </is>
      </c>
      <c r="G312" s="33">
        <f>AdminUserService!J15</f>
        <v/>
      </c>
      <c r="H312" s="33">
        <f>AdminUserService!K15</f>
        <v/>
      </c>
      <c r="I312" s="54">
        <f>AdminUserService!M15</f>
        <v/>
      </c>
    </row>
    <row r="313" ht="15.75" customHeight="1">
      <c r="A313" s="26" t="inlineStr">
        <is>
          <t>L1-VEH-01</t>
        </is>
      </c>
      <c r="B313" s="27" t="inlineStr">
        <is>
          <t>VehicleService</t>
        </is>
      </c>
      <c r="C313" s="27" t="inlineStr">
        <is>
          <t>CRUD đội xe</t>
        </is>
      </c>
      <c r="D313" s="27" t="inlineStr">
        <is>
          <t>FT-07 BV-01; BR-037</t>
        </is>
      </c>
      <c r="E313" s="28" t="inlineStr">
        <is>
          <t>P1</t>
        </is>
      </c>
      <c r="F313" s="27" t="inlineStr">
        <is>
          <t>No</t>
        </is>
      </c>
      <c r="G313" s="30">
        <f>VehicleService!J6</f>
        <v/>
      </c>
      <c r="H313" s="30">
        <f>VehicleService!K6</f>
        <v/>
      </c>
      <c r="I313" s="54">
        <f>VehicleService!M6</f>
        <v/>
      </c>
    </row>
    <row r="314" ht="15.75" customHeight="1">
      <c r="A314" s="31" t="inlineStr">
        <is>
          <t>L1-VEH-02</t>
        </is>
      </c>
      <c r="B314" s="32" t="inlineStr">
        <is>
          <t>VehicleService</t>
        </is>
      </c>
      <c r="C314" s="32" t="inlineStr">
        <is>
          <t>CRUD đội xe</t>
        </is>
      </c>
      <c r="D314" s="32" t="inlineStr">
        <is>
          <t>FT-07 BR-037</t>
        </is>
      </c>
      <c r="E314" s="36" t="inlineStr">
        <is>
          <t>P3</t>
        </is>
      </c>
      <c r="F314" s="32" t="inlineStr">
        <is>
          <t>No</t>
        </is>
      </c>
      <c r="G314" s="33">
        <f>VehicleService!J7</f>
        <v/>
      </c>
      <c r="H314" s="33">
        <f>VehicleService!K7</f>
        <v/>
      </c>
      <c r="I314" s="54">
        <f>VehicleService!M7</f>
        <v/>
      </c>
    </row>
    <row r="315" ht="15.75" customHeight="1">
      <c r="A315" s="26" t="inlineStr">
        <is>
          <t>L1-VEH-03</t>
        </is>
      </c>
      <c r="B315" s="27" t="inlineStr">
        <is>
          <t>VehicleService</t>
        </is>
      </c>
      <c r="C315" s="27" t="inlineStr">
        <is>
          <t>CRUD đội xe</t>
        </is>
      </c>
      <c r="D315" s="27" t="inlineStr">
        <is>
          <t>BR-037</t>
        </is>
      </c>
      <c r="E315" s="34" t="inlineStr">
        <is>
          <t>P2</t>
        </is>
      </c>
      <c r="F315" s="29" t="inlineStr">
        <is>
          <t>Yes</t>
        </is>
      </c>
      <c r="G315" s="30">
        <f>VehicleService!J8</f>
        <v/>
      </c>
      <c r="H315" s="30">
        <f>VehicleService!K8</f>
        <v/>
      </c>
      <c r="I315" s="54">
        <f>VehicleService!M8</f>
        <v/>
      </c>
    </row>
    <row r="316" ht="15.75" customHeight="1">
      <c r="A316" s="31" t="inlineStr">
        <is>
          <t>L1-VEH-04</t>
        </is>
      </c>
      <c r="B316" s="32" t="inlineStr">
        <is>
          <t>VehicleService</t>
        </is>
      </c>
      <c r="C316" s="32" t="inlineStr">
        <is>
          <t>CRUD đội xe</t>
        </is>
      </c>
      <c r="D316" s="32" t="inlineStr">
        <is>
          <t>FT-07 NAC-01; BR-037</t>
        </is>
      </c>
      <c r="E316" s="28" t="inlineStr">
        <is>
          <t>P1</t>
        </is>
      </c>
      <c r="F316" s="32" t="inlineStr">
        <is>
          <t>No</t>
        </is>
      </c>
      <c r="G316" s="33">
        <f>VehicleService!J9</f>
        <v/>
      </c>
      <c r="H316" s="33">
        <f>VehicleService!K9</f>
        <v/>
      </c>
      <c r="I316" s="54">
        <f>VehicleService!M9</f>
        <v/>
      </c>
    </row>
    <row r="317" ht="15.75" customHeight="1">
      <c r="A317" s="26" t="inlineStr">
        <is>
          <t>L1-VEH-05</t>
        </is>
      </c>
      <c r="B317" s="27" t="inlineStr">
        <is>
          <t>VehicleService</t>
        </is>
      </c>
      <c r="C317" s="27" t="inlineStr">
        <is>
          <t>CRUD đội xe</t>
        </is>
      </c>
      <c r="D317" s="27" t="inlineStr">
        <is>
          <t>FT-07 NAC-01</t>
        </is>
      </c>
      <c r="E317" s="34" t="inlineStr">
        <is>
          <t>P2</t>
        </is>
      </c>
      <c r="F317" s="29" t="inlineStr">
        <is>
          <t>Yes</t>
        </is>
      </c>
      <c r="G317" s="30">
        <f>VehicleService!J10</f>
        <v/>
      </c>
      <c r="H317" s="30">
        <f>VehicleService!K10</f>
        <v/>
      </c>
      <c r="I317" s="54">
        <f>VehicleService!M10</f>
        <v/>
      </c>
    </row>
    <row r="318" ht="15.75" customHeight="1">
      <c r="A318" s="31" t="inlineStr">
        <is>
          <t>L1-WHL-01</t>
        </is>
      </c>
      <c r="B318" s="32" t="inlineStr">
        <is>
          <t>WebhookLogService</t>
        </is>
      </c>
      <c r="C318" s="32" t="inlineStr">
        <is>
          <t>Ghi nhận &amp; đánh dấu</t>
        </is>
      </c>
      <c r="D318" s="32" t="inlineStr">
        <is>
          <t>FT-03 NAC-01; NFR-SEC05</t>
        </is>
      </c>
      <c r="E318" s="28" t="inlineStr">
        <is>
          <t>P1</t>
        </is>
      </c>
      <c r="F318" s="32" t="inlineStr">
        <is>
          <t>No</t>
        </is>
      </c>
      <c r="G318" s="33">
        <f>WebhookLogService!J6</f>
        <v/>
      </c>
      <c r="H318" s="33">
        <f>WebhookLogService!K6</f>
        <v/>
      </c>
      <c r="I318" s="54">
        <f>WebhookLogService!M6</f>
        <v/>
      </c>
    </row>
    <row r="319" ht="15.75" customHeight="1">
      <c r="A319" s="26" t="inlineStr">
        <is>
          <t>L1-WHL-02</t>
        </is>
      </c>
      <c r="B319" s="27" t="inlineStr">
        <is>
          <t>WebhookLogService</t>
        </is>
      </c>
      <c r="C319" s="27" t="inlineStr">
        <is>
          <t>Ghi nhận &amp; đánh dấu</t>
        </is>
      </c>
      <c r="D319" s="27" t="inlineStr">
        <is>
          <t>FT-03 NAC-02; BR-029</t>
        </is>
      </c>
      <c r="E319" s="28" t="inlineStr">
        <is>
          <t>P1</t>
        </is>
      </c>
      <c r="F319" s="27" t="inlineStr">
        <is>
          <t>No</t>
        </is>
      </c>
      <c r="G319" s="30">
        <f>WebhookLogService!J7</f>
        <v/>
      </c>
      <c r="H319" s="30">
        <f>WebhookLogService!K7</f>
        <v/>
      </c>
      <c r="I319" s="54">
        <f>WebhookLogService!M7</f>
        <v/>
      </c>
    </row>
    <row r="320" ht="15.75" customHeight="1">
      <c r="A320" s="31" t="inlineStr">
        <is>
          <t>L1-WHL-03</t>
        </is>
      </c>
      <c r="B320" s="32" t="inlineStr">
        <is>
          <t>WebhookLogService</t>
        </is>
      </c>
      <c r="C320" s="32" t="inlineStr">
        <is>
          <t>Ghi nhận &amp; đánh dấu</t>
        </is>
      </c>
      <c r="D320" s="32" t="inlineStr">
        <is>
          <t>BR-049; FT-09 AC-05</t>
        </is>
      </c>
      <c r="E320" s="28" t="inlineStr">
        <is>
          <t>P1</t>
        </is>
      </c>
      <c r="F320" s="32" t="inlineStr">
        <is>
          <t>No</t>
        </is>
      </c>
      <c r="G320" s="33">
        <f>WebhookLogService!J8</f>
        <v/>
      </c>
      <c r="H320" s="33">
        <f>WebhookLogService!K8</f>
        <v/>
      </c>
      <c r="I320" s="54">
        <f>WebhookLogService!M8</f>
        <v/>
      </c>
    </row>
    <row r="321" ht="15.75" customHeight="1">
      <c r="A321" s="26" t="inlineStr">
        <is>
          <t>L1-WHL-04</t>
        </is>
      </c>
      <c r="B321" s="27" t="inlineStr">
        <is>
          <t>WebhookLogService</t>
        </is>
      </c>
      <c r="C321" s="27" t="inlineStr">
        <is>
          <t>Ghi nhận &amp; đánh dấu</t>
        </is>
      </c>
      <c r="D321" s="27" t="inlineStr">
        <is>
          <t>FT-03 SB; FT-09 AC-01</t>
        </is>
      </c>
      <c r="E321" s="34" t="inlineStr">
        <is>
          <t>P2</t>
        </is>
      </c>
      <c r="F321" s="27" t="inlineStr">
        <is>
          <t>No</t>
        </is>
      </c>
      <c r="G321" s="30">
        <f>WebhookLogService!J9</f>
        <v/>
      </c>
      <c r="H321" s="30">
        <f>WebhookLogService!K9</f>
        <v/>
      </c>
      <c r="I321" s="54">
        <f>WebhookLogService!M9</f>
        <v/>
      </c>
    </row>
    <row r="322" ht="15.75" customHeight="1">
      <c r="A322" s="31" t="inlineStr">
        <is>
          <t>L1-WHL-05</t>
        </is>
      </c>
      <c r="B322" s="32" t="inlineStr">
        <is>
          <t>WebhookLogService</t>
        </is>
      </c>
      <c r="C322" s="32" t="inlineStr">
        <is>
          <t>RetryAsync()</t>
        </is>
      </c>
      <c r="D322" s="32" t="inlineStr">
        <is>
          <t>BR-029</t>
        </is>
      </c>
      <c r="E322" s="28" t="inlineStr">
        <is>
          <t>P1</t>
        </is>
      </c>
      <c r="F322" s="32" t="inlineStr">
        <is>
          <t>No</t>
        </is>
      </c>
      <c r="G322" s="33">
        <f>WebhookLogService!J11</f>
        <v/>
      </c>
      <c r="H322" s="33">
        <f>WebhookLogService!K11</f>
        <v/>
      </c>
      <c r="I322" s="54">
        <f>WebhookLogService!M11</f>
        <v/>
      </c>
    </row>
    <row r="323" ht="15.75" customHeight="1">
      <c r="A323" s="26" t="inlineStr">
        <is>
          <t>L1-WHL-06</t>
        </is>
      </c>
      <c r="B323" s="27" t="inlineStr">
        <is>
          <t>WebhookLogService</t>
        </is>
      </c>
      <c r="C323" s="27" t="inlineStr">
        <is>
          <t>RetryAsync()</t>
        </is>
      </c>
      <c r="D323" s="27" t="inlineStr">
        <is>
          <t>FT-03 NAC-02; BR-029</t>
        </is>
      </c>
      <c r="E323" s="28" t="inlineStr">
        <is>
          <t>P1</t>
        </is>
      </c>
      <c r="F323" s="29" t="inlineStr">
        <is>
          <t>Yes</t>
        </is>
      </c>
      <c r="G323" s="30">
        <f>WebhookLogService!J12</f>
        <v/>
      </c>
      <c r="H323" s="30">
        <f>WebhookLogService!K12</f>
        <v/>
      </c>
      <c r="I323" s="54">
        <f>WebhookLogService!M12</f>
        <v/>
      </c>
    </row>
    <row r="324" ht="15.75" customHeight="1">
      <c r="A324" s="31" t="inlineStr">
        <is>
          <t>L1-WHL-07</t>
        </is>
      </c>
      <c r="B324" s="32" t="inlineStr">
        <is>
          <t>WebhookLogService</t>
        </is>
      </c>
      <c r="C324" s="32" t="inlineStr">
        <is>
          <t>RetryAsync()</t>
        </is>
      </c>
      <c r="D324" s="32" t="inlineStr">
        <is>
          <t>BR-049; FT-09 BV-03</t>
        </is>
      </c>
      <c r="E324" s="28" t="inlineStr">
        <is>
          <t>P1</t>
        </is>
      </c>
      <c r="F324" s="35" t="inlineStr">
        <is>
          <t>Yes</t>
        </is>
      </c>
      <c r="G324" s="33">
        <f>WebhookLogService!J13</f>
        <v/>
      </c>
      <c r="H324" s="33">
        <f>WebhookLogService!K13</f>
        <v/>
      </c>
      <c r="I324" s="54">
        <f>WebhookLogService!M13</f>
        <v/>
      </c>
    </row>
    <row r="325" ht="15.75" customHeight="1">
      <c r="A325" s="26" t="inlineStr">
        <is>
          <t>L1-AUD-01</t>
        </is>
      </c>
      <c r="B325" s="27" t="inlineStr">
        <is>
          <t>AuditLogService</t>
        </is>
      </c>
      <c r="C325" s="27" t="inlineStr">
        <is>
          <t>LogAsync()</t>
        </is>
      </c>
      <c r="D325" s="27" t="inlineStr">
        <is>
          <t>FT-09 AC-04; BR-022</t>
        </is>
      </c>
      <c r="E325" s="28" t="inlineStr">
        <is>
          <t>P1</t>
        </is>
      </c>
      <c r="F325" s="27" t="inlineStr">
        <is>
          <t>No</t>
        </is>
      </c>
      <c r="G325" s="30">
        <f>AuditLogService!J6</f>
        <v/>
      </c>
      <c r="H325" s="30">
        <f>AuditLogService!K6</f>
        <v/>
      </c>
      <c r="I325" s="54">
        <f>AuditLogService!M6</f>
        <v/>
      </c>
    </row>
    <row r="326" ht="15.75" customHeight="1">
      <c r="A326" s="31" t="inlineStr">
        <is>
          <t>L1-AUD-02</t>
        </is>
      </c>
      <c r="B326" s="32" t="inlineStr">
        <is>
          <t>AuditLogService</t>
        </is>
      </c>
      <c r="C326" s="32" t="inlineStr">
        <is>
          <t>LogAsync()</t>
        </is>
      </c>
      <c r="D326" s="32" t="inlineStr">
        <is>
          <t>BR-022</t>
        </is>
      </c>
      <c r="E326" s="36" t="inlineStr">
        <is>
          <t>P2</t>
        </is>
      </c>
      <c r="F326" s="35" t="inlineStr">
        <is>
          <t>Yes</t>
        </is>
      </c>
      <c r="G326" s="33">
        <f>AuditLogService!J7</f>
        <v/>
      </c>
      <c r="H326" s="33">
        <f>AuditLogService!K7</f>
        <v/>
      </c>
      <c r="I326" s="54">
        <f>AuditLogService!M7</f>
        <v/>
      </c>
    </row>
    <row r="327" ht="15.75" customHeight="1">
      <c r="A327" s="26" t="inlineStr">
        <is>
          <t>L1-AUD-03</t>
        </is>
      </c>
      <c r="B327" s="27" t="inlineStr">
        <is>
          <t>AuditLogService</t>
        </is>
      </c>
      <c r="C327" s="27" t="inlineStr">
        <is>
          <t>LogAsync()</t>
        </is>
      </c>
      <c r="D327" s="27" t="inlineStr">
        <is>
          <t>FT-09 NAC-03; BR-048; NFR-SEC08</t>
        </is>
      </c>
      <c r="E327" s="28" t="inlineStr">
        <is>
          <t>P1</t>
        </is>
      </c>
      <c r="F327" s="29" t="inlineStr">
        <is>
          <t>Yes</t>
        </is>
      </c>
      <c r="G327" s="30">
        <f>AuditLogService!J8</f>
        <v/>
      </c>
      <c r="H327" s="30">
        <f>AuditLogService!K8</f>
        <v/>
      </c>
      <c r="I327" s="54">
        <f>AuditLogService!M8</f>
        <v/>
      </c>
    </row>
    <row r="328" ht="15.75" customHeight="1">
      <c r="A328" s="31" t="inlineStr">
        <is>
          <t>L1-AUD-04</t>
        </is>
      </c>
      <c r="B328" s="32" t="inlineStr">
        <is>
          <t>AuditLogService</t>
        </is>
      </c>
      <c r="C328" s="32" t="inlineStr">
        <is>
          <t>LogAsync()</t>
        </is>
      </c>
      <c r="D328" s="32" t="inlineStr">
        <is>
          <t>NFR-SEC06</t>
        </is>
      </c>
      <c r="E328" s="28" t="inlineStr">
        <is>
          <t>P1</t>
        </is>
      </c>
      <c r="F328" s="32" t="inlineStr">
        <is>
          <t>No</t>
        </is>
      </c>
      <c r="G328" s="33">
        <f>AuditLogService!J9</f>
        <v/>
      </c>
      <c r="H328" s="33">
        <f>AuditLogService!K9</f>
        <v/>
      </c>
      <c r="I328" s="54">
        <f>AuditLogService!M9</f>
        <v/>
      </c>
    </row>
    <row r="329" ht="15.75" customHeight="1">
      <c r="A329" s="26" t="inlineStr">
        <is>
          <t>L1-AUD-05</t>
        </is>
      </c>
      <c r="B329" s="27" t="inlineStr">
        <is>
          <t>AuditLogService</t>
        </is>
      </c>
      <c r="C329" s="27" t="inlineStr">
        <is>
          <t>SearchAsync() / ExportCsvAsync()</t>
        </is>
      </c>
      <c r="D329" s="27" t="inlineStr">
        <is>
          <t>FT-09 AC-04</t>
        </is>
      </c>
      <c r="E329" s="34" t="inlineStr">
        <is>
          <t>P2</t>
        </is>
      </c>
      <c r="F329" s="27" t="inlineStr">
        <is>
          <t>No</t>
        </is>
      </c>
      <c r="G329" s="30">
        <f>AuditLogService!J11</f>
        <v/>
      </c>
      <c r="H329" s="30">
        <f>AuditLogService!K11</f>
        <v/>
      </c>
      <c r="I329" s="54">
        <f>AuditLogService!M11</f>
        <v/>
      </c>
    </row>
    <row r="330" ht="15.75" customHeight="1">
      <c r="A330" s="31" t="inlineStr">
        <is>
          <t>L1-AUD-06</t>
        </is>
      </c>
      <c r="B330" s="32" t="inlineStr">
        <is>
          <t>AuditLogService</t>
        </is>
      </c>
      <c r="C330" s="32" t="inlineStr">
        <is>
          <t>SearchAsync() / ExportCsvAsync()</t>
        </is>
      </c>
      <c r="D330" s="32" t="inlineStr">
        <is>
          <t>FT-09 AC-04</t>
        </is>
      </c>
      <c r="E330" s="36" t="inlineStr">
        <is>
          <t>P2</t>
        </is>
      </c>
      <c r="F330" s="32" t="inlineStr">
        <is>
          <t>No</t>
        </is>
      </c>
      <c r="G330" s="33">
        <f>AuditLogService!J12</f>
        <v/>
      </c>
      <c r="H330" s="33">
        <f>AuditLogService!K12</f>
        <v/>
      </c>
      <c r="I330" s="54">
        <f>AuditLogService!M12</f>
        <v/>
      </c>
    </row>
    <row r="331" ht="15.75" customHeight="1">
      <c r="A331" s="26" t="inlineStr">
        <is>
          <t>L1-AUD-07</t>
        </is>
      </c>
      <c r="B331" s="27" t="inlineStr">
        <is>
          <t>AuditLogService</t>
        </is>
      </c>
      <c r="C331" s="27" t="inlineStr">
        <is>
          <t>SearchAsync() / ExportCsvAsync()</t>
        </is>
      </c>
      <c r="D331" s="27" t="inlineStr">
        <is>
          <t>FT-09 NAC-01; NFR-SEC03</t>
        </is>
      </c>
      <c r="E331" s="28" t="inlineStr">
        <is>
          <t>P1</t>
        </is>
      </c>
      <c r="F331" s="29" t="inlineStr">
        <is>
          <t>Yes</t>
        </is>
      </c>
      <c r="G331" s="30">
        <f>AuditLogService!J13</f>
        <v/>
      </c>
      <c r="H331" s="30">
        <f>AuditLogService!K13</f>
        <v/>
      </c>
      <c r="I331" s="54">
        <f>AuditLogService!M13</f>
        <v/>
      </c>
    </row>
    <row r="332" ht="15.75" customHeight="1">
      <c r="A332" s="31" t="inlineStr">
        <is>
          <t>L1-MKT-01</t>
        </is>
      </c>
      <c r="B332" s="32" t="inlineStr">
        <is>
          <t>MarketingPostService</t>
        </is>
      </c>
      <c r="C332" s="32" t="inlineStr">
        <is>
          <t>Vòng đời bài đăng</t>
        </is>
      </c>
      <c r="D332" s="32" t="inlineStr">
        <is>
          <t>FT-10; BR-046</t>
        </is>
      </c>
      <c r="E332" s="28" t="inlineStr">
        <is>
          <t>P1</t>
        </is>
      </c>
      <c r="F332" s="32" t="inlineStr">
        <is>
          <t>No</t>
        </is>
      </c>
      <c r="G332" s="33">
        <f>MarketingPostService!J6</f>
        <v/>
      </c>
      <c r="H332" s="33">
        <f>MarketingPostService!K6</f>
        <v/>
      </c>
      <c r="I332" s="54">
        <f>MarketingPostService!M6</f>
        <v/>
      </c>
    </row>
    <row r="333" ht="15.75" customHeight="1">
      <c r="A333" s="26" t="inlineStr">
        <is>
          <t>L1-MKT-02</t>
        </is>
      </c>
      <c r="B333" s="27" t="inlineStr">
        <is>
          <t>MarketingPostService</t>
        </is>
      </c>
      <c r="C333" s="27" t="inlineStr">
        <is>
          <t>Vòng đời bài đăng</t>
        </is>
      </c>
      <c r="D333" s="27" t="inlineStr">
        <is>
          <t>FT-10; BR-046</t>
        </is>
      </c>
      <c r="E333" s="28" t="inlineStr">
        <is>
          <t>P1</t>
        </is>
      </c>
      <c r="F333" s="27" t="inlineStr">
        <is>
          <t>No</t>
        </is>
      </c>
      <c r="G333" s="30">
        <f>MarketingPostService!J7</f>
        <v/>
      </c>
      <c r="H333" s="30">
        <f>MarketingPostService!K7</f>
        <v/>
      </c>
      <c r="I333" s="54">
        <f>MarketingPostService!M7</f>
        <v/>
      </c>
    </row>
    <row r="334" ht="15.75" customHeight="1">
      <c r="A334" s="31" t="inlineStr">
        <is>
          <t>L1-MKT-03</t>
        </is>
      </c>
      <c r="B334" s="32" t="inlineStr">
        <is>
          <t>MarketingPostService</t>
        </is>
      </c>
      <c r="C334" s="32" t="inlineStr">
        <is>
          <t>Vòng đời bài đăng</t>
        </is>
      </c>
      <c r="D334" s="32" t="inlineStr">
        <is>
          <t>FT-10; BR-046; NFR-SEC03</t>
        </is>
      </c>
      <c r="E334" s="28" t="inlineStr">
        <is>
          <t>P1</t>
        </is>
      </c>
      <c r="F334" s="35" t="inlineStr">
        <is>
          <t>Yes</t>
        </is>
      </c>
      <c r="G334" s="33">
        <f>MarketingPostService!J8</f>
        <v/>
      </c>
      <c r="H334" s="33">
        <f>MarketingPostService!K8</f>
        <v/>
      </c>
      <c r="I334" s="54">
        <f>MarketingPostService!M8</f>
        <v/>
      </c>
    </row>
    <row r="335" ht="15.75" customHeight="1">
      <c r="A335" s="26" t="inlineStr">
        <is>
          <t>L1-MKT-04</t>
        </is>
      </c>
      <c r="B335" s="27" t="inlineStr">
        <is>
          <t>MarketingPostService</t>
        </is>
      </c>
      <c r="C335" s="27" t="inlineStr">
        <is>
          <t>Vòng đời bài đăng</t>
        </is>
      </c>
      <c r="D335" s="27" t="inlineStr">
        <is>
          <t>FT-10; BR-046; 4.4.4 invalid row 1</t>
        </is>
      </c>
      <c r="E335" s="28" t="inlineStr">
        <is>
          <t>P1</t>
        </is>
      </c>
      <c r="F335" s="29" t="inlineStr">
        <is>
          <t>Yes</t>
        </is>
      </c>
      <c r="G335" s="30">
        <f>MarketingPostService!J9</f>
        <v/>
      </c>
      <c r="H335" s="30">
        <f>MarketingPostService!K9</f>
        <v/>
      </c>
      <c r="I335" s="54">
        <f>MarketingPostService!M9</f>
        <v/>
      </c>
    </row>
    <row r="336" ht="15.75" customHeight="1">
      <c r="A336" s="31" t="inlineStr">
        <is>
          <t>L1-MKT-05</t>
        </is>
      </c>
      <c r="B336" s="32" t="inlineStr">
        <is>
          <t>MarketingPostService</t>
        </is>
      </c>
      <c r="C336" s="32" t="inlineStr">
        <is>
          <t>Vòng đời bài đăng</t>
        </is>
      </c>
      <c r="D336" s="32" t="inlineStr">
        <is>
          <t>FT-10; BR-046</t>
        </is>
      </c>
      <c r="E336" s="28" t="inlineStr">
        <is>
          <t>P1</t>
        </is>
      </c>
      <c r="F336" s="32" t="inlineStr">
        <is>
          <t>No</t>
        </is>
      </c>
      <c r="G336" s="33">
        <f>MarketingPostService!J10</f>
        <v/>
      </c>
      <c r="H336" s="33">
        <f>MarketingPostService!K10</f>
        <v/>
      </c>
      <c r="I336" s="54">
        <f>MarketingPostService!M10</f>
        <v/>
      </c>
    </row>
    <row r="337" ht="15.75" customHeight="1">
      <c r="A337" s="26" t="inlineStr">
        <is>
          <t>L1-MKT-06</t>
        </is>
      </c>
      <c r="B337" s="27" t="inlineStr">
        <is>
          <t>MarketingPostService</t>
        </is>
      </c>
      <c r="C337" s="27" t="inlineStr">
        <is>
          <t>Vòng đời bài đăng</t>
        </is>
      </c>
      <c r="D337" s="27" t="inlineStr">
        <is>
          <t>FT-10; BR-046</t>
        </is>
      </c>
      <c r="E337" s="34" t="inlineStr">
        <is>
          <t>P2</t>
        </is>
      </c>
      <c r="F337" s="27" t="inlineStr">
        <is>
          <t>No</t>
        </is>
      </c>
      <c r="G337" s="30">
        <f>MarketingPostService!J11</f>
        <v/>
      </c>
      <c r="H337" s="30">
        <f>MarketingPostService!K11</f>
        <v/>
      </c>
      <c r="I337" s="54">
        <f>MarketingPostService!M11</f>
        <v/>
      </c>
    </row>
    <row r="338" ht="15.75" customHeight="1">
      <c r="A338" s="31" t="inlineStr">
        <is>
          <t>L1-MKT-07</t>
        </is>
      </c>
      <c r="B338" s="32" t="inlineStr">
        <is>
          <t>MarketingPostService</t>
        </is>
      </c>
      <c r="C338" s="32" t="inlineStr">
        <is>
          <t>Vòng đời bài đăng</t>
        </is>
      </c>
      <c r="D338" s="32" t="inlineStr">
        <is>
          <t>FT-10; BR-046</t>
        </is>
      </c>
      <c r="E338" s="28" t="inlineStr">
        <is>
          <t>P1</t>
        </is>
      </c>
      <c r="F338" s="35" t="inlineStr">
        <is>
          <t>Yes</t>
        </is>
      </c>
      <c r="G338" s="33">
        <f>MarketingPostService!J12</f>
        <v/>
      </c>
      <c r="H338" s="33">
        <f>MarketingPostService!K12</f>
        <v/>
      </c>
      <c r="I338" s="54">
        <f>MarketingPostService!M12</f>
        <v/>
      </c>
    </row>
    <row r="339" ht="15.75" customHeight="1">
      <c r="A339" s="26" t="inlineStr">
        <is>
          <t>L1-MKT-08</t>
        </is>
      </c>
      <c r="B339" s="27" t="inlineStr">
        <is>
          <t>MarketingPostService</t>
        </is>
      </c>
      <c r="C339" s="27" t="inlineStr">
        <is>
          <t>Đăng bài &amp; callback</t>
        </is>
      </c>
      <c r="D339" s="27" t="inlineStr">
        <is>
          <t>FT-10; NFR-P07</t>
        </is>
      </c>
      <c r="E339" s="28" t="inlineStr">
        <is>
          <t>P1</t>
        </is>
      </c>
      <c r="F339" s="27" t="inlineStr">
        <is>
          <t>No</t>
        </is>
      </c>
      <c r="G339" s="30">
        <f>MarketingPostService!J14</f>
        <v/>
      </c>
      <c r="H339" s="30">
        <f>MarketingPostService!K14</f>
        <v/>
      </c>
      <c r="I339" s="54">
        <f>MarketingPostService!M14</f>
        <v/>
      </c>
    </row>
    <row r="340" ht="15.75" customHeight="1">
      <c r="A340" s="31" t="inlineStr">
        <is>
          <t>L1-MKT-09</t>
        </is>
      </c>
      <c r="B340" s="32" t="inlineStr">
        <is>
          <t>MarketingPostService</t>
        </is>
      </c>
      <c r="C340" s="32" t="inlineStr">
        <is>
          <t>Đăng bài &amp; callback</t>
        </is>
      </c>
      <c r="D340" s="32" t="inlineStr">
        <is>
          <t>FT-10; BR-049</t>
        </is>
      </c>
      <c r="E340" s="28" t="inlineStr">
        <is>
          <t>P1</t>
        </is>
      </c>
      <c r="F340" s="32" t="inlineStr">
        <is>
          <t>No</t>
        </is>
      </c>
      <c r="G340" s="33">
        <f>MarketingPostService!J15</f>
        <v/>
      </c>
      <c r="H340" s="33">
        <f>MarketingPostService!K15</f>
        <v/>
      </c>
      <c r="I340" s="54">
        <f>MarketingPostService!M15</f>
        <v/>
      </c>
    </row>
    <row r="341" ht="15.75" customHeight="1">
      <c r="A341" s="26" t="inlineStr">
        <is>
          <t>L1-MKT-10</t>
        </is>
      </c>
      <c r="B341" s="27" t="inlineStr">
        <is>
          <t>MarketingPostService</t>
        </is>
      </c>
      <c r="C341" s="27" t="inlineStr">
        <is>
          <t>Đăng bài &amp; callback</t>
        </is>
      </c>
      <c r="D341" s="27" t="inlineStr">
        <is>
          <t>FT-10; BR-049; FT-09 AC-05</t>
        </is>
      </c>
      <c r="E341" s="28" t="inlineStr">
        <is>
          <t>P1</t>
        </is>
      </c>
      <c r="F341" s="27" t="inlineStr">
        <is>
          <t>No</t>
        </is>
      </c>
      <c r="G341" s="30">
        <f>MarketingPostService!J16</f>
        <v/>
      </c>
      <c r="H341" s="30">
        <f>MarketingPostService!K16</f>
        <v/>
      </c>
      <c r="I341" s="54">
        <f>MarketingPostService!M16</f>
        <v/>
      </c>
    </row>
    <row r="342" ht="15.75" customHeight="1">
      <c r="A342" s="31" t="inlineStr">
        <is>
          <t>L1-MKT-11</t>
        </is>
      </c>
      <c r="B342" s="32" t="inlineStr">
        <is>
          <t>MarketingPostService</t>
        </is>
      </c>
      <c r="C342" s="32" t="inlineStr">
        <is>
          <t>Đăng bài &amp; callback</t>
        </is>
      </c>
      <c r="D342" s="32" t="inlineStr">
        <is>
          <t>BR-029; BR-049</t>
        </is>
      </c>
      <c r="E342" s="28" t="inlineStr">
        <is>
          <t>P1</t>
        </is>
      </c>
      <c r="F342" s="35" t="inlineStr">
        <is>
          <t>Yes</t>
        </is>
      </c>
      <c r="G342" s="33">
        <f>MarketingPostService!J17</f>
        <v/>
      </c>
      <c r="H342" s="33">
        <f>MarketingPostService!K17</f>
        <v/>
      </c>
      <c r="I342" s="54">
        <f>MarketingPostService!M17</f>
        <v/>
      </c>
    </row>
    <row r="343" ht="15.75" customHeight="1">
      <c r="A343" s="26" t="inlineStr">
        <is>
          <t>L1-MKT-12</t>
        </is>
      </c>
      <c r="B343" s="27" t="inlineStr">
        <is>
          <t>MarketingPostService</t>
        </is>
      </c>
      <c r="C343" s="27" t="inlineStr">
        <is>
          <t>Đăng bài &amp; callback</t>
        </is>
      </c>
      <c r="D343" s="27" t="inlineStr">
        <is>
          <t>BR-049</t>
        </is>
      </c>
      <c r="E343" s="34" t="inlineStr">
        <is>
          <t>P2</t>
        </is>
      </c>
      <c r="F343" s="29" t="inlineStr">
        <is>
          <t>Yes</t>
        </is>
      </c>
      <c r="G343" s="30">
        <f>MarketingPostService!J18</f>
        <v/>
      </c>
      <c r="H343" s="30">
        <f>MarketingPostService!K18</f>
        <v/>
      </c>
      <c r="I343" s="54">
        <f>MarketingPostService!M18</f>
        <v/>
      </c>
    </row>
    <row r="344" ht="15.75" customHeight="1">
      <c r="A344" s="31" t="inlineStr">
        <is>
          <t>L1-MKT-13</t>
        </is>
      </c>
      <c r="B344" s="32" t="inlineStr">
        <is>
          <t>MarketingPostService</t>
        </is>
      </c>
      <c r="C344" s="32" t="inlineStr">
        <is>
          <t>Đăng bài &amp; callback</t>
        </is>
      </c>
      <c r="D344" s="32" t="inlineStr">
        <is>
          <t>FT-04; BR-003</t>
        </is>
      </c>
      <c r="E344" s="28" t="inlineStr">
        <is>
          <t>P1</t>
        </is>
      </c>
      <c r="F344" s="32" t="inlineStr">
        <is>
          <t>No</t>
        </is>
      </c>
      <c r="G344" s="33">
        <f>MarketingPostService!J19</f>
        <v/>
      </c>
      <c r="H344" s="33">
        <f>MarketingPostService!K19</f>
        <v/>
      </c>
      <c r="I344" s="54">
        <f>MarketingPostService!M19</f>
        <v/>
      </c>
    </row>
    <row r="345" ht="15.75" customHeight="1">
      <c r="A345" s="26" t="inlineStr">
        <is>
          <t>L1-MKT-14</t>
        </is>
      </c>
      <c r="B345" s="27" t="inlineStr">
        <is>
          <t>MarketingPostService</t>
        </is>
      </c>
      <c r="C345" s="27" t="inlineStr">
        <is>
          <t>Giới hạn hàng đợi lên lịch</t>
        </is>
      </c>
      <c r="D345" s="27" t="inlineStr">
        <is>
          <t>FT-10; BR-046; BR-050</t>
        </is>
      </c>
      <c r="E345" s="28" t="inlineStr">
        <is>
          <t>P1</t>
        </is>
      </c>
      <c r="F345" s="29" t="inlineStr">
        <is>
          <t>Yes</t>
        </is>
      </c>
      <c r="G345" s="30">
        <f>MarketingPostService!J24</f>
        <v/>
      </c>
      <c r="H345" s="30">
        <f>MarketingPostService!K24</f>
        <v/>
      </c>
      <c r="I345" s="54">
        <f>MarketingPostService!M24</f>
        <v/>
      </c>
    </row>
    <row r="346" ht="15.75" customHeight="1">
      <c r="A346" s="31" t="inlineStr">
        <is>
          <t>L1-DASH-01</t>
        </is>
      </c>
      <c r="B346" s="32" t="inlineStr">
        <is>
          <t>DashboardKpiServices</t>
        </is>
      </c>
      <c r="C346" s="32" t="inlineStr">
        <is>
          <t>Phân quyền phạm vi dữ liệu</t>
        </is>
      </c>
      <c r="D346" s="32" t="inlineStr">
        <is>
          <t>FT-09 AC-01; BV-01</t>
        </is>
      </c>
      <c r="E346" s="28" t="inlineStr">
        <is>
          <t>P1</t>
        </is>
      </c>
      <c r="F346" s="32" t="inlineStr">
        <is>
          <t>No</t>
        </is>
      </c>
      <c r="G346" s="33">
        <f>DashboardKpiServices!J6</f>
        <v/>
      </c>
      <c r="H346" s="33">
        <f>DashboardKpiServices!K6</f>
        <v/>
      </c>
      <c r="I346" s="54">
        <f>DashboardKpiServices!M6</f>
        <v/>
      </c>
    </row>
    <row r="347" ht="15.75" customHeight="1">
      <c r="A347" s="26" t="inlineStr">
        <is>
          <t>L1-DASH-02</t>
        </is>
      </c>
      <c r="B347" s="27" t="inlineStr">
        <is>
          <t>DashboardKpiServices</t>
        </is>
      </c>
      <c r="C347" s="27" t="inlineStr">
        <is>
          <t>Phân quyền phạm vi dữ liệu</t>
        </is>
      </c>
      <c r="D347" s="27" t="inlineStr">
        <is>
          <t>FT-09 NAC-01; NFR-SEC03</t>
        </is>
      </c>
      <c r="E347" s="28" t="inlineStr">
        <is>
          <t>P1</t>
        </is>
      </c>
      <c r="F347" s="29" t="inlineStr">
        <is>
          <t>Yes</t>
        </is>
      </c>
      <c r="G347" s="30">
        <f>DashboardKpiServices!J7</f>
        <v/>
      </c>
      <c r="H347" s="30">
        <f>DashboardKpiServices!K7</f>
        <v/>
      </c>
      <c r="I347" s="54">
        <f>DashboardKpiServices!M7</f>
        <v/>
      </c>
    </row>
    <row r="348" ht="15.75" customHeight="1">
      <c r="A348" s="31" t="inlineStr">
        <is>
          <t>L1-DASH-03</t>
        </is>
      </c>
      <c r="B348" s="32" t="inlineStr">
        <is>
          <t>DashboardKpiServices</t>
        </is>
      </c>
      <c r="C348" s="32" t="inlineStr">
        <is>
          <t>Phân quyền phạm vi dữ liệu</t>
        </is>
      </c>
      <c r="D348" s="32" t="inlineStr">
        <is>
          <t>FT-09 AC-01</t>
        </is>
      </c>
      <c r="E348" s="28" t="inlineStr">
        <is>
          <t>P1</t>
        </is>
      </c>
      <c r="F348" s="32" t="inlineStr">
        <is>
          <t>No</t>
        </is>
      </c>
      <c r="G348" s="33">
        <f>DashboardKpiServices!J8</f>
        <v/>
      </c>
      <c r="H348" s="33">
        <f>DashboardKpiServices!K8</f>
        <v/>
      </c>
      <c r="I348" s="54">
        <f>DashboardKpiServices!M8</f>
        <v/>
      </c>
    </row>
    <row r="349" ht="15.75" customHeight="1">
      <c r="A349" s="26" t="inlineStr">
        <is>
          <t>L1-DASH-04</t>
        </is>
      </c>
      <c r="B349" s="27" t="inlineStr">
        <is>
          <t>DashboardKpiServices</t>
        </is>
      </c>
      <c r="C349" s="27" t="inlineStr">
        <is>
          <t>Phân quyền phạm vi dữ liệu</t>
        </is>
      </c>
      <c r="D349" s="27" t="inlineStr">
        <is>
          <t>FT-09 AC-01</t>
        </is>
      </c>
      <c r="E349" s="28" t="inlineStr">
        <is>
          <t>P1</t>
        </is>
      </c>
      <c r="F349" s="27" t="inlineStr">
        <is>
          <t>No</t>
        </is>
      </c>
      <c r="G349" s="30">
        <f>DashboardKpiServices!J9</f>
        <v/>
      </c>
      <c r="H349" s="30">
        <f>DashboardKpiServices!K9</f>
        <v/>
      </c>
      <c r="I349" s="54">
        <f>DashboardKpiServices!M9</f>
        <v/>
      </c>
    </row>
    <row r="350" ht="15.75" customHeight="1">
      <c r="A350" s="31" t="inlineStr">
        <is>
          <t>L1-DASH-05</t>
        </is>
      </c>
      <c r="B350" s="32" t="inlineStr">
        <is>
          <t>DashboardKpiServices</t>
        </is>
      </c>
      <c r="C350" s="32" t="inlineStr">
        <is>
          <t>Phân quyền phạm vi dữ liệu</t>
        </is>
      </c>
      <c r="D350" s="32" t="inlineStr">
        <is>
          <t>FT-09 NAC-01; NFR-SEC03</t>
        </is>
      </c>
      <c r="E350" s="28" t="inlineStr">
        <is>
          <t>P1</t>
        </is>
      </c>
      <c r="F350" s="35" t="inlineStr">
        <is>
          <t>Yes</t>
        </is>
      </c>
      <c r="G350" s="33">
        <f>DashboardKpiServices!J10</f>
        <v/>
      </c>
      <c r="H350" s="33">
        <f>DashboardKpiServices!K10</f>
        <v/>
      </c>
      <c r="I350" s="54">
        <f>DashboardKpiServices!M10</f>
        <v/>
      </c>
    </row>
    <row r="351" ht="15.75" customHeight="1">
      <c r="A351" s="26" t="inlineStr">
        <is>
          <t>L1-DASH-06</t>
        </is>
      </c>
      <c r="B351" s="27" t="inlineStr">
        <is>
          <t>DashboardKpiServices</t>
        </is>
      </c>
      <c r="C351" s="27" t="inlineStr">
        <is>
          <t>Công thức &amp; khoảng thời gian</t>
        </is>
      </c>
      <c r="D351" s="27" t="inlineStr">
        <is>
          <t>FT-09 AC-01; BV-02</t>
        </is>
      </c>
      <c r="E351" s="28" t="inlineStr">
        <is>
          <t>P1</t>
        </is>
      </c>
      <c r="F351" s="27" t="inlineStr">
        <is>
          <t>No</t>
        </is>
      </c>
      <c r="G351" s="30">
        <f>DashboardKpiServices!J12</f>
        <v/>
      </c>
      <c r="H351" s="30">
        <f>DashboardKpiServices!K12</f>
        <v/>
      </c>
      <c r="I351" s="54">
        <f>DashboardKpiServices!M12</f>
        <v/>
      </c>
    </row>
    <row r="352" ht="15.75" customHeight="1">
      <c r="A352" s="31" t="inlineStr">
        <is>
          <t>L1-DASH-07</t>
        </is>
      </c>
      <c r="B352" s="32" t="inlineStr">
        <is>
          <t>DashboardKpiServices</t>
        </is>
      </c>
      <c r="C352" s="32" t="inlineStr">
        <is>
          <t>Công thức &amp; khoảng thời gian</t>
        </is>
      </c>
      <c r="D352" s="32" t="inlineStr">
        <is>
          <t>FT-09 AC-01</t>
        </is>
      </c>
      <c r="E352" s="28" t="inlineStr">
        <is>
          <t>P1</t>
        </is>
      </c>
      <c r="F352" s="32" t="inlineStr">
        <is>
          <t>No</t>
        </is>
      </c>
      <c r="G352" s="33">
        <f>DashboardKpiServices!J13</f>
        <v/>
      </c>
      <c r="H352" s="33">
        <f>DashboardKpiServices!K13</f>
        <v/>
      </c>
      <c r="I352" s="54">
        <f>DashboardKpiServices!M13</f>
        <v/>
      </c>
    </row>
    <row r="353" ht="15.75" customHeight="1">
      <c r="A353" s="26" t="inlineStr">
        <is>
          <t>L1-DASH-08</t>
        </is>
      </c>
      <c r="B353" s="27" t="inlineStr">
        <is>
          <t>DashboardKpiServices</t>
        </is>
      </c>
      <c r="C353" s="27" t="inlineStr">
        <is>
          <t>Công thức &amp; khoảng thời gian</t>
        </is>
      </c>
      <c r="D353" s="27" t="inlineStr">
        <is>
          <t>FT-09 AC-01</t>
        </is>
      </c>
      <c r="E353" s="34" t="inlineStr">
        <is>
          <t>P2</t>
        </is>
      </c>
      <c r="F353" s="27" t="inlineStr">
        <is>
          <t>No</t>
        </is>
      </c>
      <c r="G353" s="30">
        <f>DashboardKpiServices!J14</f>
        <v/>
      </c>
      <c r="H353" s="30">
        <f>DashboardKpiServices!K14</f>
        <v/>
      </c>
      <c r="I353" s="54">
        <f>DashboardKpiServices!M14</f>
        <v/>
      </c>
    </row>
    <row r="354" ht="15.75" customHeight="1">
      <c r="A354" s="31" t="inlineStr">
        <is>
          <t>L1-JOB-01</t>
        </is>
      </c>
      <c r="B354" s="32" t="inlineStr">
        <is>
          <t>JobRunService</t>
        </is>
      </c>
      <c r="C354" s="32" t="inlineStr">
        <is>
          <t>RunTrackedAsync()</t>
        </is>
      </c>
      <c r="D354" s="32" t="inlineStr">
        <is>
          <t>FT-09 AC-05; BR-049</t>
        </is>
      </c>
      <c r="E354" s="28" t="inlineStr">
        <is>
          <t>P1</t>
        </is>
      </c>
      <c r="F354" s="32" t="inlineStr">
        <is>
          <t>No</t>
        </is>
      </c>
      <c r="G354" s="33">
        <f>JobRunService!J6</f>
        <v/>
      </c>
      <c r="H354" s="33">
        <f>JobRunService!K6</f>
        <v/>
      </c>
      <c r="I354" s="54">
        <f>JobRunService!M6</f>
        <v/>
      </c>
    </row>
    <row r="355" ht="15.75" customHeight="1">
      <c r="A355" s="26" t="inlineStr">
        <is>
          <t>L1-JOB-02</t>
        </is>
      </c>
      <c r="B355" s="27" t="inlineStr">
        <is>
          <t>JobRunService</t>
        </is>
      </c>
      <c r="C355" s="27" t="inlineStr">
        <is>
          <t>RunTrackedAsync()</t>
        </is>
      </c>
      <c r="D355" s="27" t="inlineStr">
        <is>
          <t>FT-09 NAC-05; BR-049</t>
        </is>
      </c>
      <c r="E355" s="28" t="inlineStr">
        <is>
          <t>P1</t>
        </is>
      </c>
      <c r="F355" s="29" t="inlineStr">
        <is>
          <t>Yes</t>
        </is>
      </c>
      <c r="G355" s="30">
        <f>JobRunService!J7</f>
        <v/>
      </c>
      <c r="H355" s="30">
        <f>JobRunService!K7</f>
        <v/>
      </c>
      <c r="I355" s="54">
        <f>JobRunService!M7</f>
        <v/>
      </c>
    </row>
    <row r="356" ht="15.75" customHeight="1">
      <c r="A356" s="31" t="inlineStr">
        <is>
          <t>L1-JOB-03</t>
        </is>
      </c>
      <c r="B356" s="32" t="inlineStr">
        <is>
          <t>JobRunService</t>
        </is>
      </c>
      <c r="C356" s="32" t="inlineStr">
        <is>
          <t>RunTrackedAsync()</t>
        </is>
      </c>
      <c r="D356" s="32" t="inlineStr">
        <is>
          <t>FT-09 BV-03; BR-049</t>
        </is>
      </c>
      <c r="E356" s="28" t="inlineStr">
        <is>
          <t>P1</t>
        </is>
      </c>
      <c r="F356" s="35" t="inlineStr">
        <is>
          <t>Yes</t>
        </is>
      </c>
      <c r="G356" s="33">
        <f>JobRunService!J8</f>
        <v/>
      </c>
      <c r="H356" s="33">
        <f>JobRunService!K8</f>
        <v/>
      </c>
      <c r="I356" s="54">
        <f>JobRunService!M8</f>
        <v/>
      </c>
    </row>
    <row r="357" ht="15.75" customHeight="1">
      <c r="A357" s="26" t="inlineStr">
        <is>
          <t>L1-JOB-04</t>
        </is>
      </c>
      <c r="B357" s="27" t="inlineStr">
        <is>
          <t>JobRunService</t>
        </is>
      </c>
      <c r="C357" s="27" t="inlineStr">
        <is>
          <t>RunTrackedAsync()</t>
        </is>
      </c>
      <c r="D357" s="27" t="inlineStr">
        <is>
          <t>FT-09 NAC-05</t>
        </is>
      </c>
      <c r="E357" s="28" t="inlineStr">
        <is>
          <t>P1</t>
        </is>
      </c>
      <c r="F357" s="29" t="inlineStr">
        <is>
          <t>Yes</t>
        </is>
      </c>
      <c r="G357" s="30">
        <f>JobRunService!J9</f>
        <v/>
      </c>
      <c r="H357" s="30">
        <f>JobRunService!K9</f>
        <v/>
      </c>
      <c r="I357" s="54">
        <f>JobRunService!M9</f>
        <v/>
      </c>
    </row>
    <row r="358" ht="15.75" customHeight="1">
      <c r="A358" s="31" t="inlineStr">
        <is>
          <t>L1-JOB-05</t>
        </is>
      </c>
      <c r="B358" s="32" t="inlineStr">
        <is>
          <t>JobRunService</t>
        </is>
      </c>
      <c r="C358" s="32" t="inlineStr">
        <is>
          <t>GetLastRunAsync() / SearchAsync() / GetHealthSummaryAsync()</t>
        </is>
      </c>
      <c r="D358" s="32" t="inlineStr">
        <is>
          <t>FT-09 AC-05</t>
        </is>
      </c>
      <c r="E358" s="36" t="inlineStr">
        <is>
          <t>P2</t>
        </is>
      </c>
      <c r="F358" s="32" t="inlineStr">
        <is>
          <t>No</t>
        </is>
      </c>
      <c r="G358" s="33">
        <f>JobRunService!J11</f>
        <v/>
      </c>
      <c r="H358" s="33">
        <f>JobRunService!K11</f>
        <v/>
      </c>
      <c r="I358" s="54">
        <f>JobRunService!M11</f>
        <v/>
      </c>
    </row>
    <row r="359" ht="15.75" customHeight="1">
      <c r="A359" s="26" t="inlineStr">
        <is>
          <t>L1-JOB-06</t>
        </is>
      </c>
      <c r="B359" s="27" t="inlineStr">
        <is>
          <t>JobRunService</t>
        </is>
      </c>
      <c r="C359" s="27" t="inlineStr">
        <is>
          <t>GetLastRunAsync() / SearchAsync() / GetHealthSummaryAsync()</t>
        </is>
      </c>
      <c r="D359" s="27" t="inlineStr">
        <is>
          <t>FT-09 AC-05; NFR-A04</t>
        </is>
      </c>
      <c r="E359" s="28" t="inlineStr">
        <is>
          <t>P1</t>
        </is>
      </c>
      <c r="F359" s="27" t="inlineStr">
        <is>
          <t>No</t>
        </is>
      </c>
      <c r="G359" s="30">
        <f>JobRunService!J12</f>
        <v/>
      </c>
      <c r="H359" s="30">
        <f>JobRunService!K12</f>
        <v/>
      </c>
      <c r="I359" s="54">
        <f>JobRunService!M12</f>
        <v/>
      </c>
    </row>
    <row r="360" ht="15.75" customHeight="1">
      <c r="A360" s="31" t="inlineStr">
        <is>
          <t>L1-JOB-07</t>
        </is>
      </c>
      <c r="B360" s="32" t="inlineStr">
        <is>
          <t>JobRunService</t>
        </is>
      </c>
      <c r="C360" s="32" t="inlineStr">
        <is>
          <t>GetLastRunAsync() / SearchAsync() / GetHealthSummaryAsync()</t>
        </is>
      </c>
      <c r="D360" s="32" t="inlineStr">
        <is>
          <t>NFR-A04</t>
        </is>
      </c>
      <c r="E360" s="36" t="inlineStr">
        <is>
          <t>P2</t>
        </is>
      </c>
      <c r="F360" s="32" t="inlineStr">
        <is>
          <t>No</t>
        </is>
      </c>
      <c r="G360" s="33">
        <f>JobRunService!J13</f>
        <v/>
      </c>
      <c r="H360" s="33">
        <f>JobRunService!K13</f>
        <v/>
      </c>
      <c r="I360" s="54">
        <f>JobRunService!M13</f>
        <v/>
      </c>
    </row>
    <row r="361" ht="15.75" customHeight="1">
      <c r="A361" s="26" t="inlineStr">
        <is>
          <t>L1-SJOB-01</t>
        </is>
      </c>
      <c r="B361" s="27" t="inlineStr">
        <is>
          <t>ScheduledJobs</t>
        </is>
      </c>
      <c r="C361" s="27" t="inlineStr">
        <is>
          <t>SePayReservationExpiryJob</t>
        </is>
      </c>
      <c r="D361" s="27" t="inlineStr">
        <is>
          <t>FT-03 BV-01; BR-008</t>
        </is>
      </c>
      <c r="E361" s="28" t="inlineStr">
        <is>
          <t>P1</t>
        </is>
      </c>
      <c r="F361" s="27" t="inlineStr">
        <is>
          <t>No</t>
        </is>
      </c>
      <c r="G361" s="30">
        <f>ScheduledJobs!J6</f>
        <v/>
      </c>
      <c r="H361" s="30">
        <f>ScheduledJobs!K6</f>
        <v/>
      </c>
      <c r="I361" s="54">
        <f>ScheduledJobs!M6</f>
        <v/>
      </c>
    </row>
    <row r="362" ht="15.75" customHeight="1">
      <c r="A362" s="31" t="inlineStr">
        <is>
          <t>L1-SJOB-02</t>
        </is>
      </c>
      <c r="B362" s="32" t="inlineStr">
        <is>
          <t>ScheduledJobs</t>
        </is>
      </c>
      <c r="C362" s="32" t="inlineStr">
        <is>
          <t>SePayReservationExpiryJob</t>
        </is>
      </c>
      <c r="D362" s="32" t="inlineStr">
        <is>
          <t>FT-03 BV-01; BR-033</t>
        </is>
      </c>
      <c r="E362" s="28" t="inlineStr">
        <is>
          <t>P1</t>
        </is>
      </c>
      <c r="F362" s="32" t="inlineStr">
        <is>
          <t>No</t>
        </is>
      </c>
      <c r="G362" s="33">
        <f>ScheduledJobs!J7</f>
        <v/>
      </c>
      <c r="H362" s="33">
        <f>ScheduledJobs!K7</f>
        <v/>
      </c>
      <c r="I362" s="54">
        <f>ScheduledJobs!M7</f>
        <v/>
      </c>
    </row>
    <row r="363" ht="15.75" customHeight="1">
      <c r="A363" s="26" t="inlineStr">
        <is>
          <t>L1-SJOB-03</t>
        </is>
      </c>
      <c r="B363" s="27" t="inlineStr">
        <is>
          <t>ScheduledJobs</t>
        </is>
      </c>
      <c r="C363" s="27" t="inlineStr">
        <is>
          <t>SePayReservationExpiryJob</t>
        </is>
      </c>
      <c r="D363" s="27" t="inlineStr">
        <is>
          <t>BR-033; FT-05 AC-02</t>
        </is>
      </c>
      <c r="E363" s="28" t="inlineStr">
        <is>
          <t>P1</t>
        </is>
      </c>
      <c r="F363" s="27" t="inlineStr">
        <is>
          <t>No</t>
        </is>
      </c>
      <c r="G363" s="30">
        <f>ScheduledJobs!J8</f>
        <v/>
      </c>
      <c r="H363" s="30">
        <f>ScheduledJobs!K8</f>
        <v/>
      </c>
      <c r="I363" s="54">
        <f>ScheduledJobs!M8</f>
        <v/>
      </c>
    </row>
    <row r="364" ht="15.75" customHeight="1">
      <c r="A364" s="31" t="inlineStr">
        <is>
          <t>L1-SJOB-04</t>
        </is>
      </c>
      <c r="B364" s="32" t="inlineStr">
        <is>
          <t>ScheduledJobs</t>
        </is>
      </c>
      <c r="C364" s="32" t="inlineStr">
        <is>
          <t>SePayReservationExpiryJob</t>
        </is>
      </c>
      <c r="D364" s="32" t="inlineStr">
        <is>
          <t>BR-029; BR-032</t>
        </is>
      </c>
      <c r="E364" s="28" t="inlineStr">
        <is>
          <t>P1</t>
        </is>
      </c>
      <c r="F364" s="35" t="inlineStr">
        <is>
          <t>Yes</t>
        </is>
      </c>
      <c r="G364" s="33">
        <f>ScheduledJobs!J9</f>
        <v/>
      </c>
      <c r="H364" s="33">
        <f>ScheduledJobs!K9</f>
        <v/>
      </c>
      <c r="I364" s="54">
        <f>ScheduledJobs!M9</f>
        <v/>
      </c>
    </row>
    <row r="365" ht="15.75" customHeight="1">
      <c r="A365" s="26" t="inlineStr">
        <is>
          <t>L1-SJOB-05</t>
        </is>
      </c>
      <c r="B365" s="27" t="inlineStr">
        <is>
          <t>ScheduledJobs</t>
        </is>
      </c>
      <c r="C365" s="27" t="inlineStr">
        <is>
          <t>OrderSlaJob</t>
        </is>
      </c>
      <c r="D365" s="27" t="inlineStr">
        <is>
          <t>FT-03 BV-02; BR-010</t>
        </is>
      </c>
      <c r="E365" s="28" t="inlineStr">
        <is>
          <t>P1</t>
        </is>
      </c>
      <c r="F365" s="27" t="inlineStr">
        <is>
          <t>No</t>
        </is>
      </c>
      <c r="G365" s="30">
        <f>ScheduledJobs!J11</f>
        <v/>
      </c>
      <c r="H365" s="30">
        <f>ScheduledJobs!K11</f>
        <v/>
      </c>
      <c r="I365" s="54">
        <f>ScheduledJobs!M11</f>
        <v/>
      </c>
    </row>
    <row r="366" ht="15.75" customHeight="1">
      <c r="A366" s="31" t="inlineStr">
        <is>
          <t>L1-SJOB-06</t>
        </is>
      </c>
      <c r="B366" s="32" t="inlineStr">
        <is>
          <t>ScheduledJobs</t>
        </is>
      </c>
      <c r="C366" s="32" t="inlineStr">
        <is>
          <t>OrderSlaJob</t>
        </is>
      </c>
      <c r="D366" s="32" t="inlineStr">
        <is>
          <t>FT-03 BV-02; BR-010</t>
        </is>
      </c>
      <c r="E366" s="28" t="inlineStr">
        <is>
          <t>P1</t>
        </is>
      </c>
      <c r="F366" s="32" t="inlineStr">
        <is>
          <t>No</t>
        </is>
      </c>
      <c r="G366" s="33">
        <f>ScheduledJobs!J12</f>
        <v/>
      </c>
      <c r="H366" s="33">
        <f>ScheduledJobs!K12</f>
        <v/>
      </c>
      <c r="I366" s="54">
        <f>ScheduledJobs!M12</f>
        <v/>
      </c>
    </row>
    <row r="367" ht="15.75" customHeight="1">
      <c r="A367" s="26" t="inlineStr">
        <is>
          <t>L1-SJOB-07</t>
        </is>
      </c>
      <c r="B367" s="27" t="inlineStr">
        <is>
          <t>ScheduledJobs</t>
        </is>
      </c>
      <c r="C367" s="27" t="inlineStr">
        <is>
          <t>OrderSlaJob</t>
        </is>
      </c>
      <c r="D367" s="27" t="inlineStr">
        <is>
          <t>FT-03 BV-02; BR-008</t>
        </is>
      </c>
      <c r="E367" s="28" t="inlineStr">
        <is>
          <t>P1</t>
        </is>
      </c>
      <c r="F367" s="27" t="inlineStr">
        <is>
          <t>No</t>
        </is>
      </c>
      <c r="G367" s="30">
        <f>ScheduledJobs!J13</f>
        <v/>
      </c>
      <c r="H367" s="30">
        <f>ScheduledJobs!K13</f>
        <v/>
      </c>
      <c r="I367" s="54">
        <f>ScheduledJobs!M13</f>
        <v/>
      </c>
    </row>
    <row r="368" ht="15.75" customHeight="1">
      <c r="A368" s="31" t="inlineStr">
        <is>
          <t>L1-SJOB-08</t>
        </is>
      </c>
      <c r="B368" s="32" t="inlineStr">
        <is>
          <t>ScheduledJobs</t>
        </is>
      </c>
      <c r="C368" s="32" t="inlineStr">
        <is>
          <t>OrderSlaJob</t>
        </is>
      </c>
      <c r="D368" s="32" t="inlineStr">
        <is>
          <t>FT-09 AC-02; BR-049</t>
        </is>
      </c>
      <c r="E368" s="28" t="inlineStr">
        <is>
          <t>P1</t>
        </is>
      </c>
      <c r="F368" s="35" t="inlineStr">
        <is>
          <t>Yes</t>
        </is>
      </c>
      <c r="G368" s="33">
        <f>ScheduledJobs!J14</f>
        <v/>
      </c>
      <c r="H368" s="33">
        <f>ScheduledJobs!K14</f>
        <v/>
      </c>
      <c r="I368" s="54">
        <f>ScheduledJobs!M14</f>
        <v/>
      </c>
    </row>
    <row r="369" ht="15.75" customHeight="1">
      <c r="A369" s="26" t="inlineStr">
        <is>
          <t>L1-SJOB-09</t>
        </is>
      </c>
      <c r="B369" s="27" t="inlineStr">
        <is>
          <t>ScheduledJobs</t>
        </is>
      </c>
      <c r="C369" s="27" t="inlineStr">
        <is>
          <t>SePayWebhookRetryJob</t>
        </is>
      </c>
      <c r="D369" s="27" t="inlineStr">
        <is>
          <t>BR-049</t>
        </is>
      </c>
      <c r="E369" s="28" t="inlineStr">
        <is>
          <t>P1</t>
        </is>
      </c>
      <c r="F369" s="27" t="inlineStr">
        <is>
          <t>No</t>
        </is>
      </c>
      <c r="G369" s="30">
        <f>ScheduledJobs!J16</f>
        <v/>
      </c>
      <c r="H369" s="30">
        <f>ScheduledJobs!K16</f>
        <v/>
      </c>
      <c r="I369" s="54">
        <f>ScheduledJobs!M16</f>
        <v/>
      </c>
    </row>
    <row r="370" ht="15.75" customHeight="1">
      <c r="A370" s="31" t="inlineStr">
        <is>
          <t>L1-SJOB-10</t>
        </is>
      </c>
      <c r="B370" s="32" t="inlineStr">
        <is>
          <t>ScheduledJobs</t>
        </is>
      </c>
      <c r="C370" s="32" t="inlineStr">
        <is>
          <t>SePayWebhookRetryJob</t>
        </is>
      </c>
      <c r="D370" s="32" t="inlineStr">
        <is>
          <t>FT-03 NAC-02; BR-029</t>
        </is>
      </c>
      <c r="E370" s="28" t="inlineStr">
        <is>
          <t>P1</t>
        </is>
      </c>
      <c r="F370" s="35" t="inlineStr">
        <is>
          <t>Yes</t>
        </is>
      </c>
      <c r="G370" s="33">
        <f>ScheduledJobs!J17</f>
        <v/>
      </c>
      <c r="H370" s="33">
        <f>ScheduledJobs!K17</f>
        <v/>
      </c>
      <c r="I370" s="54">
        <f>ScheduledJobs!M17</f>
        <v/>
      </c>
    </row>
    <row r="371" ht="15.75" customHeight="1">
      <c r="A371" s="26" t="inlineStr">
        <is>
          <t>L1-SJOB-11</t>
        </is>
      </c>
      <c r="B371" s="27" t="inlineStr">
        <is>
          <t>ScheduledJobs</t>
        </is>
      </c>
      <c r="C371" s="27" t="inlineStr">
        <is>
          <t>LowStockAlertJob</t>
        </is>
      </c>
      <c r="D371" s="27" t="inlineStr">
        <is>
          <t>FT-12 AC-04; BV-03</t>
        </is>
      </c>
      <c r="E371" s="28" t="inlineStr">
        <is>
          <t>P1</t>
        </is>
      </c>
      <c r="F371" s="27" t="inlineStr">
        <is>
          <t>No</t>
        </is>
      </c>
      <c r="G371" s="30">
        <f>ScheduledJobs!J19</f>
        <v/>
      </c>
      <c r="H371" s="30">
        <f>ScheduledJobs!K19</f>
        <v/>
      </c>
      <c r="I371" s="54">
        <f>ScheduledJobs!M19</f>
        <v/>
      </c>
    </row>
    <row r="372" ht="15.75" customHeight="1">
      <c r="A372" s="31" t="inlineStr">
        <is>
          <t>L1-SJOB-12</t>
        </is>
      </c>
      <c r="B372" s="32" t="inlineStr">
        <is>
          <t>ScheduledJobs</t>
        </is>
      </c>
      <c r="C372" s="32" t="inlineStr">
        <is>
          <t>LowStockAlertJob</t>
        </is>
      </c>
      <c r="D372" s="32" t="inlineStr">
        <is>
          <t>FT-12 AC-04; FT-09 AC-02</t>
        </is>
      </c>
      <c r="E372" s="28" t="inlineStr">
        <is>
          <t>P1</t>
        </is>
      </c>
      <c r="F372" s="35" t="inlineStr">
        <is>
          <t>Yes</t>
        </is>
      </c>
      <c r="G372" s="33">
        <f>ScheduledJobs!J20</f>
        <v/>
      </c>
      <c r="H372" s="33">
        <f>ScheduledJobs!K20</f>
        <v/>
      </c>
      <c r="I372" s="54">
        <f>ScheduledJobs!M20</f>
        <v/>
      </c>
    </row>
    <row r="373" ht="15.75" customHeight="1">
      <c r="A373" s="26" t="inlineStr">
        <is>
          <t>L1-SJOB-13</t>
        </is>
      </c>
      <c r="B373" s="27" t="inlineStr">
        <is>
          <t>ScheduledJobs</t>
        </is>
      </c>
      <c r="C373" s="27" t="inlineStr">
        <is>
          <t>LowStockAlertJob</t>
        </is>
      </c>
      <c r="D373" s="27" t="inlineStr">
        <is>
          <t>FT-12 AC-04</t>
        </is>
      </c>
      <c r="E373" s="34" t="inlineStr">
        <is>
          <t>P2</t>
        </is>
      </c>
      <c r="F373" s="27" t="inlineStr">
        <is>
          <t>No</t>
        </is>
      </c>
      <c r="G373" s="30">
        <f>ScheduledJobs!J21</f>
        <v/>
      </c>
      <c r="H373" s="30">
        <f>ScheduledJobs!K21</f>
        <v/>
      </c>
      <c r="I373" s="54">
        <f>ScheduledJobs!M21</f>
        <v/>
      </c>
    </row>
    <row r="374" ht="15.75" customHeight="1">
      <c r="A374" s="31" t="inlineStr">
        <is>
          <t>L1-SJOB-14</t>
        </is>
      </c>
      <c r="B374" s="32" t="inlineStr">
        <is>
          <t>ScheduledJobs</t>
        </is>
      </c>
      <c r="C374" s="32" t="inlineStr">
        <is>
          <t>MarketingPostMakeScheduleJob</t>
        </is>
      </c>
      <c r="D374" s="32" t="inlineStr">
        <is>
          <t>FT-10; BR-046</t>
        </is>
      </c>
      <c r="E374" s="28" t="inlineStr">
        <is>
          <t>P1</t>
        </is>
      </c>
      <c r="F374" s="32" t="inlineStr">
        <is>
          <t>No</t>
        </is>
      </c>
      <c r="G374" s="33">
        <f>ScheduledJobs!J23</f>
        <v/>
      </c>
      <c r="H374" s="33">
        <f>ScheduledJobs!K23</f>
        <v/>
      </c>
      <c r="I374" s="54">
        <f>ScheduledJobs!M23</f>
        <v/>
      </c>
    </row>
    <row r="375" ht="15.75" customHeight="1">
      <c r="A375" s="26" t="inlineStr">
        <is>
          <t>L1-SJOB-15</t>
        </is>
      </c>
      <c r="B375" s="27" t="inlineStr">
        <is>
          <t>ScheduledJobs</t>
        </is>
      </c>
      <c r="C375" s="27" t="inlineStr">
        <is>
          <t>MarketingPostMakeScheduleJob</t>
        </is>
      </c>
      <c r="D375" s="27" t="inlineStr">
        <is>
          <t>BR-029; BR-049</t>
        </is>
      </c>
      <c r="E375" s="28" t="inlineStr">
        <is>
          <t>P1</t>
        </is>
      </c>
      <c r="F375" s="29" t="inlineStr">
        <is>
          <t>Yes</t>
        </is>
      </c>
      <c r="G375" s="30">
        <f>ScheduledJobs!J24</f>
        <v/>
      </c>
      <c r="H375" s="30">
        <f>ScheduledJobs!K24</f>
        <v/>
      </c>
      <c r="I375" s="54">
        <f>ScheduledJobs!M24</f>
        <v/>
      </c>
    </row>
    <row r="376" ht="15.75" customHeight="1">
      <c r="A376" s="31" t="inlineStr">
        <is>
          <t>L1-SJOB-16</t>
        </is>
      </c>
      <c r="B376" s="32" t="inlineStr">
        <is>
          <t>ScheduledJobs</t>
        </is>
      </c>
      <c r="C376" s="32" t="inlineStr">
        <is>
          <t>MarketingPostMakeScheduleJob</t>
        </is>
      </c>
      <c r="D376" s="32" t="inlineStr">
        <is>
          <t>BR-049; FT-09 AC-05</t>
        </is>
      </c>
      <c r="E376" s="28" t="inlineStr">
        <is>
          <t>P1</t>
        </is>
      </c>
      <c r="F376" s="35" t="inlineStr">
        <is>
          <t>Yes</t>
        </is>
      </c>
      <c r="G376" s="33">
        <f>ScheduledJobs!J25</f>
        <v/>
      </c>
      <c r="H376" s="33">
        <f>ScheduledJobs!K25</f>
        <v/>
      </c>
      <c r="I376" s="54">
        <f>ScheduledJobs!M25</f>
        <v/>
      </c>
    </row>
    <row r="377" ht="15.75" customHeight="1">
      <c r="A377" s="26" t="inlineStr">
        <is>
          <t>L1-EXT-01</t>
        </is>
      </c>
      <c r="B377" s="27" t="inlineStr">
        <is>
          <t>ExternalIntegrations</t>
        </is>
      </c>
      <c r="C377" s="27" t="inlineStr">
        <is>
          <t>EmailService / eSmsService</t>
        </is>
      </c>
      <c r="D377" s="27" t="inlineStr">
        <is>
          <t>FT-01 AC-02; NFR-U02</t>
        </is>
      </c>
      <c r="E377" s="34" t="inlineStr">
        <is>
          <t>P2</t>
        </is>
      </c>
      <c r="F377" s="27" t="inlineStr">
        <is>
          <t>No</t>
        </is>
      </c>
      <c r="G377" s="30">
        <f>ExternalIntegrations!J6</f>
        <v/>
      </c>
      <c r="H377" s="30">
        <f>ExternalIntegrations!K6</f>
        <v/>
      </c>
      <c r="I377" s="54">
        <f>ExternalIntegrations!M6</f>
        <v/>
      </c>
    </row>
    <row r="378" ht="15.75" customHeight="1">
      <c r="A378" s="31" t="inlineStr">
        <is>
          <t>L1-EXT-02</t>
        </is>
      </c>
      <c r="B378" s="32" t="inlineStr">
        <is>
          <t>ExternalIntegrations</t>
        </is>
      </c>
      <c r="C378" s="32" t="inlineStr">
        <is>
          <t>EmailService / eSmsService</t>
        </is>
      </c>
      <c r="D378" s="32" t="inlineStr">
        <is>
          <t>NFR-A02</t>
        </is>
      </c>
      <c r="E378" s="28" t="inlineStr">
        <is>
          <t>P1</t>
        </is>
      </c>
      <c r="F378" s="35" t="inlineStr">
        <is>
          <t>Yes</t>
        </is>
      </c>
      <c r="G378" s="33">
        <f>ExternalIntegrations!J7</f>
        <v/>
      </c>
      <c r="H378" s="33">
        <f>ExternalIntegrations!K7</f>
        <v/>
      </c>
      <c r="I378" s="54">
        <f>ExternalIntegrations!M7</f>
        <v/>
      </c>
    </row>
    <row r="379" ht="15.75" customHeight="1">
      <c r="A379" s="26" t="inlineStr">
        <is>
          <t>L1-EXT-03</t>
        </is>
      </c>
      <c r="B379" s="27" t="inlineStr">
        <is>
          <t>ExternalIntegrations</t>
        </is>
      </c>
      <c r="C379" s="27" t="inlineStr">
        <is>
          <t>EmailService / eSmsService</t>
        </is>
      </c>
      <c r="D379" s="27" t="inlineStr">
        <is>
          <t>FT-01 AC-04</t>
        </is>
      </c>
      <c r="E379" s="34" t="inlineStr">
        <is>
          <t>P2</t>
        </is>
      </c>
      <c r="F379" s="27" t="inlineStr">
        <is>
          <t>No</t>
        </is>
      </c>
      <c r="G379" s="30">
        <f>ExternalIntegrations!J8</f>
        <v/>
      </c>
      <c r="H379" s="30">
        <f>ExternalIntegrations!K8</f>
        <v/>
      </c>
      <c r="I379" s="54">
        <f>ExternalIntegrations!M8</f>
        <v/>
      </c>
    </row>
    <row r="380" ht="15.75" customHeight="1">
      <c r="A380" s="31" t="inlineStr">
        <is>
          <t>L1-EXT-04</t>
        </is>
      </c>
      <c r="B380" s="32" t="inlineStr">
        <is>
          <t>ExternalIntegrations</t>
        </is>
      </c>
      <c r="C380" s="32" t="inlineStr">
        <is>
          <t>EmailService / eSmsService</t>
        </is>
      </c>
      <c r="D380" s="32" t="inlineStr">
        <is>
          <t>NFR-A02; FT-01 NAC-02</t>
        </is>
      </c>
      <c r="E380" s="28" t="inlineStr">
        <is>
          <t>P1</t>
        </is>
      </c>
      <c r="F380" s="35" t="inlineStr">
        <is>
          <t>Yes</t>
        </is>
      </c>
      <c r="G380" s="33">
        <f>ExternalIntegrations!J9</f>
        <v/>
      </c>
      <c r="H380" s="33">
        <f>ExternalIntegrations!K9</f>
        <v/>
      </c>
      <c r="I380" s="54">
        <f>ExternalIntegrations!M9</f>
        <v/>
      </c>
    </row>
    <row r="381" ht="15.75" customHeight="1">
      <c r="A381" s="26" t="inlineStr">
        <is>
          <t>L1-EXT-05</t>
        </is>
      </c>
      <c r="B381" s="27" t="inlineStr">
        <is>
          <t>ExternalIntegrations</t>
        </is>
      </c>
      <c r="C381" s="27" t="inlineStr">
        <is>
          <t>CloudinaryService / MakeWebhookService / AiGeneratorService</t>
        </is>
      </c>
      <c r="D381" s="27" t="inlineStr">
        <is>
          <t>NFR-SEC07</t>
        </is>
      </c>
      <c r="E381" s="34" t="inlineStr">
        <is>
          <t>P3</t>
        </is>
      </c>
      <c r="F381" s="27" t="inlineStr">
        <is>
          <t>No</t>
        </is>
      </c>
      <c r="G381" s="30">
        <f>ExternalIntegrations!J11</f>
        <v/>
      </c>
      <c r="H381" s="30">
        <f>ExternalIntegrations!K11</f>
        <v/>
      </c>
      <c r="I381" s="54">
        <f>ExternalIntegrations!M11</f>
        <v/>
      </c>
    </row>
    <row r="382" ht="15.75" customHeight="1">
      <c r="A382" s="31" t="inlineStr">
        <is>
          <t>L1-EXT-06</t>
        </is>
      </c>
      <c r="B382" s="32" t="inlineStr">
        <is>
          <t>ExternalIntegrations</t>
        </is>
      </c>
      <c r="C382" s="32" t="inlineStr">
        <is>
          <t>CloudinaryService / MakeWebhookService / AiGeneratorService</t>
        </is>
      </c>
      <c r="D382" s="32" t="inlineStr">
        <is>
          <t>NFR-SEC07</t>
        </is>
      </c>
      <c r="E382" s="28" t="inlineStr">
        <is>
          <t>P1</t>
        </is>
      </c>
      <c r="F382" s="35" t="inlineStr">
        <is>
          <t>Yes</t>
        </is>
      </c>
      <c r="G382" s="33">
        <f>ExternalIntegrations!J12</f>
        <v/>
      </c>
      <c r="H382" s="33">
        <f>ExternalIntegrations!K12</f>
        <v/>
      </c>
      <c r="I382" s="54">
        <f>ExternalIntegrations!M12</f>
        <v/>
      </c>
    </row>
    <row r="383" ht="15.75" customHeight="1">
      <c r="A383" s="26" t="inlineStr">
        <is>
          <t>L1-EXT-07</t>
        </is>
      </c>
      <c r="B383" s="27" t="inlineStr">
        <is>
          <t>ExternalIntegrations</t>
        </is>
      </c>
      <c r="C383" s="27" t="inlineStr">
        <is>
          <t>CloudinaryService / MakeWebhookService / AiGeneratorService</t>
        </is>
      </c>
      <c r="D383" s="27" t="inlineStr">
        <is>
          <t>FT-10; NFR-P07</t>
        </is>
      </c>
      <c r="E383" s="34" t="inlineStr">
        <is>
          <t>P2</t>
        </is>
      </c>
      <c r="F383" s="27" t="inlineStr">
        <is>
          <t>No</t>
        </is>
      </c>
      <c r="G383" s="30">
        <f>ExternalIntegrations!J13</f>
        <v/>
      </c>
      <c r="H383" s="30">
        <f>ExternalIntegrations!K13</f>
        <v/>
      </c>
      <c r="I383" s="54">
        <f>ExternalIntegrations!M13</f>
        <v/>
      </c>
    </row>
    <row r="384" ht="15.75" customHeight="1">
      <c r="A384" s="31" t="inlineStr">
        <is>
          <t>L1-EXT-08</t>
        </is>
      </c>
      <c r="B384" s="32" t="inlineStr">
        <is>
          <t>ExternalIntegrations</t>
        </is>
      </c>
      <c r="C384" s="32" t="inlineStr">
        <is>
          <t>CloudinaryService / MakeWebhookService / AiGeneratorService</t>
        </is>
      </c>
      <c r="D384" s="32" t="inlineStr">
        <is>
          <t>NFR-P07; NFR-A02</t>
        </is>
      </c>
      <c r="E384" s="36" t="inlineStr">
        <is>
          <t>P2</t>
        </is>
      </c>
      <c r="F384" s="35" t="inlineStr">
        <is>
          <t>Yes</t>
        </is>
      </c>
      <c r="G384" s="33">
        <f>ExternalIntegrations!J14</f>
        <v/>
      </c>
      <c r="H384" s="33">
        <f>ExternalIntegrations!K14</f>
        <v/>
      </c>
      <c r="I384" s="54">
        <f>ExternalIntegrations!M14</f>
        <v/>
      </c>
    </row>
    <row r="385" ht="15.75" customHeight="1">
      <c r="A385" s="26" t="inlineStr">
        <is>
          <t>L1-REG-01</t>
        </is>
      </c>
      <c r="B385" s="27" t="inlineStr">
        <is>
          <t>RegressionFixes</t>
        </is>
      </c>
      <c r="C385" s="27" t="inlineStr">
        <is>
          <t>81434ce — Vá IDOR / auth / state-guard</t>
        </is>
      </c>
      <c r="D385" s="27" t="inlineStr">
        <is>
          <t>FT-05 NAC-05; NFR-SEC03</t>
        </is>
      </c>
      <c r="E385" s="28" t="inlineStr">
        <is>
          <t>P1</t>
        </is>
      </c>
      <c r="F385" s="29" t="inlineStr">
        <is>
          <t>Yes</t>
        </is>
      </c>
      <c r="G385" s="30">
        <f>RegressionFixes!J6</f>
        <v/>
      </c>
      <c r="H385" s="30">
        <f>RegressionFixes!K6</f>
        <v/>
      </c>
      <c r="I385" s="54">
        <f>RegressionFixes!M6</f>
        <v/>
      </c>
    </row>
    <row r="386" ht="15.75" customHeight="1">
      <c r="A386" s="31" t="inlineStr">
        <is>
          <t>L1-REG-02</t>
        </is>
      </c>
      <c r="B386" s="32" t="inlineStr">
        <is>
          <t>RegressionFixes</t>
        </is>
      </c>
      <c r="C386" s="32" t="inlineStr">
        <is>
          <t>81434ce — Vá IDOR / auth / state-guard</t>
        </is>
      </c>
      <c r="D386" s="32" t="inlineStr">
        <is>
          <t>FT-02 NAC-05; NFR-SEC03</t>
        </is>
      </c>
      <c r="E386" s="28" t="inlineStr">
        <is>
          <t>P1</t>
        </is>
      </c>
      <c r="F386" s="35" t="inlineStr">
        <is>
          <t>Yes</t>
        </is>
      </c>
      <c r="G386" s="33">
        <f>RegressionFixes!J7</f>
        <v/>
      </c>
      <c r="H386" s="33">
        <f>RegressionFixes!K7</f>
        <v/>
      </c>
      <c r="I386" s="54">
        <f>RegressionFixes!M7</f>
        <v/>
      </c>
    </row>
    <row r="387" ht="15.75" customHeight="1">
      <c r="A387" s="26" t="inlineStr">
        <is>
          <t>L1-REG-03</t>
        </is>
      </c>
      <c r="B387" s="27" t="inlineStr">
        <is>
          <t>RegressionFixes</t>
        </is>
      </c>
      <c r="C387" s="27" t="inlineStr">
        <is>
          <t>81434ce — Vá IDOR / auth / state-guard</t>
        </is>
      </c>
      <c r="D387" s="27" t="inlineStr">
        <is>
          <t>FT-11 NAC-04; NFR-SEC03</t>
        </is>
      </c>
      <c r="E387" s="28" t="inlineStr">
        <is>
          <t>P1</t>
        </is>
      </c>
      <c r="F387" s="29" t="inlineStr">
        <is>
          <t>Yes</t>
        </is>
      </c>
      <c r="G387" s="30">
        <f>RegressionFixes!J8</f>
        <v/>
      </c>
      <c r="H387" s="30">
        <f>RegressionFixes!K8</f>
        <v/>
      </c>
      <c r="I387" s="54">
        <f>RegressionFixes!M8</f>
        <v/>
      </c>
    </row>
    <row r="388" ht="15.75" customHeight="1">
      <c r="A388" s="31" t="inlineStr">
        <is>
          <t>L1-REG-04</t>
        </is>
      </c>
      <c r="B388" s="32" t="inlineStr">
        <is>
          <t>RegressionFixes</t>
        </is>
      </c>
      <c r="C388" s="32" t="inlineStr">
        <is>
          <t>81434ce — Vá IDOR / auth / state-guard</t>
        </is>
      </c>
      <c r="D388" s="32" t="inlineStr">
        <is>
          <t>FT-06 NAC-04; BR-021</t>
        </is>
      </c>
      <c r="E388" s="28" t="inlineStr">
        <is>
          <t>P1</t>
        </is>
      </c>
      <c r="F388" s="35" t="inlineStr">
        <is>
          <t>Yes</t>
        </is>
      </c>
      <c r="G388" s="33">
        <f>RegressionFixes!J9</f>
        <v/>
      </c>
      <c r="H388" s="33">
        <f>RegressionFixes!K9</f>
        <v/>
      </c>
      <c r="I388" s="54">
        <f>RegressionFixes!M9</f>
        <v/>
      </c>
    </row>
    <row r="389" ht="15.75" customHeight="1">
      <c r="A389" s="26" t="inlineStr">
        <is>
          <t>L1-REG-05</t>
        </is>
      </c>
      <c r="B389" s="27" t="inlineStr">
        <is>
          <t>RegressionFixes</t>
        </is>
      </c>
      <c r="C389" s="27" t="inlineStr">
        <is>
          <t>510915c — Race condition &amp; guard huỷ/thanh toán</t>
        </is>
      </c>
      <c r="D389" s="27" t="inlineStr">
        <is>
          <t>FT-05 NAC-01; NFR-A05; BR-032</t>
        </is>
      </c>
      <c r="E389" s="28" t="inlineStr">
        <is>
          <t>P1</t>
        </is>
      </c>
      <c r="F389" s="27" t="inlineStr">
        <is>
          <t>No</t>
        </is>
      </c>
      <c r="G389" s="30">
        <f>RegressionFixes!J11</f>
        <v/>
      </c>
      <c r="H389" s="30">
        <f>RegressionFixes!K11</f>
        <v/>
      </c>
      <c r="I389" s="54">
        <f>RegressionFixes!M11</f>
        <v/>
      </c>
    </row>
    <row r="390" ht="15.75" customHeight="1">
      <c r="A390" s="31" t="inlineStr">
        <is>
          <t>L1-REG-06</t>
        </is>
      </c>
      <c r="B390" s="32" t="inlineStr">
        <is>
          <t>RegressionFixes</t>
        </is>
      </c>
      <c r="C390" s="32" t="inlineStr">
        <is>
          <t>510915c — Race condition &amp; guard huỷ/thanh toán</t>
        </is>
      </c>
      <c r="D390" s="32" t="inlineStr">
        <is>
          <t>FT-08 NAC-05; 4.4.1</t>
        </is>
      </c>
      <c r="E390" s="28" t="inlineStr">
        <is>
          <t>P1</t>
        </is>
      </c>
      <c r="F390" s="35" t="inlineStr">
        <is>
          <t>Yes</t>
        </is>
      </c>
      <c r="G390" s="33">
        <f>RegressionFixes!J12</f>
        <v/>
      </c>
      <c r="H390" s="33">
        <f>RegressionFixes!K12</f>
        <v/>
      </c>
      <c r="I390" s="54">
        <f>RegressionFixes!M12</f>
        <v/>
      </c>
    </row>
    <row r="391" ht="15.75" customHeight="1">
      <c r="A391" s="26" t="inlineStr">
        <is>
          <t>L1-REG-07</t>
        </is>
      </c>
      <c r="B391" s="27" t="inlineStr">
        <is>
          <t>RegressionFixes</t>
        </is>
      </c>
      <c r="C391" s="27" t="inlineStr">
        <is>
          <t>510915c — Race condition &amp; guard huỷ/thanh toán</t>
        </is>
      </c>
      <c r="D391" s="27" t="inlineStr">
        <is>
          <t>FT-03 NAC-02; BR-016</t>
        </is>
      </c>
      <c r="E391" s="28" t="inlineStr">
        <is>
          <t>P1</t>
        </is>
      </c>
      <c r="F391" s="29" t="inlineStr">
        <is>
          <t>Yes</t>
        </is>
      </c>
      <c r="G391" s="30">
        <f>RegressionFixes!J13</f>
        <v/>
      </c>
      <c r="H391" s="30">
        <f>RegressionFixes!K13</f>
        <v/>
      </c>
      <c r="I391" s="54">
        <f>RegressionFixes!M13</f>
        <v/>
      </c>
    </row>
    <row r="392" ht="15.75" customHeight="1">
      <c r="A392" s="31" t="inlineStr">
        <is>
          <t>L1-REG-08</t>
        </is>
      </c>
      <c r="B392" s="32" t="inlineStr">
        <is>
          <t>RegressionFixes</t>
        </is>
      </c>
      <c r="C392" s="32" t="inlineStr">
        <is>
          <t>510915c — Race condition &amp; guard huỷ/thanh toán</t>
        </is>
      </c>
      <c r="D392" s="32" t="inlineStr">
        <is>
          <t>FT-09 NAC-01; NFR-SEC03</t>
        </is>
      </c>
      <c r="E392" s="28" t="inlineStr">
        <is>
          <t>P1</t>
        </is>
      </c>
      <c r="F392" s="35" t="inlineStr">
        <is>
          <t>Yes</t>
        </is>
      </c>
      <c r="G392" s="33">
        <f>RegressionFixes!J14</f>
        <v/>
      </c>
      <c r="H392" s="33">
        <f>RegressionFixes!K14</f>
        <v/>
      </c>
      <c r="I392" s="54">
        <f>RegressionFixes!M14</f>
        <v/>
      </c>
    </row>
    <row r="393" ht="15.75" customHeight="1">
      <c r="A393" s="26" t="inlineStr">
        <is>
          <t>L1-REG-09</t>
        </is>
      </c>
      <c r="B393" s="27" t="inlineStr">
        <is>
          <t>RegressionFixes</t>
        </is>
      </c>
      <c r="C393" s="27" t="inlineStr">
        <is>
          <t>f5b6b5e + ae6fed6 — Validation DTO &amp; 6 bug logic</t>
        </is>
      </c>
      <c r="D393" s="27" t="inlineStr">
        <is>
          <t>FT-01 AC-05; FT-05 BV-02</t>
        </is>
      </c>
      <c r="E393" s="28" t="inlineStr">
        <is>
          <t>P1</t>
        </is>
      </c>
      <c r="F393" s="29" t="inlineStr">
        <is>
          <t>Yes</t>
        </is>
      </c>
      <c r="G393" s="30">
        <f>RegressionFixes!J16</f>
        <v/>
      </c>
      <c r="H393" s="30">
        <f>RegressionFixes!K16</f>
        <v/>
      </c>
      <c r="I393" s="54">
        <f>RegressionFixes!M16</f>
        <v/>
      </c>
    </row>
    <row r="394" ht="15.75" customHeight="1">
      <c r="A394" s="31" t="inlineStr">
        <is>
          <t>L1-REG-10</t>
        </is>
      </c>
      <c r="B394" s="32" t="inlineStr">
        <is>
          <t>RegressionFixes</t>
        </is>
      </c>
      <c r="C394" s="32" t="inlineStr">
        <is>
          <t>f5b6b5e + ae6fed6 — Validation DTO &amp; 6 bug logic</t>
        </is>
      </c>
      <c r="D394" s="32" t="inlineStr">
        <is>
          <t>FT-01 AC-03; BV-03; BR-028</t>
        </is>
      </c>
      <c r="E394" s="28" t="inlineStr">
        <is>
          <t>P1</t>
        </is>
      </c>
      <c r="F394" s="32" t="inlineStr">
        <is>
          <t>No</t>
        </is>
      </c>
      <c r="G394" s="33">
        <f>RegressionFixes!J17</f>
        <v/>
      </c>
      <c r="H394" s="33">
        <f>RegressionFixes!K17</f>
        <v/>
      </c>
      <c r="I394" s="54">
        <f>RegressionFixes!M17</f>
        <v/>
      </c>
    </row>
    <row r="395" ht="15.75" customHeight="1">
      <c r="A395" s="26" t="inlineStr">
        <is>
          <t>L1-REG-11</t>
        </is>
      </c>
      <c r="B395" s="27" t="inlineStr">
        <is>
          <t>RegressionFixes</t>
        </is>
      </c>
      <c r="C395" s="27" t="inlineStr">
        <is>
          <t>f5b6b5e + ae6fed6 — Validation DTO &amp; 6 bug logic</t>
        </is>
      </c>
      <c r="D395" s="27" t="inlineStr">
        <is>
          <t>FT-12 AC-05</t>
        </is>
      </c>
      <c r="E395" s="34" t="inlineStr">
        <is>
          <t>P3</t>
        </is>
      </c>
      <c r="F395" s="27" t="inlineStr">
        <is>
          <t>No</t>
        </is>
      </c>
      <c r="G395" s="30">
        <f>RegressionFixes!J18</f>
        <v/>
      </c>
      <c r="H395" s="30">
        <f>RegressionFixes!K18</f>
        <v/>
      </c>
      <c r="I395" s="54">
        <f>RegressionFixes!M18</f>
        <v/>
      </c>
    </row>
    <row r="396" ht="15.75" customHeight="1">
      <c r="A396" s="31" t="inlineStr">
        <is>
          <t>L1-REG-12</t>
        </is>
      </c>
      <c r="B396" s="32" t="inlineStr">
        <is>
          <t>RegressionFixes</t>
        </is>
      </c>
      <c r="C396" s="32" t="inlineStr">
        <is>
          <t>f5b6b5e + ae6fed6 — Validation DTO &amp; 6 bug logic</t>
        </is>
      </c>
      <c r="D396" s="32" t="inlineStr">
        <is>
          <t>FT-05 NAC-01; FT-06 NAC-03; BR-032</t>
        </is>
      </c>
      <c r="E396" s="28" t="inlineStr">
        <is>
          <t>P1</t>
        </is>
      </c>
      <c r="F396" s="35" t="inlineStr">
        <is>
          <t>Yes</t>
        </is>
      </c>
      <c r="G396" s="33">
        <f>RegressionFixes!J19</f>
        <v/>
      </c>
      <c r="H396" s="33">
        <f>RegressionFixes!K19</f>
        <v/>
      </c>
      <c r="I396" s="54">
        <f>RegressionFixes!M19</f>
        <v/>
      </c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0"/>
  <sheetViews>
    <sheetView showGridLines="0" topLeftCell="E1" zoomScaleNormal="100" workbookViewId="0">
      <pane ySplit="4" topLeftCell="A7" activePane="bottomLeft" state="frozen"/>
      <selection pane="bottomLeft" activeCell="A1" sqref="A1:L1"/>
    </sheetView>
  </sheetViews>
  <sheetFormatPr baseColWidth="8" defaultColWidth="8.7109375" defaultRowHeight="15"/>
  <cols>
    <col width="12" customWidth="1" min="1" max="1"/>
    <col width="20" customWidth="1" min="2" max="2"/>
    <col width="52" customWidth="1" min="3" max="3"/>
    <col width="22" customWidth="1" min="4" max="4"/>
    <col width="9" customWidth="1" min="5" max="5"/>
    <col width="30" customWidth="1" min="6" max="6"/>
    <col width="26" customWidth="1" min="7" max="7"/>
    <col width="30" customWidth="1" min="8" max="8"/>
    <col width="11" customWidth="1" min="9" max="9"/>
    <col width="10" customWidth="1" min="10" max="11"/>
    <col width="46" customWidth="1" min="12" max="12"/>
  </cols>
  <sheetData>
    <row r="1" ht="25.5" customHeight="1">
      <c r="A1" s="48" t="inlineStr">
        <is>
          <t>Coverage Appendix  |  Test coverage code-driven — 239 nhóm hành vi / 692 test con  |  KHÔNG phải test case truy vết SRS: mỗi dòng là 1 hành vi ở tầng controller/hạ tầng, được phủ bởi nhiều test method. Test case truy vết SRS (390) nằm ở 37 sheet service.</t>
        </is>
      </c>
    </row>
    <row r="2" ht="25.5" customHeight="1">
      <c r="A2" s="49" t="inlineStr">
        <is>
          <t>QUY ƯỚC ĐẾM: 1 test case = 1 hành vi nghiệp vụ truy vết AC/NAC/BV/BR của SRS · 1 test method = 1 lượt kiểm ([Theory] sinh nhiều lượt từ 1 case). Số liệu báo cáo: "390 test case truy vết SRS, thực thi bởi 1.253 test tự động; line coverage 80,6%".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</row>
    <row r="5" ht="18" customHeight="1">
      <c r="A5" s="50" t="inlineStr">
        <is>
          <t xml:space="preserve">  ▶  Block: ManualPaymentService  —  PaymentsController  ·  coverage 100%  ·  PaymentsControllerTests.cs</t>
        </is>
      </c>
    </row>
    <row r="6" ht="49.5" customHeight="1">
      <c r="A6" s="31" t="inlineStr">
        <is>
          <t>CVG-001</t>
        </is>
      </c>
      <c r="B6" s="37" t="inlineStr">
        <is>
          <t>Coverage (code-driven)</t>
        </is>
      </c>
      <c r="C6" s="32" t="inlineStr">
        <is>
          <t>GetSePayExceptions() — 2 test con [L1-MP-06 → L1-MP-07]
· GetSePayExceptions_ReturnsOkWithList
· GetSePayExceptions_WhenServiceThrows_Returns400</t>
        </is>
      </c>
      <c r="D6" s="32" t="inlineStr">
        <is>
          <t>COVERAGE (code-driven)</t>
        </is>
      </c>
      <c r="E6" s="36" t="inlineStr">
        <is>
          <t>P2</t>
        </is>
      </c>
      <c r="F6" s="38" t="inlineStr">
        <is>
          <t>Mock dependency của controller theo tên test</t>
        </is>
      </c>
      <c r="G6" s="32" t="inlineStr">
        <is>
          <t>PaymentsController.GetSePayExceptions()</t>
        </is>
      </c>
      <c r="H6" s="38" t="inlineStr">
        <is>
          <t>Xem assertion trong file test nguồn (tên test tra ngược 1-1)</t>
        </is>
      </c>
      <c r="I6" s="35" t="inlineStr">
        <is>
          <t>Cả hai</t>
        </is>
      </c>
      <c r="J6" s="39" t="inlineStr">
        <is>
          <t>Pass</t>
        </is>
      </c>
      <c r="K6" s="32" t="n"/>
      <c r="L6" s="38" t="inlineStr">
        <is>
          <t>Coverage 100% · nguồn: PaymentsControllerTests.cs</t>
        </is>
      </c>
    </row>
    <row r="7" ht="97.5" customHeight="1">
      <c r="A7" s="26" t="inlineStr">
        <is>
          <t>CVG-002</t>
        </is>
      </c>
      <c r="B7" s="37" t="inlineStr">
        <is>
          <t>Coverage (code-driven)</t>
        </is>
      </c>
      <c r="C7" s="27" t="inlineStr">
        <is>
          <t>ManualConfirm() — 6 test con [L1-MP-08 → L1-MP-13]
· ManualConfirm_Success_ReturnsOk
· ManualConfirm_WhenModelStateInvalid_Returns400
· ManualConfirm_MapsException_ToStatusAndErrorCode
· ManualConfirm_WhenUnauthorized_Returns401
· ManualConfirm_WhenUnexpectedException_Returns500
· ManualConfirm_WithoutUserClaim_Returns401</t>
        </is>
      </c>
      <c r="D7" s="27" t="inlineStr">
        <is>
          <t>COVERAGE (code-driven)</t>
        </is>
      </c>
      <c r="E7" s="28" t="inlineStr">
        <is>
          <t>P1</t>
        </is>
      </c>
      <c r="F7" s="40" t="inlineStr">
        <is>
          <t>Mock dependency của controller theo tên test</t>
        </is>
      </c>
      <c r="G7" s="27" t="inlineStr">
        <is>
          <t>PaymentsController.ManualConfirm()</t>
        </is>
      </c>
      <c r="H7" s="40" t="inlineStr">
        <is>
          <t>Xem assertion trong file test nguồn (tên test tra ngược 1-1)</t>
        </is>
      </c>
      <c r="I7" s="29" t="inlineStr">
        <is>
          <t>Cả hai</t>
        </is>
      </c>
      <c r="J7" s="39" t="inlineStr">
        <is>
          <t>Pass</t>
        </is>
      </c>
      <c r="K7" s="27" t="n"/>
      <c r="L7" s="40" t="inlineStr">
        <is>
          <t>Coverage 100% · nguồn: PaymentsControllerTests.cs</t>
        </is>
      </c>
    </row>
    <row r="8" ht="49.5" customHeight="1">
      <c r="A8" s="31" t="inlineStr">
        <is>
          <t>CVG-003</t>
        </is>
      </c>
      <c r="B8" s="37" t="inlineStr">
        <is>
          <t>Coverage (code-driven)</t>
        </is>
      </c>
      <c r="C8" s="32" t="inlineStr">
        <is>
          <t>RetryAllocation() — 2 test con [L1-MP-14 → L1-MP-15]
· RetryAllocation_Success_PassesNoteToService
· RetryAllocation_MapsException_ToStatus</t>
        </is>
      </c>
      <c r="D8" s="32" t="inlineStr">
        <is>
          <t>COVERAGE (code-driven)</t>
        </is>
      </c>
      <c r="E8" s="28" t="inlineStr">
        <is>
          <t>P1</t>
        </is>
      </c>
      <c r="F8" s="38" t="inlineStr">
        <is>
          <t>Mock dependency của controller theo tên test</t>
        </is>
      </c>
      <c r="G8" s="32" t="inlineStr">
        <is>
          <t>PaymentsController.RetryAllocation()</t>
        </is>
      </c>
      <c r="H8" s="38" t="inlineStr">
        <is>
          <t>Xem assertion trong file test nguồn (tên test tra ngược 1-1)</t>
        </is>
      </c>
      <c r="I8" s="35" t="inlineStr">
        <is>
          <t>Cả hai</t>
        </is>
      </c>
      <c r="J8" s="39" t="inlineStr">
        <is>
          <t>Pass</t>
        </is>
      </c>
      <c r="K8" s="32" t="n"/>
      <c r="L8" s="38" t="inlineStr">
        <is>
          <t>Coverage 100% · nguồn: PaymentsControllerTests.cs</t>
        </is>
      </c>
    </row>
    <row r="9" ht="18" customHeight="1">
      <c r="A9" s="50" t="inlineStr">
        <is>
          <t xml:space="preserve">  ▶  Block: SupplierService  —  SuppliersController  ·  coverage 100%  ·  CrudControllersTests.cs</t>
        </is>
      </c>
    </row>
    <row r="10" ht="37.5" customHeight="1">
      <c r="A10" s="26" t="inlineStr">
        <is>
          <t>CVG-004</t>
        </is>
      </c>
      <c r="B10" s="37" t="inlineStr">
        <is>
          <t>Coverage (code-driven)</t>
        </is>
      </c>
      <c r="C10" s="27" t="inlineStr">
        <is>
          <t>GetAll() — 1 test con [L1-SUP-04]
· GetAll_ReturnsOkWithList</t>
        </is>
      </c>
      <c r="D10" s="27" t="inlineStr">
        <is>
          <t>COVERAGE (code-driven)</t>
        </is>
      </c>
      <c r="E10" s="34" t="inlineStr">
        <is>
          <t>P2</t>
        </is>
      </c>
      <c r="F10" s="40" t="inlineStr">
        <is>
          <t>Mock dependency của controller theo tên test</t>
        </is>
      </c>
      <c r="G10" s="27" t="inlineStr">
        <is>
          <t>SuppliersController.GetAll()</t>
        </is>
      </c>
      <c r="H10" s="40" t="inlineStr">
        <is>
          <t>Xem assertion trong file test nguồn (tên test tra ngược 1-1)</t>
        </is>
      </c>
      <c r="I10" s="27" t="inlineStr">
        <is>
          <t>No</t>
        </is>
      </c>
      <c r="J10" s="39" t="inlineStr">
        <is>
          <t>Pass</t>
        </is>
      </c>
      <c r="K10" s="27" t="n"/>
      <c r="L10" s="40" t="inlineStr">
        <is>
          <t>Coverage 100% · nguồn: CrudControllersTests.cs</t>
        </is>
      </c>
    </row>
    <row r="11" ht="49.5" customHeight="1">
      <c r="A11" s="31" t="inlineStr">
        <is>
          <t>CVG-005</t>
        </is>
      </c>
      <c r="B11" s="37" t="inlineStr">
        <is>
          <t>Coverage (code-driven)</t>
        </is>
      </c>
      <c r="C11" s="32" t="inlineStr">
        <is>
          <t>GetById() — 2 test con [L1-SUP-05 → L1-SUP-06]
· GetById_WhenFound_ReturnsOk
· GetById_MapsException</t>
        </is>
      </c>
      <c r="D11" s="32" t="inlineStr">
        <is>
          <t>COVERAGE (code-driven)</t>
        </is>
      </c>
      <c r="E11" s="36" t="inlineStr">
        <is>
          <t>P2</t>
        </is>
      </c>
      <c r="F11" s="38" t="inlineStr">
        <is>
          <t>Mock dependency của controller theo tên test</t>
        </is>
      </c>
      <c r="G11" s="32" t="inlineStr">
        <is>
          <t>SuppliersController.GetById()</t>
        </is>
      </c>
      <c r="H11" s="38" t="inlineStr">
        <is>
          <t>Xem assertion trong file test nguồn (tên test tra ngược 1-1)</t>
        </is>
      </c>
      <c r="I11" s="35" t="inlineStr">
        <is>
          <t>Cả hai</t>
        </is>
      </c>
      <c r="J11" s="39" t="inlineStr">
        <is>
          <t>Pass</t>
        </is>
      </c>
      <c r="K11" s="32" t="n"/>
      <c r="L11" s="38" t="inlineStr">
        <is>
          <t>Coverage 100% · nguồn: CrudControllersTests.cs</t>
        </is>
      </c>
    </row>
    <row r="12" ht="49.5" customHeight="1">
      <c r="A12" s="26" t="inlineStr">
        <is>
          <t>CVG-006</t>
        </is>
      </c>
      <c r="B12" s="37" t="inlineStr">
        <is>
          <t>Coverage (code-driven)</t>
        </is>
      </c>
      <c r="C12" s="27" t="inlineStr">
        <is>
          <t>Create() — 2 test con [L1-SUP-07 → L1-SUP-08]
· Create_Success_ReturnsOk
· Create_MapsException</t>
        </is>
      </c>
      <c r="D12" s="27" t="inlineStr">
        <is>
          <t>COVERAGE (code-driven)</t>
        </is>
      </c>
      <c r="E12" s="34" t="inlineStr">
        <is>
          <t>P2</t>
        </is>
      </c>
      <c r="F12" s="40" t="inlineStr">
        <is>
          <t>Mock dependency của controller theo tên test</t>
        </is>
      </c>
      <c r="G12" s="27" t="inlineStr">
        <is>
          <t>SuppliersController.Create()</t>
        </is>
      </c>
      <c r="H12" s="40" t="inlineStr">
        <is>
          <t>Xem assertion trong file test nguồn (tên test tra ngược 1-1)</t>
        </is>
      </c>
      <c r="I12" s="29" t="inlineStr">
        <is>
          <t>Cả hai</t>
        </is>
      </c>
      <c r="J12" s="39" t="inlineStr">
        <is>
          <t>Pass</t>
        </is>
      </c>
      <c r="K12" s="27" t="n"/>
      <c r="L12" s="40" t="inlineStr">
        <is>
          <t>Coverage 100% · nguồn: CrudControllersTests.cs</t>
        </is>
      </c>
    </row>
    <row r="13" ht="49.5" customHeight="1">
      <c r="A13" s="31" t="inlineStr">
        <is>
          <t>CVG-007</t>
        </is>
      </c>
      <c r="B13" s="37" t="inlineStr">
        <is>
          <t>Coverage (code-driven)</t>
        </is>
      </c>
      <c r="C13" s="32" t="inlineStr">
        <is>
          <t>Update() — 2 test con [L1-SUP-09 → L1-SUP-10]
· Update_Success_ReturnsOk
· Update_MapsException</t>
        </is>
      </c>
      <c r="D13" s="32" t="inlineStr">
        <is>
          <t>COVERAGE (code-driven)</t>
        </is>
      </c>
      <c r="E13" s="36" t="inlineStr">
        <is>
          <t>P2</t>
        </is>
      </c>
      <c r="F13" s="38" t="inlineStr">
        <is>
          <t>Mock dependency của controller theo tên test</t>
        </is>
      </c>
      <c r="G13" s="32" t="inlineStr">
        <is>
          <t>SuppliersController.Update()</t>
        </is>
      </c>
      <c r="H13" s="38" t="inlineStr">
        <is>
          <t>Xem assertion trong file test nguồn (tên test tra ngược 1-1)</t>
        </is>
      </c>
      <c r="I13" s="35" t="inlineStr">
        <is>
          <t>Cả hai</t>
        </is>
      </c>
      <c r="J13" s="39" t="inlineStr">
        <is>
          <t>Pass</t>
        </is>
      </c>
      <c r="K13" s="32" t="n"/>
      <c r="L13" s="38" t="inlineStr">
        <is>
          <t>Coverage 100% · nguồn: CrudControllersTests.cs</t>
        </is>
      </c>
    </row>
    <row r="14" ht="18" customHeight="1">
      <c r="A14" s="50" t="inlineStr">
        <is>
          <t xml:space="preserve">  ▶  Block: VehicleService  —  VehiclesController  ·  coverage 93,8%  ·  CrudControllersTests.cs</t>
        </is>
      </c>
    </row>
    <row r="15" ht="37.5" customHeight="1">
      <c r="A15" s="26" t="inlineStr">
        <is>
          <t>CVG-008</t>
        </is>
      </c>
      <c r="B15" s="37" t="inlineStr">
        <is>
          <t>Coverage (code-driven)</t>
        </is>
      </c>
      <c r="C15" s="27" t="inlineStr">
        <is>
          <t>GetAll() — 1 test con [L1-VEH-06]
· GetAll_ReturnsOk</t>
        </is>
      </c>
      <c r="D15" s="27" t="inlineStr">
        <is>
          <t>COVERAGE (code-driven)</t>
        </is>
      </c>
      <c r="E15" s="34" t="inlineStr">
        <is>
          <t>P2</t>
        </is>
      </c>
      <c r="F15" s="40" t="inlineStr">
        <is>
          <t>Mock dependency của controller theo tên test</t>
        </is>
      </c>
      <c r="G15" s="27" t="inlineStr">
        <is>
          <t>VehiclesController.GetAll()</t>
        </is>
      </c>
      <c r="H15" s="40" t="inlineStr">
        <is>
          <t>Xem assertion trong file test nguồn (tên test tra ngược 1-1)</t>
        </is>
      </c>
      <c r="I15" s="27" t="inlineStr">
        <is>
          <t>No</t>
        </is>
      </c>
      <c r="J15" s="39" t="inlineStr">
        <is>
          <t>Pass</t>
        </is>
      </c>
      <c r="K15" s="27" t="n"/>
      <c r="L15" s="40" t="inlineStr">
        <is>
          <t>Coverage 93,8% · nguồn: CrudControllersTests.cs</t>
        </is>
      </c>
    </row>
    <row r="16" ht="37.5" customHeight="1">
      <c r="A16" s="31" t="inlineStr">
        <is>
          <t>CVG-009</t>
        </is>
      </c>
      <c r="B16" s="37" t="inlineStr">
        <is>
          <t>Coverage (code-driven)</t>
        </is>
      </c>
      <c r="C16" s="32" t="inlineStr">
        <is>
          <t>GetById() — 1 test con [L1-VEH-07]
· GetById_MapsException</t>
        </is>
      </c>
      <c r="D16" s="32" t="inlineStr">
        <is>
          <t>COVERAGE (code-driven)</t>
        </is>
      </c>
      <c r="E16" s="36" t="inlineStr">
        <is>
          <t>P2</t>
        </is>
      </c>
      <c r="F16" s="38" t="inlineStr">
        <is>
          <t>Mock dependency của controller theo tên test</t>
        </is>
      </c>
      <c r="G16" s="32" t="inlineStr">
        <is>
          <t>VehiclesController.GetById()</t>
        </is>
      </c>
      <c r="H16" s="38" t="inlineStr">
        <is>
          <t>Xem assertion trong file test nguồn (tên test tra ngược 1-1)</t>
        </is>
      </c>
      <c r="I16" s="35" t="inlineStr">
        <is>
          <t>Yes</t>
        </is>
      </c>
      <c r="J16" s="39" t="inlineStr">
        <is>
          <t>Pass</t>
        </is>
      </c>
      <c r="K16" s="32" t="n"/>
      <c r="L16" s="38" t="inlineStr">
        <is>
          <t>Coverage 93,8% · nguồn: CrudControllersTests.cs</t>
        </is>
      </c>
    </row>
    <row r="17" ht="49.5" customHeight="1">
      <c r="A17" s="26" t="inlineStr">
        <is>
          <t>CVG-010</t>
        </is>
      </c>
      <c r="B17" s="37" t="inlineStr">
        <is>
          <t>Coverage (code-driven)</t>
        </is>
      </c>
      <c r="C17" s="27" t="inlineStr">
        <is>
          <t>Create() — 2 test con [L1-VEH-08 → L1-VEH-09]
· Create_Success_ReturnsOk
· Create_MapsException</t>
        </is>
      </c>
      <c r="D17" s="27" t="inlineStr">
        <is>
          <t>COVERAGE (code-driven)</t>
        </is>
      </c>
      <c r="E17" s="34" t="inlineStr">
        <is>
          <t>P2</t>
        </is>
      </c>
      <c r="F17" s="40" t="inlineStr">
        <is>
          <t>Mock dependency của controller theo tên test</t>
        </is>
      </c>
      <c r="G17" s="27" t="inlineStr">
        <is>
          <t>VehiclesController.Create()</t>
        </is>
      </c>
      <c r="H17" s="40" t="inlineStr">
        <is>
          <t>Xem assertion trong file test nguồn (tên test tra ngược 1-1)</t>
        </is>
      </c>
      <c r="I17" s="29" t="inlineStr">
        <is>
          <t>Cả hai</t>
        </is>
      </c>
      <c r="J17" s="39" t="inlineStr">
        <is>
          <t>Pass</t>
        </is>
      </c>
      <c r="K17" s="27" t="n"/>
      <c r="L17" s="40" t="inlineStr">
        <is>
          <t>Coverage 93,8% · nguồn: CrudControllersTests.cs</t>
        </is>
      </c>
    </row>
    <row r="18" ht="37.5" customHeight="1">
      <c r="A18" s="31" t="inlineStr">
        <is>
          <t>CVG-011</t>
        </is>
      </c>
      <c r="B18" s="37" t="inlineStr">
        <is>
          <t>Coverage (code-driven)</t>
        </is>
      </c>
      <c r="C18" s="32" t="inlineStr">
        <is>
          <t>Update() — 1 test con [L1-VEH-10]
· Update_MapsException</t>
        </is>
      </c>
      <c r="D18" s="32" t="inlineStr">
        <is>
          <t>COVERAGE (code-driven)</t>
        </is>
      </c>
      <c r="E18" s="36" t="inlineStr">
        <is>
          <t>P2</t>
        </is>
      </c>
      <c r="F18" s="38" t="inlineStr">
        <is>
          <t>Mock dependency của controller theo tên test</t>
        </is>
      </c>
      <c r="G18" s="32" t="inlineStr">
        <is>
          <t>VehiclesController.Update()</t>
        </is>
      </c>
      <c r="H18" s="38" t="inlineStr">
        <is>
          <t>Xem assertion trong file test nguồn (tên test tra ngược 1-1)</t>
        </is>
      </c>
      <c r="I18" s="35" t="inlineStr">
        <is>
          <t>Yes</t>
        </is>
      </c>
      <c r="J18" s="39" t="inlineStr">
        <is>
          <t>Pass</t>
        </is>
      </c>
      <c r="K18" s="32" t="n"/>
      <c r="L18" s="38" t="inlineStr">
        <is>
          <t>Coverage 93,8% · nguồn: CrudControllersTests.cs</t>
        </is>
      </c>
    </row>
    <row r="19" ht="18" customHeight="1">
      <c r="A19" s="50" t="inlineStr">
        <is>
          <t xml:space="preserve">  ▶  Block: DiscountTierService  —  DiscountTiersController  ·  coverage 93,4%  ·  CrudControllersTests.cs</t>
        </is>
      </c>
    </row>
    <row r="20" ht="37.5" customHeight="1">
      <c r="A20" s="26" t="inlineStr">
        <is>
          <t>CVG-012</t>
        </is>
      </c>
      <c r="B20" s="37" t="inlineStr">
        <is>
          <t>Coverage (code-driven)</t>
        </is>
      </c>
      <c r="C20" s="27" t="inlineStr">
        <is>
          <t>GetAll() — 1 test con [L1-DT-10]
· GetAll_ReturnsOk</t>
        </is>
      </c>
      <c r="D20" s="27" t="inlineStr">
        <is>
          <t>COVERAGE (code-driven)</t>
        </is>
      </c>
      <c r="E20" s="34" t="inlineStr">
        <is>
          <t>P2</t>
        </is>
      </c>
      <c r="F20" s="40" t="inlineStr">
        <is>
          <t>Mock dependency của controller theo tên test</t>
        </is>
      </c>
      <c r="G20" s="27" t="inlineStr">
        <is>
          <t>DiscountTiersController.GetAll()</t>
        </is>
      </c>
      <c r="H20" s="40" t="inlineStr">
        <is>
          <t>Xem assertion trong file test nguồn (tên test tra ngược 1-1)</t>
        </is>
      </c>
      <c r="I20" s="27" t="inlineStr">
        <is>
          <t>No</t>
        </is>
      </c>
      <c r="J20" s="39" t="inlineStr">
        <is>
          <t>Pass</t>
        </is>
      </c>
      <c r="K20" s="27" t="n"/>
      <c r="L20" s="40" t="inlineStr">
        <is>
          <t>Coverage 93,4% · nguồn: CrudControllersTests.cs</t>
        </is>
      </c>
    </row>
    <row r="21" ht="37.5" customHeight="1">
      <c r="A21" s="31" t="inlineStr">
        <is>
          <t>CVG-013</t>
        </is>
      </c>
      <c r="B21" s="37" t="inlineStr">
        <is>
          <t>Coverage (code-driven)</t>
        </is>
      </c>
      <c r="C21" s="32" t="inlineStr">
        <is>
          <t>GetById() — 1 test con [L1-DT-11]
· GetById_MapsException</t>
        </is>
      </c>
      <c r="D21" s="32" t="inlineStr">
        <is>
          <t>COVERAGE (code-driven)</t>
        </is>
      </c>
      <c r="E21" s="36" t="inlineStr">
        <is>
          <t>P2</t>
        </is>
      </c>
      <c r="F21" s="38" t="inlineStr">
        <is>
          <t>Mock dependency của controller theo tên test</t>
        </is>
      </c>
      <c r="G21" s="32" t="inlineStr">
        <is>
          <t>DiscountTiersController.GetById()</t>
        </is>
      </c>
      <c r="H21" s="38" t="inlineStr">
        <is>
          <t>Xem assertion trong file test nguồn (tên test tra ngược 1-1)</t>
        </is>
      </c>
      <c r="I21" s="35" t="inlineStr">
        <is>
          <t>Yes</t>
        </is>
      </c>
      <c r="J21" s="39" t="inlineStr">
        <is>
          <t>Pass</t>
        </is>
      </c>
      <c r="K21" s="32" t="n"/>
      <c r="L21" s="38" t="inlineStr">
        <is>
          <t>Coverage 93,4% · nguồn: CrudControllersTests.cs</t>
        </is>
      </c>
    </row>
    <row r="22" ht="49.5" customHeight="1">
      <c r="A22" s="26" t="inlineStr">
        <is>
          <t>CVG-014</t>
        </is>
      </c>
      <c r="B22" s="37" t="inlineStr">
        <is>
          <t>Coverage (code-driven)</t>
        </is>
      </c>
      <c r="C22" s="27" t="inlineStr">
        <is>
          <t>Create() — 2 test con [L1-DT-12 → L1-DT-13]
· Create_Success_ReturnsOk
· Create_WhenServiceThrows_Returns400</t>
        </is>
      </c>
      <c r="D22" s="27" t="inlineStr">
        <is>
          <t>COVERAGE (code-driven)</t>
        </is>
      </c>
      <c r="E22" s="34" t="inlineStr">
        <is>
          <t>P2</t>
        </is>
      </c>
      <c r="F22" s="40" t="inlineStr">
        <is>
          <t>Mock dependency của controller theo tên test</t>
        </is>
      </c>
      <c r="G22" s="27" t="inlineStr">
        <is>
          <t>DiscountTiersController.Create()</t>
        </is>
      </c>
      <c r="H22" s="40" t="inlineStr">
        <is>
          <t>Xem assertion trong file test nguồn (tên test tra ngược 1-1)</t>
        </is>
      </c>
      <c r="I22" s="29" t="inlineStr">
        <is>
          <t>Cả hai</t>
        </is>
      </c>
      <c r="J22" s="39" t="inlineStr">
        <is>
          <t>Pass</t>
        </is>
      </c>
      <c r="K22" s="27" t="n"/>
      <c r="L22" s="40" t="inlineStr">
        <is>
          <t>Coverage 93,4% · nguồn: CrudControllersTests.cs</t>
        </is>
      </c>
    </row>
    <row r="23" ht="37.5" customHeight="1">
      <c r="A23" s="31" t="inlineStr">
        <is>
          <t>CVG-015</t>
        </is>
      </c>
      <c r="B23" s="37" t="inlineStr">
        <is>
          <t>Coverage (code-driven)</t>
        </is>
      </c>
      <c r="C23" s="32" t="inlineStr">
        <is>
          <t>Update() — 1 test con [L1-DT-14]
· Update_MapsException</t>
        </is>
      </c>
      <c r="D23" s="32" t="inlineStr">
        <is>
          <t>COVERAGE (code-driven)</t>
        </is>
      </c>
      <c r="E23" s="36" t="inlineStr">
        <is>
          <t>P2</t>
        </is>
      </c>
      <c r="F23" s="38" t="inlineStr">
        <is>
          <t>Mock dependency của controller theo tên test</t>
        </is>
      </c>
      <c r="G23" s="32" t="inlineStr">
        <is>
          <t>DiscountTiersController.Update()</t>
        </is>
      </c>
      <c r="H23" s="38" t="inlineStr">
        <is>
          <t>Xem assertion trong file test nguồn (tên test tra ngược 1-1)</t>
        </is>
      </c>
      <c r="I23" s="35" t="inlineStr">
        <is>
          <t>Yes</t>
        </is>
      </c>
      <c r="J23" s="39" t="inlineStr">
        <is>
          <t>Pass</t>
        </is>
      </c>
      <c r="K23" s="32" t="n"/>
      <c r="L23" s="38" t="inlineStr">
        <is>
          <t>Coverage 93,4% · nguồn: CrudControllersTests.cs</t>
        </is>
      </c>
    </row>
    <row r="24" ht="18" customHeight="1">
      <c r="A24" s="50" t="inlineStr">
        <is>
          <t xml:space="preserve">  ▶  Block: MaterialService  —  MaterialController  ·  coverage 95,3%  ·  CrudControllersTests.cs</t>
        </is>
      </c>
    </row>
    <row r="25" ht="37.5" customHeight="1">
      <c r="A25" s="26" t="inlineStr">
        <is>
          <t>CVG-016</t>
        </is>
      </c>
      <c r="B25" s="37" t="inlineStr">
        <is>
          <t>Coverage (code-driven)</t>
        </is>
      </c>
      <c r="C25" s="27" t="inlineStr">
        <is>
          <t>GetAll() — 1 test con [L1-MAT-04]
· GetAll_PassesSearchParamsToService</t>
        </is>
      </c>
      <c r="D25" s="27" t="inlineStr">
        <is>
          <t>COVERAGE (code-driven)</t>
        </is>
      </c>
      <c r="E25" s="34" t="inlineStr">
        <is>
          <t>P2</t>
        </is>
      </c>
      <c r="F25" s="40" t="inlineStr">
        <is>
          <t>Mock dependency của controller theo tên test</t>
        </is>
      </c>
      <c r="G25" s="27" t="inlineStr">
        <is>
          <t>MaterialController.GetAll()</t>
        </is>
      </c>
      <c r="H25" s="40" t="inlineStr">
        <is>
          <t>Xem assertion trong file test nguồn (tên test tra ngược 1-1)</t>
        </is>
      </c>
      <c r="I25" s="27" t="inlineStr">
        <is>
          <t>No</t>
        </is>
      </c>
      <c r="J25" s="39" t="inlineStr">
        <is>
          <t>Pass</t>
        </is>
      </c>
      <c r="K25" s="27" t="n"/>
      <c r="L25" s="40" t="inlineStr">
        <is>
          <t>Coverage 95,3% · nguồn: CrudControllersTests.cs</t>
        </is>
      </c>
    </row>
    <row r="26" ht="37.5" customHeight="1">
      <c r="A26" s="31" t="inlineStr">
        <is>
          <t>CVG-017</t>
        </is>
      </c>
      <c r="B26" s="37" t="inlineStr">
        <is>
          <t>Coverage (code-driven)</t>
        </is>
      </c>
      <c r="C26" s="32" t="inlineStr">
        <is>
          <t>GetById() — 1 test con [L1-MAT-05]
· GetById_MapsException</t>
        </is>
      </c>
      <c r="D26" s="32" t="inlineStr">
        <is>
          <t>COVERAGE (code-driven)</t>
        </is>
      </c>
      <c r="E26" s="36" t="inlineStr">
        <is>
          <t>P2</t>
        </is>
      </c>
      <c r="F26" s="38" t="inlineStr">
        <is>
          <t>Mock dependency của controller theo tên test</t>
        </is>
      </c>
      <c r="G26" s="32" t="inlineStr">
        <is>
          <t>MaterialController.GetById()</t>
        </is>
      </c>
      <c r="H26" s="38" t="inlineStr">
        <is>
          <t>Xem assertion trong file test nguồn (tên test tra ngược 1-1)</t>
        </is>
      </c>
      <c r="I26" s="35" t="inlineStr">
        <is>
          <t>Yes</t>
        </is>
      </c>
      <c r="J26" s="39" t="inlineStr">
        <is>
          <t>Pass</t>
        </is>
      </c>
      <c r="K26" s="32" t="n"/>
      <c r="L26" s="38" t="inlineStr">
        <is>
          <t>Coverage 95,3% · nguồn: CrudControllersTests.cs</t>
        </is>
      </c>
    </row>
    <row r="27" ht="49.5" customHeight="1">
      <c r="A27" s="26" t="inlineStr">
        <is>
          <t>CVG-018</t>
        </is>
      </c>
      <c r="B27" s="37" t="inlineStr">
        <is>
          <t>Coverage (code-driven)</t>
        </is>
      </c>
      <c r="C27" s="27" t="inlineStr">
        <is>
          <t>Create() — 2 test con [L1-MAT-06 → L1-MAT-07]
· Create_WhenModelStateInvalid_Returns400
· Create_MapsException</t>
        </is>
      </c>
      <c r="D27" s="27" t="inlineStr">
        <is>
          <t>COVERAGE (code-driven)</t>
        </is>
      </c>
      <c r="E27" s="28" t="inlineStr">
        <is>
          <t>P1</t>
        </is>
      </c>
      <c r="F27" s="40" t="inlineStr">
        <is>
          <t>Mock dependency của controller theo tên test</t>
        </is>
      </c>
      <c r="G27" s="27" t="inlineStr">
        <is>
          <t>MaterialController.Create()</t>
        </is>
      </c>
      <c r="H27" s="40" t="inlineStr">
        <is>
          <t>Xem assertion trong file test nguồn (tên test tra ngược 1-1)</t>
        </is>
      </c>
      <c r="I27" s="29" t="inlineStr">
        <is>
          <t>Yes</t>
        </is>
      </c>
      <c r="J27" s="39" t="inlineStr">
        <is>
          <t>Pass</t>
        </is>
      </c>
      <c r="K27" s="27" t="n"/>
      <c r="L27" s="40" t="inlineStr">
        <is>
          <t>Coverage 95,3% · nguồn: CrudControllersTests.cs</t>
        </is>
      </c>
    </row>
    <row r="28" ht="49.5" customHeight="1">
      <c r="A28" s="31" t="inlineStr">
        <is>
          <t>CVG-019</t>
        </is>
      </c>
      <c r="B28" s="37" t="inlineStr">
        <is>
          <t>Coverage (code-driven)</t>
        </is>
      </c>
      <c r="C28" s="32" t="inlineStr">
        <is>
          <t>Update() — 2 test con [L1-MAT-08 → L1-MAT-09]
· Update_WhenModelStateInvalid_Returns400
· Update_MapsException</t>
        </is>
      </c>
      <c r="D28" s="32" t="inlineStr">
        <is>
          <t>COVERAGE (code-driven)</t>
        </is>
      </c>
      <c r="E28" s="28" t="inlineStr">
        <is>
          <t>P1</t>
        </is>
      </c>
      <c r="F28" s="38" t="inlineStr">
        <is>
          <t>Mock dependency của controller theo tên test</t>
        </is>
      </c>
      <c r="G28" s="32" t="inlineStr">
        <is>
          <t>MaterialController.Update()</t>
        </is>
      </c>
      <c r="H28" s="38" t="inlineStr">
        <is>
          <t>Xem assertion trong file test nguồn (tên test tra ngược 1-1)</t>
        </is>
      </c>
      <c r="I28" s="35" t="inlineStr">
        <is>
          <t>Yes</t>
        </is>
      </c>
      <c r="J28" s="39" t="inlineStr">
        <is>
          <t>Pass</t>
        </is>
      </c>
      <c r="K28" s="32" t="n"/>
      <c r="L28" s="38" t="inlineStr">
        <is>
          <t>Coverage 95,3% · nguồn: CrudControllersTests.cs</t>
        </is>
      </c>
    </row>
    <row r="29" ht="49.5" customHeight="1">
      <c r="A29" s="26" t="inlineStr">
        <is>
          <t>CVG-020</t>
        </is>
      </c>
      <c r="B29" s="37" t="inlineStr">
        <is>
          <t>Coverage (code-driven)</t>
        </is>
      </c>
      <c r="C29" s="27" t="inlineStr">
        <is>
          <t>Delete() — 2 test con [L1-MAT-10 → L1-MAT-11]
· Delete_Success_Returns204
· Delete_MapsException</t>
        </is>
      </c>
      <c r="D29" s="27" t="inlineStr">
        <is>
          <t>COVERAGE (code-driven)</t>
        </is>
      </c>
      <c r="E29" s="34" t="inlineStr">
        <is>
          <t>P2</t>
        </is>
      </c>
      <c r="F29" s="40" t="inlineStr">
        <is>
          <t>Mock dependency của controller theo tên test</t>
        </is>
      </c>
      <c r="G29" s="27" t="inlineStr">
        <is>
          <t>MaterialController.Delete()</t>
        </is>
      </c>
      <c r="H29" s="40" t="inlineStr">
        <is>
          <t>Xem assertion trong file test nguồn (tên test tra ngược 1-1)</t>
        </is>
      </c>
      <c r="I29" s="29" t="inlineStr">
        <is>
          <t>Cả hai</t>
        </is>
      </c>
      <c r="J29" s="39" t="inlineStr">
        <is>
          <t>Pass</t>
        </is>
      </c>
      <c r="K29" s="27" t="n"/>
      <c r="L29" s="40" t="inlineStr">
        <is>
          <t>Coverage 95,3% · nguồn: CrudControllersTests.cs</t>
        </is>
      </c>
    </row>
    <row r="30" ht="18" customHeight="1">
      <c r="A30" s="50" t="inlineStr">
        <is>
          <t xml:space="preserve">  ▶  Block: StockTransferService  —  StockTransferController  ·  coverage 98,2%  ·  StockTransferAndSePayControllerTests.cs · AdminDashboardStockTransferTests.cs</t>
        </is>
      </c>
    </row>
    <row r="31" ht="49.5" customHeight="1">
      <c r="A31" s="31" t="inlineStr">
        <is>
          <t>CVG-021</t>
        </is>
      </c>
      <c r="B31" s="37" t="inlineStr">
        <is>
          <t>Coverage (code-driven)</t>
        </is>
      </c>
      <c r="C31" s="32" t="inlineStr">
        <is>
          <t>GetAll() — 2 test con [L1-ST-07 → L1-ST-08]
· GetAll_ReturnsOk
· GetAll_WhenServiceThrows_Returns400</t>
        </is>
      </c>
      <c r="D31" s="32" t="inlineStr">
        <is>
          <t>COVERAGE (code-driven)</t>
        </is>
      </c>
      <c r="E31" s="36" t="inlineStr">
        <is>
          <t>P2</t>
        </is>
      </c>
      <c r="F31" s="38" t="inlineStr">
        <is>
          <t>Mock dependency của controller theo tên test</t>
        </is>
      </c>
      <c r="G31" s="32" t="inlineStr">
        <is>
          <t>StockTransferController.GetAll()</t>
        </is>
      </c>
      <c r="H31" s="38" t="inlineStr">
        <is>
          <t>Xem assertion trong file test nguồn (tên test tra ngược 1-1)</t>
        </is>
      </c>
      <c r="I31" s="35" t="inlineStr">
        <is>
          <t>Cả hai</t>
        </is>
      </c>
      <c r="J31" s="39" t="inlineStr">
        <is>
          <t>Pass</t>
        </is>
      </c>
      <c r="K31" s="32" t="n"/>
      <c r="L31" s="38" t="inlineStr">
        <is>
          <t>Coverage 98,2% · nguồn: StockTransferAndSePayControllerTests.cs · AdminDashboardStockTransferTests.cs</t>
        </is>
      </c>
    </row>
    <row r="32" ht="37.5" customHeight="1">
      <c r="A32" s="26" t="inlineStr">
        <is>
          <t>CVG-022</t>
        </is>
      </c>
      <c r="B32" s="37" t="inlineStr">
        <is>
          <t>Coverage (code-driven)</t>
        </is>
      </c>
      <c r="C32" s="27" t="inlineStr">
        <is>
          <t>GetById() — 1 test con [L1-ST-09]
· GetById_MapsException</t>
        </is>
      </c>
      <c r="D32" s="27" t="inlineStr">
        <is>
          <t>COVERAGE (code-driven)</t>
        </is>
      </c>
      <c r="E32" s="34" t="inlineStr">
        <is>
          <t>P2</t>
        </is>
      </c>
      <c r="F32" s="40" t="inlineStr">
        <is>
          <t>Mock dependency của controller theo tên test</t>
        </is>
      </c>
      <c r="G32" s="27" t="inlineStr">
        <is>
          <t>StockTransferController.GetById()</t>
        </is>
      </c>
      <c r="H32" s="40" t="inlineStr">
        <is>
          <t>Xem assertion trong file test nguồn (tên test tra ngược 1-1)</t>
        </is>
      </c>
      <c r="I32" s="29" t="inlineStr">
        <is>
          <t>Yes</t>
        </is>
      </c>
      <c r="J32" s="39" t="inlineStr">
        <is>
          <t>Pass</t>
        </is>
      </c>
      <c r="K32" s="27" t="n"/>
      <c r="L32" s="40" t="inlineStr">
        <is>
          <t>Coverage 98,2% · nguồn: StockTransferAndSePayControllerTests.cs · AdminDashboardStockTransferTests.cs</t>
        </is>
      </c>
    </row>
    <row r="33" ht="61.5" customHeight="1">
      <c r="A33" s="31" t="inlineStr">
        <is>
          <t>CVG-023</t>
        </is>
      </c>
      <c r="B33" s="37" t="inlineStr">
        <is>
          <t>Coverage (code-driven)</t>
        </is>
      </c>
      <c r="C33" s="32" t="inlineStr">
        <is>
          <t>Create() — 3 test con [L1-ST-10 → L1-ST-12]
· Create_WithoutUserClaim_Returns401
· Create_Success_Returns201WithCreatorFromJwt
· Create_MapsException</t>
        </is>
      </c>
      <c r="D33" s="32" t="inlineStr">
        <is>
          <t>COVERAGE (code-driven)</t>
        </is>
      </c>
      <c r="E33" s="28" t="inlineStr">
        <is>
          <t>P1</t>
        </is>
      </c>
      <c r="F33" s="38" t="inlineStr">
        <is>
          <t>Mock dependency của controller theo tên test</t>
        </is>
      </c>
      <c r="G33" s="32" t="inlineStr">
        <is>
          <t>StockTransferController.Create()</t>
        </is>
      </c>
      <c r="H33" s="38" t="inlineStr">
        <is>
          <t>Xem assertion trong file test nguồn (tên test tra ngược 1-1)</t>
        </is>
      </c>
      <c r="I33" s="35" t="inlineStr">
        <is>
          <t>Cả hai</t>
        </is>
      </c>
      <c r="J33" s="39" t="inlineStr">
        <is>
          <t>Pass</t>
        </is>
      </c>
      <c r="K33" s="32" t="n"/>
      <c r="L33" s="38" t="inlineStr">
        <is>
          <t>Coverage 98,2% · nguồn: StockTransferAndSePayControllerTests.cs · AdminDashboardStockTransferTests.cs</t>
        </is>
      </c>
    </row>
    <row r="34" ht="49.5" customHeight="1">
      <c r="A34" s="26" t="inlineStr">
        <is>
          <t>CVG-024</t>
        </is>
      </c>
      <c r="B34" s="37" t="inlineStr">
        <is>
          <t>Coverage (code-driven)</t>
        </is>
      </c>
      <c r="C34" s="27" t="inlineStr">
        <is>
          <t>Update() — 2 test con [L1-ST-13 → L1-ST-14]
· Update_WhenConcurrent_Returns409
· Update_MapsException</t>
        </is>
      </c>
      <c r="D34" s="27" t="inlineStr">
        <is>
          <t>COVERAGE (code-driven)</t>
        </is>
      </c>
      <c r="E34" s="28" t="inlineStr">
        <is>
          <t>P1</t>
        </is>
      </c>
      <c r="F34" s="40" t="inlineStr">
        <is>
          <t>Mock dependency của controller theo tên test</t>
        </is>
      </c>
      <c r="G34" s="27" t="inlineStr">
        <is>
          <t>StockTransferController.Update()</t>
        </is>
      </c>
      <c r="H34" s="40" t="inlineStr">
        <is>
          <t>Xem assertion trong file test nguồn (tên test tra ngược 1-1)</t>
        </is>
      </c>
      <c r="I34" s="29" t="inlineStr">
        <is>
          <t>Yes</t>
        </is>
      </c>
      <c r="J34" s="39" t="inlineStr">
        <is>
          <t>Pass</t>
        </is>
      </c>
      <c r="K34" s="27" t="n"/>
      <c r="L34" s="41" t="inlineStr">
        <is>
          <t>⚠ Nhánh DbUpdateConcurrencyException → 409 KHÔNG chạy được qua HTTP thật khi bảng thiếu RowVersion (GH-04) — mock là cách duy nhất chạm tới.  |  Coverage 98,2% · nguồn: StockTransferAndSePayControllerTests.cs · AdminDashboardStockTransferTests.cs</t>
        </is>
      </c>
    </row>
    <row r="35" ht="49.5" customHeight="1">
      <c r="A35" s="31" t="inlineStr">
        <is>
          <t>CVG-025</t>
        </is>
      </c>
      <c r="B35" s="37" t="inlineStr">
        <is>
          <t>Coverage (code-driven)</t>
        </is>
      </c>
      <c r="C35" s="32" t="inlineStr">
        <is>
          <t>Dispatch() — 2 test con [L1-ST-15 → L1-ST-16]
· Dispatch_Success_ReturnsOk
· Dispatch_MapsException</t>
        </is>
      </c>
      <c r="D35" s="32" t="inlineStr">
        <is>
          <t>COVERAGE (code-driven)</t>
        </is>
      </c>
      <c r="E35" s="28" t="inlineStr">
        <is>
          <t>P1</t>
        </is>
      </c>
      <c r="F35" s="38" t="inlineStr">
        <is>
          <t>Mock dependency của controller theo tên test</t>
        </is>
      </c>
      <c r="G35" s="32" t="inlineStr">
        <is>
          <t>StockTransferController.Dispatch()</t>
        </is>
      </c>
      <c r="H35" s="38" t="inlineStr">
        <is>
          <t>Xem assertion trong file test nguồn (tên test tra ngược 1-1)</t>
        </is>
      </c>
      <c r="I35" s="35" t="inlineStr">
        <is>
          <t>Cả hai</t>
        </is>
      </c>
      <c r="J35" s="39" t="inlineStr">
        <is>
          <t>Pass</t>
        </is>
      </c>
      <c r="K35" s="32" t="n"/>
      <c r="L35" s="38" t="inlineStr">
        <is>
          <t>Coverage 98,2% · nguồn: StockTransferAndSePayControllerTests.cs · AdminDashboardStockTransferTests.cs</t>
        </is>
      </c>
    </row>
    <row r="36" ht="49.5" customHeight="1">
      <c r="A36" s="26" t="inlineStr">
        <is>
          <t>CVG-026</t>
        </is>
      </c>
      <c r="B36" s="37" t="inlineStr">
        <is>
          <t>Coverage (code-driven)</t>
        </is>
      </c>
      <c r="C36" s="27" t="inlineStr">
        <is>
          <t>Cancel() — 2 test con [L1-ST-17 → L1-ST-18]
· Cancel_MapsException
· Cancel_Success_ReturnsOk</t>
        </is>
      </c>
      <c r="D36" s="27" t="inlineStr">
        <is>
          <t>COVERAGE (code-driven)</t>
        </is>
      </c>
      <c r="E36" s="34" t="inlineStr">
        <is>
          <t>P2</t>
        </is>
      </c>
      <c r="F36" s="40" t="inlineStr">
        <is>
          <t>Mock dependency của controller theo tên test</t>
        </is>
      </c>
      <c r="G36" s="27" t="inlineStr">
        <is>
          <t>StockTransferController.Cancel()</t>
        </is>
      </c>
      <c r="H36" s="40" t="inlineStr">
        <is>
          <t>Xem assertion trong file test nguồn (tên test tra ngược 1-1)</t>
        </is>
      </c>
      <c r="I36" s="29" t="inlineStr">
        <is>
          <t>Cả hai</t>
        </is>
      </c>
      <c r="J36" s="39" t="inlineStr">
        <is>
          <t>Pass</t>
        </is>
      </c>
      <c r="K36" s="27" t="n"/>
      <c r="L36" s="40" t="inlineStr">
        <is>
          <t>Coverage 98,2% · nguồn: StockTransferAndSePayControllerTests.cs · AdminDashboardStockTransferTests.cs</t>
        </is>
      </c>
    </row>
    <row r="37" ht="73.5" customHeight="1">
      <c r="A37" s="31" t="inlineStr">
        <is>
          <t>CVG-027</t>
        </is>
      </c>
      <c r="B37" s="37" t="inlineStr">
        <is>
          <t>Coverage (code-driven)</t>
        </is>
      </c>
      <c r="C37" s="32" t="inlineStr">
        <is>
          <t>RequestTransport() — 4 test con [L1-ST-19 → L1-ST-28]
· RequestTransport_Success_ReturnsOk
· RequestTransport_WhenTransferMissing_Returns404
· RequestTransport_WhenConcurrent_Returns409
· RequestTransport_WhenServiceThrows_Returns400</t>
        </is>
      </c>
      <c r="D37" s="32" t="inlineStr">
        <is>
          <t>COVERAGE (code-driven)</t>
        </is>
      </c>
      <c r="E37" s="28" t="inlineStr">
        <is>
          <t>P1</t>
        </is>
      </c>
      <c r="F37" s="38" t="inlineStr">
        <is>
          <t>Mock dependency của controller theo tên test</t>
        </is>
      </c>
      <c r="G37" s="32" t="inlineStr">
        <is>
          <t>StockTransferController.RequestTransport()</t>
        </is>
      </c>
      <c r="H37" s="38" t="inlineStr">
        <is>
          <t>Xem assertion trong file test nguồn (tên test tra ngược 1-1)</t>
        </is>
      </c>
      <c r="I37" s="35" t="inlineStr">
        <is>
          <t>Cả hai</t>
        </is>
      </c>
      <c r="J37" s="39" t="inlineStr">
        <is>
          <t>Pass</t>
        </is>
      </c>
      <c r="K37" s="32" t="n"/>
      <c r="L37" s="42" t="inlineStr">
        <is>
          <t>⚠ Nhánh DbUpdateConcurrencyException → 409 KHÔNG chạy được qua HTTP thật khi bảng thiếu RowVersion (GH-04) — mock là cách duy nhất chạm tới.  |  Coverage 98,2% · nguồn: StockTransferAndSePayControllerTests.cs · AdminDashboardStockTransferTests.cs</t>
        </is>
      </c>
    </row>
    <row r="38" ht="18" customHeight="1">
      <c r="A38" s="50" t="inlineStr">
        <is>
          <t xml:space="preserve">  ▶  Block: OrderService  —  SePayController · OrderController · DeliveryController  ·  coverage 96–100%  ·  StockTransferAndSePayControllerTests.cs · OrderPurchaseOrderControllerTests.cs · DeliveryInventoryAdminControllerTests.cs</t>
        </is>
      </c>
    </row>
    <row r="39" ht="97.5" customHeight="1">
      <c r="A39" s="26" t="inlineStr">
        <is>
          <t>CVG-028</t>
        </is>
      </c>
      <c r="B39" s="37" t="inlineStr">
        <is>
          <t>Coverage (code-driven)</t>
        </is>
      </c>
      <c r="C39" s="27" t="inlineStr">
        <is>
          <t>Webhook() — 6 test con [L1-ORD-77 → L1-ORD-82]
· Webhook_WithSepayTokenHeader_ReturnsOkAndLogsProcessed
· Webhook_WithBearerAuthorizationHeader_ReadsToken
· Webhook_WithRawAuthorizationHeader_ReadsToken
· Webhook_WithQueryToken_ReadsToken
· Webhook_WithWrongToken_Returns401AndDoesNotMarkFailed
· Webhook_WhenProcessingFails_Returns500AndMarksFailed</t>
        </is>
      </c>
      <c r="D39" s="27" t="inlineStr">
        <is>
          <t>COVERAGE (code-driven)</t>
        </is>
      </c>
      <c r="E39" s="28" t="inlineStr">
        <is>
          <t>P1</t>
        </is>
      </c>
      <c r="F39" s="40" t="inlineStr">
        <is>
          <t>Mock dependency của controller theo tên test</t>
        </is>
      </c>
      <c r="G39" s="27" t="inlineStr">
        <is>
          <t>SePayController · OrderController · DeliveryController.Webhook()</t>
        </is>
      </c>
      <c r="H39" s="40" t="inlineStr">
        <is>
          <t>Xem assertion trong file test nguồn (tên test tra ngược 1-1)</t>
        </is>
      </c>
      <c r="I39" s="29" t="inlineStr">
        <is>
          <t>Cả hai</t>
        </is>
      </c>
      <c r="J39" s="39" t="inlineStr">
        <is>
          <t>Pass</t>
        </is>
      </c>
      <c r="K39" s="27" t="n"/>
      <c r="L39" s="40" t="inlineStr">
        <is>
          <t>Coverage 96–100% · nguồn: StockTransferAndSePayControllerTests.cs · OrderPurchaseOrderControllerTests.cs · DeliveryInventoryAdminControllerTests.cs</t>
        </is>
      </c>
    </row>
    <row r="40" ht="18" customHeight="1">
      <c r="A40" s="50" t="inlineStr">
        <is>
          <t xml:space="preserve">  ▶  Block: CartService  —  CartController  ·  coverage 100%  ·  SmallControllersTests.cs</t>
        </is>
      </c>
    </row>
    <row r="41" ht="49.5" customHeight="1">
      <c r="A41" s="31" t="inlineStr">
        <is>
          <t>CVG-029</t>
        </is>
      </c>
      <c r="B41" s="37" t="inlineStr">
        <is>
          <t>Coverage (code-driven)</t>
        </is>
      </c>
      <c r="C41" s="32" t="inlineStr">
        <is>
          <t>GetCart() — 2 test con [L1-CART-11 → L1-CART-12]
· GetCart_ReturnsOkAndPassesCallerId
· GetCart_WithoutUserClaim_Returns400</t>
        </is>
      </c>
      <c r="D41" s="32" t="inlineStr">
        <is>
          <t>COVERAGE (code-driven)</t>
        </is>
      </c>
      <c r="E41" s="28" t="inlineStr">
        <is>
          <t>P1</t>
        </is>
      </c>
      <c r="F41" s="38" t="inlineStr">
        <is>
          <t>Mock dependency của controller theo tên test</t>
        </is>
      </c>
      <c r="G41" s="32" t="inlineStr">
        <is>
          <t>CartController.GetCart()</t>
        </is>
      </c>
      <c r="H41" s="38" t="inlineStr">
        <is>
          <t>Xem assertion trong file test nguồn (tên test tra ngược 1-1)</t>
        </is>
      </c>
      <c r="I41" s="35" t="inlineStr">
        <is>
          <t>Cả hai</t>
        </is>
      </c>
      <c r="J41" s="39" t="inlineStr">
        <is>
          <t>Pass</t>
        </is>
      </c>
      <c r="K41" s="32" t="n"/>
      <c r="L41" s="38" t="inlineStr">
        <is>
          <t>Coverage 100% · nguồn: SmallControllersTests.cs</t>
        </is>
      </c>
    </row>
    <row r="42" ht="73.5" customHeight="1">
      <c r="A42" s="26" t="inlineStr">
        <is>
          <t>CVG-030</t>
        </is>
      </c>
      <c r="B42" s="37" t="inlineStr">
        <is>
          <t>Coverage (code-driven)</t>
        </is>
      </c>
      <c r="C42" s="27" t="inlineStr">
        <is>
          <t>AddItemToCart() — 4 test con [L1-CART-13 → L1-CART-16]
· AddItemToCart_WhenModelStateInvalid_Returns400WithoutCallingService
· AddItemToCart_WhenProfileIncomplete_Returns409WithCode
· AddItemToCart_Success_ReturnsOk
· AddItemToCart_WhenServiceThrows_Returns400</t>
        </is>
      </c>
      <c r="D42" s="27" t="inlineStr">
        <is>
          <t>COVERAGE (code-driven)</t>
        </is>
      </c>
      <c r="E42" s="28" t="inlineStr">
        <is>
          <t>P1</t>
        </is>
      </c>
      <c r="F42" s="40" t="inlineStr">
        <is>
          <t>Mock dependency của controller theo tên test</t>
        </is>
      </c>
      <c r="G42" s="27" t="inlineStr">
        <is>
          <t>CartController.AddItemToCart()</t>
        </is>
      </c>
      <c r="H42" s="40" t="inlineStr">
        <is>
          <t>Xem assertion trong file test nguồn (tên test tra ngược 1-1)</t>
        </is>
      </c>
      <c r="I42" s="29" t="inlineStr">
        <is>
          <t>Cả hai</t>
        </is>
      </c>
      <c r="J42" s="39" t="inlineStr">
        <is>
          <t>Pass</t>
        </is>
      </c>
      <c r="K42" s="27" t="n"/>
      <c r="L42" s="40" t="inlineStr">
        <is>
          <t>Coverage 100% · nguồn: SmallControllersTests.cs</t>
        </is>
      </c>
    </row>
    <row r="43" ht="61.5" customHeight="1">
      <c r="A43" s="31" t="inlineStr">
        <is>
          <t>CVG-031</t>
        </is>
      </c>
      <c r="B43" s="37" t="inlineStr">
        <is>
          <t>Coverage (code-driven)</t>
        </is>
      </c>
      <c r="C43" s="32" t="inlineStr">
        <is>
          <t>UpdateCartItemQuantity() — 3 test con [L1-CART-17 → L1-CART-19]
· UpdateCartItemQuantity_WhenModelStateInvalid_Returns400
· UpdateCartItemQuantity_Success_ReturnsOk
· UpdateCartItemQuantity_WhenServiceThrows_Returns400</t>
        </is>
      </c>
      <c r="D43" s="32" t="inlineStr">
        <is>
          <t>COVERAGE (code-driven)</t>
        </is>
      </c>
      <c r="E43" s="28" t="inlineStr">
        <is>
          <t>P1</t>
        </is>
      </c>
      <c r="F43" s="38" t="inlineStr">
        <is>
          <t>Mock dependency của controller theo tên test</t>
        </is>
      </c>
      <c r="G43" s="32" t="inlineStr">
        <is>
          <t>CartController.UpdateCartItemQuantity()</t>
        </is>
      </c>
      <c r="H43" s="38" t="inlineStr">
        <is>
          <t>Xem assertion trong file test nguồn (tên test tra ngược 1-1)</t>
        </is>
      </c>
      <c r="I43" s="35" t="inlineStr">
        <is>
          <t>Cả hai</t>
        </is>
      </c>
      <c r="J43" s="39" t="inlineStr">
        <is>
          <t>Pass</t>
        </is>
      </c>
      <c r="K43" s="32" t="n"/>
      <c r="L43" s="38" t="inlineStr">
        <is>
          <t>Coverage 100% · nguồn: SmallControllersTests.cs</t>
        </is>
      </c>
    </row>
    <row r="44" ht="49.5" customHeight="1">
      <c r="A44" s="26" t="inlineStr">
        <is>
          <t>CVG-032</t>
        </is>
      </c>
      <c r="B44" s="37" t="inlineStr">
        <is>
          <t>Coverage (code-driven)</t>
        </is>
      </c>
      <c r="C44" s="27" t="inlineStr">
        <is>
          <t>RemoveItemFromCart() — 2 test con [L1-CART-20 → L1-CART-21]
· RemoveItemFromCart_Success_ReturnsOk
· RemoveItemFromCart_WhenServiceThrows_Returns400</t>
        </is>
      </c>
      <c r="D44" s="27" t="inlineStr">
        <is>
          <t>COVERAGE (code-driven)</t>
        </is>
      </c>
      <c r="E44" s="28" t="inlineStr">
        <is>
          <t>P1</t>
        </is>
      </c>
      <c r="F44" s="40" t="inlineStr">
        <is>
          <t>Mock dependency của controller theo tên test</t>
        </is>
      </c>
      <c r="G44" s="27" t="inlineStr">
        <is>
          <t>CartController.RemoveItemFromCart()</t>
        </is>
      </c>
      <c r="H44" s="40" t="inlineStr">
        <is>
          <t>Xem assertion trong file test nguồn (tên test tra ngược 1-1)</t>
        </is>
      </c>
      <c r="I44" s="29" t="inlineStr">
        <is>
          <t>Cả hai</t>
        </is>
      </c>
      <c r="J44" s="39" t="inlineStr">
        <is>
          <t>Pass</t>
        </is>
      </c>
      <c r="K44" s="27" t="n"/>
      <c r="L44" s="40" t="inlineStr">
        <is>
          <t>Coverage 100% · nguồn: SmallControllersTests.cs</t>
        </is>
      </c>
    </row>
    <row r="45" ht="49.5" customHeight="1">
      <c r="A45" s="31" t="inlineStr">
        <is>
          <t>CVG-033</t>
        </is>
      </c>
      <c r="B45" s="37" t="inlineStr">
        <is>
          <t>Coverage (code-driven)</t>
        </is>
      </c>
      <c r="C45" s="32" t="inlineStr">
        <is>
          <t>ClearCart() — 2 test con [L1-CART-22 → L1-CART-23]
· ClearCart_Success_ReturnsOk
· ClearCart_WhenServiceThrows_Returns400</t>
        </is>
      </c>
      <c r="D45" s="32" t="inlineStr">
        <is>
          <t>COVERAGE (code-driven)</t>
        </is>
      </c>
      <c r="E45" s="28" t="inlineStr">
        <is>
          <t>P1</t>
        </is>
      </c>
      <c r="F45" s="38" t="inlineStr">
        <is>
          <t>Mock dependency của controller theo tên test</t>
        </is>
      </c>
      <c r="G45" s="32" t="inlineStr">
        <is>
          <t>CartController.ClearCart()</t>
        </is>
      </c>
      <c r="H45" s="38" t="inlineStr">
        <is>
          <t>Xem assertion trong file test nguồn (tên test tra ngược 1-1)</t>
        </is>
      </c>
      <c r="I45" s="35" t="inlineStr">
        <is>
          <t>Cả hai</t>
        </is>
      </c>
      <c r="J45" s="39" t="inlineStr">
        <is>
          <t>Pass</t>
        </is>
      </c>
      <c r="K45" s="32" t="n"/>
      <c r="L45" s="38" t="inlineStr">
        <is>
          <t>Coverage 100% · nguồn: SmallControllersTests.cs</t>
        </is>
      </c>
    </row>
    <row r="46" ht="18" customHeight="1">
      <c r="A46" s="50" t="inlineStr">
        <is>
          <t xml:space="preserve">  ▶  Block: ProductService  —  ProductController  ·  coverage 96,1%  ·  SmallControllersTests.cs</t>
        </is>
      </c>
    </row>
    <row r="47" ht="37.5" customHeight="1">
      <c r="A47" s="26" t="inlineStr">
        <is>
          <t>CVG-034</t>
        </is>
      </c>
      <c r="B47" s="37" t="inlineStr">
        <is>
          <t>Coverage (code-driven)</t>
        </is>
      </c>
      <c r="C47" s="27" t="inlineStr">
        <is>
          <t>GetProducts() — 1 test con [L1-PROD-06]
· GetProducts_PassesAllFiltersThroughToService</t>
        </is>
      </c>
      <c r="D47" s="27" t="inlineStr">
        <is>
          <t>COVERAGE (code-driven)</t>
        </is>
      </c>
      <c r="E47" s="34" t="inlineStr">
        <is>
          <t>P2</t>
        </is>
      </c>
      <c r="F47" s="40" t="inlineStr">
        <is>
          <t>Mock dependency của controller theo tên test</t>
        </is>
      </c>
      <c r="G47" s="27" t="inlineStr">
        <is>
          <t>ProductController.GetProducts()</t>
        </is>
      </c>
      <c r="H47" s="40" t="inlineStr">
        <is>
          <t>Xem assertion trong file test nguồn (tên test tra ngược 1-1)</t>
        </is>
      </c>
      <c r="I47" s="27" t="inlineStr">
        <is>
          <t>No</t>
        </is>
      </c>
      <c r="J47" s="39" t="inlineStr">
        <is>
          <t>Pass</t>
        </is>
      </c>
      <c r="K47" s="27" t="n"/>
      <c r="L47" s="40" t="inlineStr">
        <is>
          <t>Coverage 96,1% · nguồn: SmallControllersTests.cs</t>
        </is>
      </c>
    </row>
    <row r="48" ht="49.5" customHeight="1">
      <c r="A48" s="31" t="inlineStr">
        <is>
          <t>CVG-035</t>
        </is>
      </c>
      <c r="B48" s="37" t="inlineStr">
        <is>
          <t>Coverage (code-driven)</t>
        </is>
      </c>
      <c r="C48" s="32" t="inlineStr">
        <is>
          <t>GetProductById() — 2 test con [L1-PROD-07 → L1-PROD-08]
· GetProductById_WhenNotFound_Returns404
· GetProductById_WhenFound_ReturnsOk</t>
        </is>
      </c>
      <c r="D48" s="32" t="inlineStr">
        <is>
          <t>COVERAGE (code-driven)</t>
        </is>
      </c>
      <c r="E48" s="36" t="inlineStr">
        <is>
          <t>P2</t>
        </is>
      </c>
      <c r="F48" s="38" t="inlineStr">
        <is>
          <t>Mock dependency của controller theo tên test</t>
        </is>
      </c>
      <c r="G48" s="32" t="inlineStr">
        <is>
          <t>ProductController.GetProductById()</t>
        </is>
      </c>
      <c r="H48" s="38" t="inlineStr">
        <is>
          <t>Xem assertion trong file test nguồn (tên test tra ngược 1-1)</t>
        </is>
      </c>
      <c r="I48" s="35" t="inlineStr">
        <is>
          <t>Cả hai</t>
        </is>
      </c>
      <c r="J48" s="39" t="inlineStr">
        <is>
          <t>Pass</t>
        </is>
      </c>
      <c r="K48" s="32" t="n"/>
      <c r="L48" s="38" t="inlineStr">
        <is>
          <t>Coverage 96,1% · nguồn: SmallControllersTests.cs</t>
        </is>
      </c>
    </row>
    <row r="49" ht="37.5" customHeight="1">
      <c r="A49" s="26" t="inlineStr">
        <is>
          <t>CVG-036</t>
        </is>
      </c>
      <c r="B49" s="37" t="inlineStr">
        <is>
          <t>Coverage (code-driven)</t>
        </is>
      </c>
      <c r="C49" s="27" t="inlineStr">
        <is>
          <t>GetCategories() — 1 test con [L1-PROD-09]
· GetCategories_ReturnsOk</t>
        </is>
      </c>
      <c r="D49" s="27" t="inlineStr">
        <is>
          <t>COVERAGE (code-driven)</t>
        </is>
      </c>
      <c r="E49" s="34" t="inlineStr">
        <is>
          <t>P2</t>
        </is>
      </c>
      <c r="F49" s="40" t="inlineStr">
        <is>
          <t>Mock dependency của controller theo tên test</t>
        </is>
      </c>
      <c r="G49" s="27" t="inlineStr">
        <is>
          <t>ProductController.GetCategories()</t>
        </is>
      </c>
      <c r="H49" s="40" t="inlineStr">
        <is>
          <t>Xem assertion trong file test nguồn (tên test tra ngược 1-1)</t>
        </is>
      </c>
      <c r="I49" s="27" t="inlineStr">
        <is>
          <t>No</t>
        </is>
      </c>
      <c r="J49" s="39" t="inlineStr">
        <is>
          <t>Pass</t>
        </is>
      </c>
      <c r="K49" s="27" t="n"/>
      <c r="L49" s="40" t="inlineStr">
        <is>
          <t>Coverage 96,1% · nguồn: SmallControllersTests.cs</t>
        </is>
      </c>
    </row>
    <row r="50" ht="37.5" customHeight="1">
      <c r="A50" s="31" t="inlineStr">
        <is>
          <t>CVG-037</t>
        </is>
      </c>
      <c r="B50" s="37" t="inlineStr">
        <is>
          <t>Coverage (code-driven)</t>
        </is>
      </c>
      <c r="C50" s="32" t="inlineStr">
        <is>
          <t>CreateProduct() — 1 test con [L1-PROD-10]
· CreateProduct_WhenServiceThrows_Returns400</t>
        </is>
      </c>
      <c r="D50" s="32" t="inlineStr">
        <is>
          <t>COVERAGE (code-driven)</t>
        </is>
      </c>
      <c r="E50" s="36" t="inlineStr">
        <is>
          <t>P2</t>
        </is>
      </c>
      <c r="F50" s="38" t="inlineStr">
        <is>
          <t>Mock dependency của controller theo tên test</t>
        </is>
      </c>
      <c r="G50" s="32" t="inlineStr">
        <is>
          <t>ProductController.CreateProduct()</t>
        </is>
      </c>
      <c r="H50" s="38" t="inlineStr">
        <is>
          <t>Xem assertion trong file test nguồn (tên test tra ngược 1-1)</t>
        </is>
      </c>
      <c r="I50" s="35" t="inlineStr">
        <is>
          <t>Yes</t>
        </is>
      </c>
      <c r="J50" s="39" t="inlineStr">
        <is>
          <t>Pass</t>
        </is>
      </c>
      <c r="K50" s="32" t="n"/>
      <c r="L50" s="38" t="inlineStr">
        <is>
          <t>Coverage 96,1% · nguồn: SmallControllersTests.cs</t>
        </is>
      </c>
    </row>
    <row r="51" ht="18" customHeight="1">
      <c r="A51" s="50" t="inlineStr">
        <is>
          <t xml:space="preserve">  ▶  Block: NotificationService  —  NotificationsController  ·  coverage 95,1%  ·  SmallControllersTests.cs</t>
        </is>
      </c>
    </row>
    <row r="52" ht="49.5" customHeight="1">
      <c r="A52" s="26" t="inlineStr">
        <is>
          <t>CVG-038</t>
        </is>
      </c>
      <c r="B52" s="37" t="inlineStr">
        <is>
          <t>Coverage (code-driven)</t>
        </is>
      </c>
      <c r="C52" s="27" t="inlineStr">
        <is>
          <t>GetNotifications() — 2 test con [L1-NOTI-04 → L1-NOTI-05]
· GetNotifications_WithoutUserClaim_Returns401
· GetNotifications_ReturnsOnlyOwnNotifications</t>
        </is>
      </c>
      <c r="D52" s="27" t="inlineStr">
        <is>
          <t>COVERAGE (code-driven)</t>
        </is>
      </c>
      <c r="E52" s="28" t="inlineStr">
        <is>
          <t>P1</t>
        </is>
      </c>
      <c r="F52" s="40" t="inlineStr">
        <is>
          <t>Mock dependency của controller theo tên test</t>
        </is>
      </c>
      <c r="G52" s="27" t="inlineStr">
        <is>
          <t>NotificationsController.GetNotifications()</t>
        </is>
      </c>
      <c r="H52" s="40" t="inlineStr">
        <is>
          <t>Xem assertion trong file test nguồn (tên test tra ngược 1-1)</t>
        </is>
      </c>
      <c r="I52" s="29" t="inlineStr">
        <is>
          <t>Cả hai</t>
        </is>
      </c>
      <c r="J52" s="39" t="inlineStr">
        <is>
          <t>Pass</t>
        </is>
      </c>
      <c r="K52" s="27" t="n"/>
      <c r="L52" s="41" t="inlineStr">
        <is>
          <t>🔒 CHỐNG RÒ RỈ DỮ LIỆU — seed dữ liệu người dùng khác rồi khẳng định không lọt vào kết quả. Cùng lớp lỗ hổng với IDOR L1-ORD-71 đã vá; giữ nguyên khi refactor.  |  Coverage 95,1% · nguồn: SmallControllersTests.cs</t>
        </is>
      </c>
    </row>
    <row r="53" ht="49.5" customHeight="1">
      <c r="A53" s="31" t="inlineStr">
        <is>
          <t>CVG-039</t>
        </is>
      </c>
      <c r="B53" s="37" t="inlineStr">
        <is>
          <t>Coverage (code-driven)</t>
        </is>
      </c>
      <c r="C53" s="32" t="inlineStr">
        <is>
          <t>GetUnreadCount() — 2 test con [L1-NOTI-06 → L1-NOTI-07]
· GetUnreadCount_CountsOnlyUnreadOfCaller
· GetUnreadCount_WithoutUserClaim_Returns401</t>
        </is>
      </c>
      <c r="D53" s="32" t="inlineStr">
        <is>
          <t>COVERAGE (code-driven)</t>
        </is>
      </c>
      <c r="E53" s="28" t="inlineStr">
        <is>
          <t>P1</t>
        </is>
      </c>
      <c r="F53" s="38" t="inlineStr">
        <is>
          <t>Mock dependency của controller theo tên test</t>
        </is>
      </c>
      <c r="G53" s="32" t="inlineStr">
        <is>
          <t>NotificationsController.GetUnreadCount()</t>
        </is>
      </c>
      <c r="H53" s="38" t="inlineStr">
        <is>
          <t>Xem assertion trong file test nguồn (tên test tra ngược 1-1)</t>
        </is>
      </c>
      <c r="I53" s="35" t="inlineStr">
        <is>
          <t>Cả hai</t>
        </is>
      </c>
      <c r="J53" s="39" t="inlineStr">
        <is>
          <t>Pass</t>
        </is>
      </c>
      <c r="K53" s="32" t="n"/>
      <c r="L53" s="42" t="inlineStr">
        <is>
          <t>🔒 CHỐNG RÒ RỈ DỮ LIỆU — seed dữ liệu người dùng khác rồi khẳng định không lọt vào kết quả. Cùng lớp lỗ hổng với IDOR L1-ORD-71 đã vá; giữ nguyên khi refactor.  |  Coverage 95,1% · nguồn: SmallControllersTests.cs</t>
        </is>
      </c>
    </row>
    <row r="54" ht="49.5" customHeight="1">
      <c r="A54" s="26" t="inlineStr">
        <is>
          <t>CVG-040</t>
        </is>
      </c>
      <c r="B54" s="37" t="inlineStr">
        <is>
          <t>Coverage (code-driven)</t>
        </is>
      </c>
      <c r="C54" s="27" t="inlineStr">
        <is>
          <t>MarkAsRead() — 2 test con [L1-NOTI-08 → L1-NOTI-09]
· MarkAsRead_WhenNotFound_Returns404
· MarkAsRead_SetsIsReadTrue</t>
        </is>
      </c>
      <c r="D54" s="27" t="inlineStr">
        <is>
          <t>COVERAGE (code-driven)</t>
        </is>
      </c>
      <c r="E54" s="34" t="inlineStr">
        <is>
          <t>P2</t>
        </is>
      </c>
      <c r="F54" s="40" t="inlineStr">
        <is>
          <t>Mock dependency của controller theo tên test</t>
        </is>
      </c>
      <c r="G54" s="27" t="inlineStr">
        <is>
          <t>NotificationsController.MarkAsRead()</t>
        </is>
      </c>
      <c r="H54" s="40" t="inlineStr">
        <is>
          <t>Xem assertion trong file test nguồn (tên test tra ngược 1-1)</t>
        </is>
      </c>
      <c r="I54" s="29" t="inlineStr">
        <is>
          <t>Cả hai</t>
        </is>
      </c>
      <c r="J54" s="39" t="inlineStr">
        <is>
          <t>Pass</t>
        </is>
      </c>
      <c r="K54" s="27" t="n"/>
      <c r="L54" s="40" t="inlineStr">
        <is>
          <t>Coverage 95,1% · nguồn: SmallControllersTests.cs</t>
        </is>
      </c>
    </row>
    <row r="55" ht="37.5" customHeight="1">
      <c r="A55" s="31" t="inlineStr">
        <is>
          <t>CVG-041</t>
        </is>
      </c>
      <c r="B55" s="37" t="inlineStr">
        <is>
          <t>Coverage (code-driven)</t>
        </is>
      </c>
      <c r="C55" s="32" t="inlineStr">
        <is>
          <t>MarkAllAsRead() — 1 test con [L1-NOTI-10]
· MarkAllAsRead_MarksEveryUnreadOfCaller</t>
        </is>
      </c>
      <c r="D55" s="32" t="inlineStr">
        <is>
          <t>COVERAGE (code-driven)</t>
        </is>
      </c>
      <c r="E55" s="36" t="inlineStr">
        <is>
          <t>P2</t>
        </is>
      </c>
      <c r="F55" s="38" t="inlineStr">
        <is>
          <t>Mock dependency của controller theo tên test</t>
        </is>
      </c>
      <c r="G55" s="32" t="inlineStr">
        <is>
          <t>NotificationsController.MarkAllAsRead()</t>
        </is>
      </c>
      <c r="H55" s="38" t="inlineStr">
        <is>
          <t>Xem assertion trong file test nguồn (tên test tra ngược 1-1)</t>
        </is>
      </c>
      <c r="I55" s="32" t="inlineStr">
        <is>
          <t>No</t>
        </is>
      </c>
      <c r="J55" s="39" t="inlineStr">
        <is>
          <t>Pass</t>
        </is>
      </c>
      <c r="K55" s="32" t="n"/>
      <c r="L55" s="38" t="inlineStr">
        <is>
          <t>Coverage 95,1% · nguồn: SmallControllersTests.cs</t>
        </is>
      </c>
    </row>
    <row r="56" ht="49.5" customHeight="1">
      <c r="A56" s="26" t="inlineStr">
        <is>
          <t>CVG-042</t>
        </is>
      </c>
      <c r="B56" s="37" t="inlineStr">
        <is>
          <t>Coverage (code-driven)</t>
        </is>
      </c>
      <c r="C56" s="27" t="inlineStr">
        <is>
          <t>DeleteNotification() — 2 test con [L1-NOTI-11 → L1-NOTI-12]
· DeleteNotification_WhenNotFound_Returns404
· DeleteNotification_RemovesRow</t>
        </is>
      </c>
      <c r="D56" s="27" t="inlineStr">
        <is>
          <t>COVERAGE (code-driven)</t>
        </is>
      </c>
      <c r="E56" s="34" t="inlineStr">
        <is>
          <t>P2</t>
        </is>
      </c>
      <c r="F56" s="40" t="inlineStr">
        <is>
          <t>Mock dependency của controller theo tên test</t>
        </is>
      </c>
      <c r="G56" s="27" t="inlineStr">
        <is>
          <t>NotificationsController.DeleteNotification()</t>
        </is>
      </c>
      <c r="H56" s="40" t="inlineStr">
        <is>
          <t>Xem assertion trong file test nguồn (tên test tra ngược 1-1)</t>
        </is>
      </c>
      <c r="I56" s="29" t="inlineStr">
        <is>
          <t>Cả hai</t>
        </is>
      </c>
      <c r="J56" s="39" t="inlineStr">
        <is>
          <t>Pass</t>
        </is>
      </c>
      <c r="K56" s="27" t="n"/>
      <c r="L56" s="40" t="inlineStr">
        <is>
          <t>Coverage 95,1% · nguồn: SmallControllersTests.cs</t>
        </is>
      </c>
    </row>
    <row r="57" ht="37.5" customHeight="1">
      <c r="A57" s="31" t="inlineStr">
        <is>
          <t>CVG-043</t>
        </is>
      </c>
      <c r="B57" s="37" t="inlineStr">
        <is>
          <t>Coverage (code-driven)</t>
        </is>
      </c>
      <c r="C57" s="32" t="inlineStr">
        <is>
          <t>DeleteAllRead() — 1 test con [L1-NOTI-13]
· DeleteAllRead_RemovesOnlyReadOnes</t>
        </is>
      </c>
      <c r="D57" s="32" t="inlineStr">
        <is>
          <t>COVERAGE (code-driven)</t>
        </is>
      </c>
      <c r="E57" s="28" t="inlineStr">
        <is>
          <t>P1</t>
        </is>
      </c>
      <c r="F57" s="38" t="inlineStr">
        <is>
          <t>Mock dependency của controller theo tên test</t>
        </is>
      </c>
      <c r="G57" s="32" t="inlineStr">
        <is>
          <t>NotificationsController.DeleteAllRead()</t>
        </is>
      </c>
      <c r="H57" s="38" t="inlineStr">
        <is>
          <t>Xem assertion trong file test nguồn (tên test tra ngược 1-1)</t>
        </is>
      </c>
      <c r="I57" s="32" t="inlineStr">
        <is>
          <t>No</t>
        </is>
      </c>
      <c r="J57" s="39" t="inlineStr">
        <is>
          <t>Pass</t>
        </is>
      </c>
      <c r="K57" s="32" t="n"/>
      <c r="L57" s="38" t="inlineStr">
        <is>
          <t>Coverage 95,1% · nguồn: SmallControllersTests.cs</t>
        </is>
      </c>
    </row>
    <row r="58" ht="18" customHeight="1">
      <c r="A58" s="50" t="inlineStr">
        <is>
          <t xml:space="preserve">  ▶  Block: WarehouseService  —  WarehouseController · HandoverController  ·  coverage 100%  ·  WarehouseControllersTests.cs · SmallControllersTests.cs</t>
        </is>
      </c>
    </row>
    <row r="59" ht="37.5" customHeight="1">
      <c r="A59" s="26" t="inlineStr">
        <is>
          <t>CVG-044</t>
        </is>
      </c>
      <c r="B59" s="37" t="inlineStr">
        <is>
          <t>Coverage (code-driven)</t>
        </is>
      </c>
      <c r="C59" s="27" t="inlineStr">
        <is>
          <t>GetHandoverById() — 1 test con [L1-WH-13]
· GetHandoverById_ReturnsHardcodedPendingStatus</t>
        </is>
      </c>
      <c r="D59" s="27" t="inlineStr">
        <is>
          <t>COVERAGE (code-driven)</t>
        </is>
      </c>
      <c r="E59" s="34" t="inlineStr">
        <is>
          <t>P2</t>
        </is>
      </c>
      <c r="F59" s="40" t="inlineStr">
        <is>
          <t>Mock dependency của controller theo tên test</t>
        </is>
      </c>
      <c r="G59" s="27" t="inlineStr">
        <is>
          <t>WarehouseController · HandoverController.GetHandoverById()</t>
        </is>
      </c>
      <c r="H59" s="40" t="inlineStr">
        <is>
          <t>Xem assertion trong file test nguồn (tên test tra ngược 1-1)</t>
        </is>
      </c>
      <c r="I59" s="27" t="inlineStr">
        <is>
          <t>No</t>
        </is>
      </c>
      <c r="J59" s="39" t="inlineStr">
        <is>
          <t>Pass</t>
        </is>
      </c>
      <c r="K59" s="27" t="n"/>
      <c r="L59" s="41" t="inlineStr">
        <is>
          <t>⚠ HandoverController là STUB CHƯA CÀI ĐẶT (4 action trả giá trị cứng). Nhóm này CHỈ khoá hành vi hiện tại, KHÔNG chứng minh luồng bàn giao hoạt động — luồng thật ở WarehouseController.HandoverOrder.  |  Coverage 100% · nguồn: WarehouseControllersTests.cs · SmallControllersTests.cs</t>
        </is>
      </c>
    </row>
    <row r="60" ht="37.5" customHeight="1">
      <c r="A60" s="31" t="inlineStr">
        <is>
          <t>CVG-045</t>
        </is>
      </c>
      <c r="B60" s="37" t="inlineStr">
        <is>
          <t>Coverage (code-driven)</t>
        </is>
      </c>
      <c r="C60" s="32" t="inlineStr">
        <is>
          <t>CreateHandover() — 1 test con [L1-WH-14]
· CreateHandover_ReturnsOk</t>
        </is>
      </c>
      <c r="D60" s="32" t="inlineStr">
        <is>
          <t>COVERAGE (code-driven)</t>
        </is>
      </c>
      <c r="E60" s="36" t="inlineStr">
        <is>
          <t>P2</t>
        </is>
      </c>
      <c r="F60" s="38" t="inlineStr">
        <is>
          <t>Mock dependency của controller theo tên test</t>
        </is>
      </c>
      <c r="G60" s="32" t="inlineStr">
        <is>
          <t>WarehouseController · HandoverController.CreateHandover()</t>
        </is>
      </c>
      <c r="H60" s="38" t="inlineStr">
        <is>
          <t>Xem assertion trong file test nguồn (tên test tra ngược 1-1)</t>
        </is>
      </c>
      <c r="I60" s="32" t="inlineStr">
        <is>
          <t>No</t>
        </is>
      </c>
      <c r="J60" s="39" t="inlineStr">
        <is>
          <t>Pass</t>
        </is>
      </c>
      <c r="K60" s="32" t="n"/>
      <c r="L60" s="42" t="inlineStr">
        <is>
          <t>⚠ HandoverController là STUB CHƯA CÀI ĐẶT (4 action trả giá trị cứng). Nhóm này CHỈ khoá hành vi hiện tại, KHÔNG chứng minh luồng bàn giao hoạt động — luồng thật ở WarehouseController.HandoverOrder.  |  Coverage 100% · nguồn: WarehouseControllersTests.cs · SmallControllersTests.cs</t>
        </is>
      </c>
    </row>
    <row r="61" ht="37.5" customHeight="1">
      <c r="A61" s="26" t="inlineStr">
        <is>
          <t>CVG-046</t>
        </is>
      </c>
      <c r="B61" s="37" t="inlineStr">
        <is>
          <t>Coverage (code-driven)</t>
        </is>
      </c>
      <c r="C61" s="27" t="inlineStr">
        <is>
          <t>WarehouseConfirm() — 1 test con [L1-WH-15]
· WarehouseConfirm_ReturnsOk</t>
        </is>
      </c>
      <c r="D61" s="27" t="inlineStr">
        <is>
          <t>COVERAGE (code-driven)</t>
        </is>
      </c>
      <c r="E61" s="34" t="inlineStr">
        <is>
          <t>P2</t>
        </is>
      </c>
      <c r="F61" s="40" t="inlineStr">
        <is>
          <t>Mock dependency của controller theo tên test</t>
        </is>
      </c>
      <c r="G61" s="27" t="inlineStr">
        <is>
          <t>WarehouseController · HandoverController.WarehouseConfirm()</t>
        </is>
      </c>
      <c r="H61" s="40" t="inlineStr">
        <is>
          <t>Xem assertion trong file test nguồn (tên test tra ngược 1-1)</t>
        </is>
      </c>
      <c r="I61" s="27" t="inlineStr">
        <is>
          <t>No</t>
        </is>
      </c>
      <c r="J61" s="39" t="inlineStr">
        <is>
          <t>Pass</t>
        </is>
      </c>
      <c r="K61" s="27" t="n"/>
      <c r="L61" s="41" t="inlineStr">
        <is>
          <t>⚠ HandoverController là STUB CHƯA CÀI ĐẶT (4 action trả giá trị cứng). Nhóm này CHỈ khoá hành vi hiện tại, KHÔNG chứng minh luồng bàn giao hoạt động — luồng thật ở WarehouseController.HandoverOrder.  |  Coverage 100% · nguồn: WarehouseControllersTests.cs · SmallControllersTests.cs</t>
        </is>
      </c>
    </row>
    <row r="62" ht="37.5" customHeight="1">
      <c r="A62" s="31" t="inlineStr">
        <is>
          <t>CVG-047</t>
        </is>
      </c>
      <c r="B62" s="37" t="inlineStr">
        <is>
          <t>Coverage (code-driven)</t>
        </is>
      </c>
      <c r="C62" s="32" t="inlineStr">
        <is>
          <t>SalesConfirm() — 1 test con [L1-WH-16]
· SalesConfirm_ReturnsOk</t>
        </is>
      </c>
      <c r="D62" s="32" t="inlineStr">
        <is>
          <t>COVERAGE (code-driven)</t>
        </is>
      </c>
      <c r="E62" s="36" t="inlineStr">
        <is>
          <t>P2</t>
        </is>
      </c>
      <c r="F62" s="38" t="inlineStr">
        <is>
          <t>Mock dependency của controller theo tên test</t>
        </is>
      </c>
      <c r="G62" s="32" t="inlineStr">
        <is>
          <t>WarehouseController · HandoverController.SalesConfirm()</t>
        </is>
      </c>
      <c r="H62" s="38" t="inlineStr">
        <is>
          <t>Xem assertion trong file test nguồn (tên test tra ngược 1-1)</t>
        </is>
      </c>
      <c r="I62" s="32" t="inlineStr">
        <is>
          <t>No</t>
        </is>
      </c>
      <c r="J62" s="39" t="inlineStr">
        <is>
          <t>Pass</t>
        </is>
      </c>
      <c r="K62" s="32" t="n"/>
      <c r="L62" s="42" t="inlineStr">
        <is>
          <t>⚠ HandoverController là STUB CHƯA CÀI ĐẶT (4 action trả giá trị cứng). Nhóm này CHỈ khoá hành vi hiện tại, KHÔNG chứng minh luồng bàn giao hoạt động — luồng thật ở WarehouseController.HandoverOrder.  |  Coverage 100% · nguồn: WarehouseControllersTests.cs · SmallControllersTests.cs</t>
        </is>
      </c>
    </row>
    <row r="63" ht="18" customHeight="1">
      <c r="A63" s="50" t="inlineStr">
        <is>
          <t xml:space="preserve">  ▶  Block: JobRunService  —  SystemHealthController  ·  coverage 98,2%  ·  SmallControllersTests.cs</t>
        </is>
      </c>
    </row>
    <row r="64" ht="49.5" customHeight="1">
      <c r="A64" s="26" t="inlineStr">
        <is>
          <t>CVG-048</t>
        </is>
      </c>
      <c r="B64" s="37" t="inlineStr">
        <is>
          <t>Coverage (code-driven)</t>
        </is>
      </c>
      <c r="C64" s="27" t="inlineStr">
        <is>
          <t>SearchJobRuns() — 2 test con [L1-JOB-08 → L1-JOB-09]
· SearchJobRuns_Success_ReturnsOk
· SearchJobRuns_WhenServiceThrows_Returns400</t>
        </is>
      </c>
      <c r="D64" s="27" t="inlineStr">
        <is>
          <t>COVERAGE (code-driven)</t>
        </is>
      </c>
      <c r="E64" s="34" t="inlineStr">
        <is>
          <t>P2</t>
        </is>
      </c>
      <c r="F64" s="40" t="inlineStr">
        <is>
          <t>Mock dependency của controller theo tên test</t>
        </is>
      </c>
      <c r="G64" s="27" t="inlineStr">
        <is>
          <t>SystemHealthController.SearchJobRuns()</t>
        </is>
      </c>
      <c r="H64" s="40" t="inlineStr">
        <is>
          <t>Xem assertion trong file test nguồn (tên test tra ngược 1-1)</t>
        </is>
      </c>
      <c r="I64" s="29" t="inlineStr">
        <is>
          <t>Cả hai</t>
        </is>
      </c>
      <c r="J64" s="39" t="inlineStr">
        <is>
          <t>Pass</t>
        </is>
      </c>
      <c r="K64" s="27" t="n"/>
      <c r="L64" s="40" t="inlineStr">
        <is>
          <t>Coverage 98,2% · nguồn: SmallControllersTests.cs</t>
        </is>
      </c>
    </row>
    <row r="65" ht="49.5" customHeight="1">
      <c r="A65" s="31" t="inlineStr">
        <is>
          <t>CVG-049</t>
        </is>
      </c>
      <c r="B65" s="37" t="inlineStr">
        <is>
          <t>Coverage (code-driven)</t>
        </is>
      </c>
      <c r="C65" s="32" t="inlineStr">
        <is>
          <t>GetJobRunsSummary() — 2 test con [L1-JOB-10 → L1-JOB-11]
· GetJobRunsSummary_FillsIntervalDescriptionInAllThreeUnits
· GetJobRunsSummary_PassesDistinctSortedJobNames</t>
        </is>
      </c>
      <c r="D65" s="32" t="inlineStr">
        <is>
          <t>COVERAGE (code-driven)</t>
        </is>
      </c>
      <c r="E65" s="36" t="inlineStr">
        <is>
          <t>P2</t>
        </is>
      </c>
      <c r="F65" s="38" t="inlineStr">
        <is>
          <t>Mock dependency của controller theo tên test</t>
        </is>
      </c>
      <c r="G65" s="32" t="inlineStr">
        <is>
          <t>SystemHealthController.GetJobRunsSummary()</t>
        </is>
      </c>
      <c r="H65" s="38" t="inlineStr">
        <is>
          <t>Xem assertion trong file test nguồn (tên test tra ngược 1-1)</t>
        </is>
      </c>
      <c r="I65" s="32" t="inlineStr">
        <is>
          <t>No</t>
        </is>
      </c>
      <c r="J65" s="39" t="inlineStr">
        <is>
          <t>Pass</t>
        </is>
      </c>
      <c r="K65" s="32" t="n"/>
      <c r="L65" s="38" t="inlineStr">
        <is>
          <t>Coverage 98,2% · nguồn: SmallControllersTests.cs</t>
        </is>
      </c>
    </row>
    <row r="66" ht="49.5" customHeight="1">
      <c r="A66" s="26" t="inlineStr">
        <is>
          <t>CVG-050</t>
        </is>
      </c>
      <c r="B66" s="37" t="inlineStr">
        <is>
          <t>Coverage (code-driven)</t>
        </is>
      </c>
      <c r="C66" s="27" t="inlineStr">
        <is>
          <t>RetryJob() — 2 test con [L1-JOB-12 → L1-JOB-13]
· RetryJob_WhenJobNameUnknown_Returns404
· RetryJob_MatchesJobNameCaseInsensitivelyAndTagsManualTrigger</t>
        </is>
      </c>
      <c r="D66" s="27" t="inlineStr">
        <is>
          <t>COVERAGE (code-driven)</t>
        </is>
      </c>
      <c r="E66" s="34" t="inlineStr">
        <is>
          <t>P2</t>
        </is>
      </c>
      <c r="F66" s="40" t="inlineStr">
        <is>
          <t>Mock dependency của controller theo tên test</t>
        </is>
      </c>
      <c r="G66" s="27" t="inlineStr">
        <is>
          <t>SystemHealthController.RetryJob()</t>
        </is>
      </c>
      <c r="H66" s="40" t="inlineStr">
        <is>
          <t>Xem assertion trong file test nguồn (tên test tra ngược 1-1)</t>
        </is>
      </c>
      <c r="I66" s="29" t="inlineStr">
        <is>
          <t>Cả hai</t>
        </is>
      </c>
      <c r="J66" s="39" t="inlineStr">
        <is>
          <t>Pass</t>
        </is>
      </c>
      <c r="K66" s="27" t="n"/>
      <c r="L66" s="40" t="inlineStr">
        <is>
          <t>Coverage 98,2% · nguồn: SmallControllersTests.cs</t>
        </is>
      </c>
    </row>
    <row r="67" ht="49.5" customHeight="1">
      <c r="A67" s="31" t="inlineStr">
        <is>
          <t>CVG-051</t>
        </is>
      </c>
      <c r="B67" s="37" t="inlineStr">
        <is>
          <t>Coverage (code-driven)</t>
        </is>
      </c>
      <c r="C67" s="32" t="inlineStr">
        <is>
          <t>SearchWebhookLogs() — 2 test con [L1-JOB-14 → L1-JOB-15]
· SearchWebhookLogs_Success_ReturnsOk
· SearchWebhookLogs_WhenServiceThrows_Returns400</t>
        </is>
      </c>
      <c r="D67" s="32" t="inlineStr">
        <is>
          <t>COVERAGE (code-driven)</t>
        </is>
      </c>
      <c r="E67" s="36" t="inlineStr">
        <is>
          <t>P2</t>
        </is>
      </c>
      <c r="F67" s="38" t="inlineStr">
        <is>
          <t>Mock dependency của controller theo tên test</t>
        </is>
      </c>
      <c r="G67" s="32" t="inlineStr">
        <is>
          <t>SystemHealthController.SearchWebhookLogs()</t>
        </is>
      </c>
      <c r="H67" s="38" t="inlineStr">
        <is>
          <t>Xem assertion trong file test nguồn (tên test tra ngược 1-1)</t>
        </is>
      </c>
      <c r="I67" s="35" t="inlineStr">
        <is>
          <t>Cả hai</t>
        </is>
      </c>
      <c r="J67" s="39" t="inlineStr">
        <is>
          <t>Pass</t>
        </is>
      </c>
      <c r="K67" s="32" t="n"/>
      <c r="L67" s="38" t="inlineStr">
        <is>
          <t>Coverage 98,2% · nguồn: SmallControllersTests.cs</t>
        </is>
      </c>
    </row>
    <row r="68" ht="49.5" customHeight="1">
      <c r="A68" s="26" t="inlineStr">
        <is>
          <t>CVG-052</t>
        </is>
      </c>
      <c r="B68" s="37" t="inlineStr">
        <is>
          <t>Coverage (code-driven)</t>
        </is>
      </c>
      <c r="C68" s="27" t="inlineStr">
        <is>
          <t>RetryWebhookLog() — 2 test con [L1-JOB-16 → L1-JOB-17]
· RetryWebhookLog_Success_ReturnsOk
· RetryWebhookLog_WhenLogMissing_Returns400</t>
        </is>
      </c>
      <c r="D68" s="27" t="inlineStr">
        <is>
          <t>COVERAGE (code-driven)</t>
        </is>
      </c>
      <c r="E68" s="28" t="inlineStr">
        <is>
          <t>P1</t>
        </is>
      </c>
      <c r="F68" s="40" t="inlineStr">
        <is>
          <t>Mock dependency của controller theo tên test</t>
        </is>
      </c>
      <c r="G68" s="27" t="inlineStr">
        <is>
          <t>SystemHealthController.RetryWebhookLog()</t>
        </is>
      </c>
      <c r="H68" s="40" t="inlineStr">
        <is>
          <t>Xem assertion trong file test nguồn (tên test tra ngược 1-1)</t>
        </is>
      </c>
      <c r="I68" s="29" t="inlineStr">
        <is>
          <t>Cả hai</t>
        </is>
      </c>
      <c r="J68" s="39" t="inlineStr">
        <is>
          <t>Pass</t>
        </is>
      </c>
      <c r="K68" s="27" t="n"/>
      <c r="L68" s="40" t="inlineStr">
        <is>
          <t>Coverage 98,2% · nguồn: SmallControllersTests.cs</t>
        </is>
      </c>
    </row>
    <row r="69" ht="18" customHeight="1">
      <c r="A69" s="50" t="inlineStr">
        <is>
          <t xml:space="preserve">  ▶  Block: WarehouseManagementService  —  WarehouseManagementController · WarehouseShiftController  ·  coverage 93–100%  ·  WarehouseControllersTests.cs · SmallControllersTests.cs</t>
        </is>
      </c>
    </row>
    <row r="70" ht="49.5" customHeight="1">
      <c r="A70" s="31" t="inlineStr">
        <is>
          <t>CVG-053</t>
        </is>
      </c>
      <c r="B70" s="37" t="inlineStr">
        <is>
          <t>Coverage (code-driven)</t>
        </is>
      </c>
      <c r="C70" s="32" t="inlineStr">
        <is>
          <t>GetShifts() — 2 test con [L1-WM-04 → L1-WM-05]
· GetShifts_MapsTimeSpanToHhMmString
· GetShifts_WhenEmpty_ReturnsEmptyList</t>
        </is>
      </c>
      <c r="D70" s="32" t="inlineStr">
        <is>
          <t>COVERAGE (code-driven)</t>
        </is>
      </c>
      <c r="E70" s="36" t="inlineStr">
        <is>
          <t>P2</t>
        </is>
      </c>
      <c r="F70" s="38" t="inlineStr">
        <is>
          <t>Mock dependency của controller theo tên test</t>
        </is>
      </c>
      <c r="G70" s="32" t="inlineStr">
        <is>
          <t>WarehouseManagementController · WarehouseShiftController.GetShifts()</t>
        </is>
      </c>
      <c r="H70" s="38" t="inlineStr">
        <is>
          <t>Xem assertion trong file test nguồn (tên test tra ngược 1-1)</t>
        </is>
      </c>
      <c r="I70" s="35" t="inlineStr">
        <is>
          <t>Cả hai</t>
        </is>
      </c>
      <c r="J70" s="39" t="inlineStr">
        <is>
          <t>Pass</t>
        </is>
      </c>
      <c r="K70" s="32" t="n"/>
      <c r="L70" s="38" t="inlineStr">
        <is>
          <t>Coverage 93–100% · nguồn: WarehouseControllersTests.cs · SmallControllersTests.cs</t>
        </is>
      </c>
    </row>
    <row r="71" ht="18" customHeight="1">
      <c r="A71" s="50" t="inlineStr">
        <is>
          <t xml:space="preserve">  ▶  Block: UserProfileService  —  UserProfileController · CustomerProfileController  ·  coverage 100%  ·  ProfileAndSalesControllersTests.cs</t>
        </is>
      </c>
    </row>
    <row r="72" ht="97.5" customHeight="1">
      <c r="A72" s="26" t="inlineStr">
        <is>
          <t>CVG-054</t>
        </is>
      </c>
      <c r="B72" s="37" t="inlineStr">
        <is>
          <t>Coverage (code-driven)</t>
        </is>
      </c>
      <c r="C72" s="27" t="inlineStr">
        <is>
          <t>GetProfile() — 6 test con [L1-UP-06 → L1-UP-23]
· GetProfile_Success_ReturnsOk
· GetProfile_WithoutUserClaim_Returns401
· GetProfile_WhenUserRowMissing_Returns404
· GetProfile_WithoutUserClaim_Returns401
· GetProfile_WhenNoProfileYet_ReturnsEmptyDtoNot404
· GetProfile_MapsAllCompanyFields</t>
        </is>
      </c>
      <c r="D72" s="27" t="inlineStr">
        <is>
          <t>COVERAGE (code-driven)</t>
        </is>
      </c>
      <c r="E72" s="28" t="inlineStr">
        <is>
          <t>P1</t>
        </is>
      </c>
      <c r="F72" s="40" t="inlineStr">
        <is>
          <t>Mock dependency của controller theo tên test</t>
        </is>
      </c>
      <c r="G72" s="27" t="inlineStr">
        <is>
          <t>UserProfileController · CustomerProfileController.GetProfile()</t>
        </is>
      </c>
      <c r="H72" s="40" t="inlineStr">
        <is>
          <t>Xem assertion trong file test nguồn (tên test tra ngược 1-1)</t>
        </is>
      </c>
      <c r="I72" s="29" t="inlineStr">
        <is>
          <t>Cả hai</t>
        </is>
      </c>
      <c r="J72" s="39" t="inlineStr">
        <is>
          <t>Pass</t>
        </is>
      </c>
      <c r="K72" s="27" t="n"/>
      <c r="L72" s="40" t="inlineStr">
        <is>
          <t>Coverage 100% · nguồn: ProfileAndSalesControllersTests.cs</t>
        </is>
      </c>
    </row>
    <row r="73" ht="97.5" customHeight="1">
      <c r="A73" s="31" t="inlineStr">
        <is>
          <t>CVG-055</t>
        </is>
      </c>
      <c r="B73" s="37" t="inlineStr">
        <is>
          <t>Coverage (code-driven)</t>
        </is>
      </c>
      <c r="C73" s="32" t="inlineStr">
        <is>
          <t>UpdateProfile() — 6 test con [L1-UP-09 → L1-UP-30]
· UpdateProfile_WhenModelStateInvalid_Returns400AndListsFieldErrors
· UpdateProfile_Success_ReturnsOk
· UpdateProfile_WithoutUserClaim_Returns401
· UpdateProfile_WithoutUserClaim_Returns401
· UpdateProfile_WhenNoProfileYet_CreatesOne
· UpdateProfile_WhenProfileExists_UpdatesInPlaceWithoutInsert</t>
        </is>
      </c>
      <c r="D73" s="32" t="inlineStr">
        <is>
          <t>COVERAGE (code-driven)</t>
        </is>
      </c>
      <c r="E73" s="28" t="inlineStr">
        <is>
          <t>P1</t>
        </is>
      </c>
      <c r="F73" s="38" t="inlineStr">
        <is>
          <t>Mock dependency của controller theo tên test</t>
        </is>
      </c>
      <c r="G73" s="32" t="inlineStr">
        <is>
          <t>UserProfileController · CustomerProfileController.UpdateProfile()</t>
        </is>
      </c>
      <c r="H73" s="38" t="inlineStr">
        <is>
          <t>Xem assertion trong file test nguồn (tên test tra ngược 1-1)</t>
        </is>
      </c>
      <c r="I73" s="35" t="inlineStr">
        <is>
          <t>Cả hai</t>
        </is>
      </c>
      <c r="J73" s="39" t="inlineStr">
        <is>
          <t>Pass</t>
        </is>
      </c>
      <c r="K73" s="32" t="n"/>
      <c r="L73" s="38" t="inlineStr">
        <is>
          <t>Coverage 100% · nguồn: ProfileAndSalesControllersTests.cs</t>
        </is>
      </c>
    </row>
    <row r="74" ht="61.5" customHeight="1">
      <c r="A74" s="26" t="inlineStr">
        <is>
          <t>CVG-056</t>
        </is>
      </c>
      <c r="B74" s="37" t="inlineStr">
        <is>
          <t>Coverage (code-driven)</t>
        </is>
      </c>
      <c r="C74" s="27" t="inlineStr">
        <is>
          <t>UploadAvatar() — 3 test con [L1-UP-12 → L1-UP-14]
· UploadAvatar_Success_ReturnsOk
· UploadAvatar_WhenFileRejected_Returns400
· UploadAvatar_WithoutUserClaim_Returns401</t>
        </is>
      </c>
      <c r="D74" s="27" t="inlineStr">
        <is>
          <t>COVERAGE (code-driven)</t>
        </is>
      </c>
      <c r="E74" s="28" t="inlineStr">
        <is>
          <t>P1</t>
        </is>
      </c>
      <c r="F74" s="40" t="inlineStr">
        <is>
          <t>Mock dependency của controller theo tên test</t>
        </is>
      </c>
      <c r="G74" s="27" t="inlineStr">
        <is>
          <t>UserProfileController · CustomerProfileController.UploadAvatar()</t>
        </is>
      </c>
      <c r="H74" s="40" t="inlineStr">
        <is>
          <t>Xem assertion trong file test nguồn (tên test tra ngược 1-1)</t>
        </is>
      </c>
      <c r="I74" s="29" t="inlineStr">
        <is>
          <t>Cả hai</t>
        </is>
      </c>
      <c r="J74" s="39" t="inlineStr">
        <is>
          <t>Pass</t>
        </is>
      </c>
      <c r="K74" s="27" t="n"/>
      <c r="L74" s="40" t="inlineStr">
        <is>
          <t>Coverage 100% · nguồn: ProfileAndSalesControllersTests.cs</t>
        </is>
      </c>
    </row>
    <row r="75" ht="49.5" customHeight="1">
      <c r="A75" s="31" t="inlineStr">
        <is>
          <t>CVG-057</t>
        </is>
      </c>
      <c r="B75" s="37" t="inlineStr">
        <is>
          <t>Coverage (code-driven)</t>
        </is>
      </c>
      <c r="C75" s="32" t="inlineStr">
        <is>
          <t>DeleteAvatar() — 2 test con [L1-UP-15 → L1-UP-16]
· DeleteAvatar_Success_Returns204
· DeleteAvatar_WithoutUserClaim_Returns401</t>
        </is>
      </c>
      <c r="D75" s="32" t="inlineStr">
        <is>
          <t>COVERAGE (code-driven)</t>
        </is>
      </c>
      <c r="E75" s="28" t="inlineStr">
        <is>
          <t>P1</t>
        </is>
      </c>
      <c r="F75" s="38" t="inlineStr">
        <is>
          <t>Mock dependency của controller theo tên test</t>
        </is>
      </c>
      <c r="G75" s="32" t="inlineStr">
        <is>
          <t>UserProfileController · CustomerProfileController.DeleteAvatar()</t>
        </is>
      </c>
      <c r="H75" s="38" t="inlineStr">
        <is>
          <t>Xem assertion trong file test nguồn (tên test tra ngược 1-1)</t>
        </is>
      </c>
      <c r="I75" s="35" t="inlineStr">
        <is>
          <t>Cả hai</t>
        </is>
      </c>
      <c r="J75" s="39" t="inlineStr">
        <is>
          <t>Pass</t>
        </is>
      </c>
      <c r="K75" s="32" t="n"/>
      <c r="L75" s="38" t="inlineStr">
        <is>
          <t>Coverage 100% · nguồn: ProfileAndSalesControllersTests.cs</t>
        </is>
      </c>
    </row>
    <row r="76" ht="73.5" customHeight="1">
      <c r="A76" s="26" t="inlineStr">
        <is>
          <t>CVG-058</t>
        </is>
      </c>
      <c r="B76" s="37" t="inlineStr">
        <is>
          <t>Coverage (code-driven)</t>
        </is>
      </c>
      <c r="C76" s="27" t="inlineStr">
        <is>
          <t>ChangePassword() — 4 test con [L1-UP-17 → L1-UP-20]
· ChangePassword_WhenModelStateInvalid_Returns400
· ChangePassword_Success_ReturnsOk
· ChangePassword_WhenCurrentPasswordWrong_Returns400
· ChangePassword_WithoutUserClaim_Returns401</t>
        </is>
      </c>
      <c r="D76" s="27" t="inlineStr">
        <is>
          <t>COVERAGE (code-driven)</t>
        </is>
      </c>
      <c r="E76" s="28" t="inlineStr">
        <is>
          <t>P1</t>
        </is>
      </c>
      <c r="F76" s="40" t="inlineStr">
        <is>
          <t>Mock dependency của controller theo tên test</t>
        </is>
      </c>
      <c r="G76" s="27" t="inlineStr">
        <is>
          <t>UserProfileController · CustomerProfileController.ChangePassword()</t>
        </is>
      </c>
      <c r="H76" s="40" t="inlineStr">
        <is>
          <t>Xem assertion trong file test nguồn (tên test tra ngược 1-1)</t>
        </is>
      </c>
      <c r="I76" s="29" t="inlineStr">
        <is>
          <t>Cả hai</t>
        </is>
      </c>
      <c r="J76" s="39" t="inlineStr">
        <is>
          <t>Pass</t>
        </is>
      </c>
      <c r="K76" s="27" t="n"/>
      <c r="L76" s="40" t="inlineStr">
        <is>
          <t>Coverage 100% · nguồn: ProfileAndSalesControllersTests.cs</t>
        </is>
      </c>
    </row>
    <row r="77" ht="18" customHeight="1">
      <c r="A77" s="50" t="inlineStr">
        <is>
          <t xml:space="preserve">  ▶  Block: AddressService  —  UserProfileController (địa chỉ)  ·  coverage 100%  ·  ProfileAndSalesControllersTests.cs</t>
        </is>
      </c>
    </row>
    <row r="78" ht="49.5" customHeight="1">
      <c r="A78" s="31" t="inlineStr">
        <is>
          <t>CVG-059</t>
        </is>
      </c>
      <c r="B78" s="37" t="inlineStr">
        <is>
          <t>Coverage (code-driven)</t>
        </is>
      </c>
      <c r="C78" s="32" t="inlineStr">
        <is>
          <t>GetAddresses() — 2 test con [L1-ADDR-05 → L1-ADDR-06]
· GetAddresses_Success_ReturnsOk
· GetAddresses_WithoutUserClaim_Returns401</t>
        </is>
      </c>
      <c r="D78" s="32" t="inlineStr">
        <is>
          <t>COVERAGE (code-driven)</t>
        </is>
      </c>
      <c r="E78" s="28" t="inlineStr">
        <is>
          <t>P1</t>
        </is>
      </c>
      <c r="F78" s="38" t="inlineStr">
        <is>
          <t>Mock dependency của controller theo tên test</t>
        </is>
      </c>
      <c r="G78" s="32" t="inlineStr">
        <is>
          <t>UserProfileController (địa chỉ).GetAddresses()</t>
        </is>
      </c>
      <c r="H78" s="38" t="inlineStr">
        <is>
          <t>Xem assertion trong file test nguồn (tên test tra ngược 1-1)</t>
        </is>
      </c>
      <c r="I78" s="35" t="inlineStr">
        <is>
          <t>Cả hai</t>
        </is>
      </c>
      <c r="J78" s="39" t="inlineStr">
        <is>
          <t>Pass</t>
        </is>
      </c>
      <c r="K78" s="32" t="n"/>
      <c r="L78" s="38" t="inlineStr">
        <is>
          <t>Coverage 100% · nguồn: ProfileAndSalesControllersTests.cs</t>
        </is>
      </c>
    </row>
    <row r="79" ht="73.5" customHeight="1">
      <c r="A79" s="26" t="inlineStr">
        <is>
          <t>CVG-060</t>
        </is>
      </c>
      <c r="B79" s="37" t="inlineStr">
        <is>
          <t>Coverage (code-driven)</t>
        </is>
      </c>
      <c r="C79" s="27" t="inlineStr">
        <is>
          <t>CreateAddress() — 4 test con [L1-ADDR-07 → L1-ADDR-10]
· CreateAddress_WhenModelStateInvalid_Returns400
· CreateAddress_Success_Returns201
· CreateAddress_WhenLimitReached_Returns400
· CreateAddress_WithoutUserClaim_Returns401</t>
        </is>
      </c>
      <c r="D79" s="27" t="inlineStr">
        <is>
          <t>COVERAGE (code-driven)</t>
        </is>
      </c>
      <c r="E79" s="28" t="inlineStr">
        <is>
          <t>P1</t>
        </is>
      </c>
      <c r="F79" s="40" t="inlineStr">
        <is>
          <t>Mock dependency của controller theo tên test</t>
        </is>
      </c>
      <c r="G79" s="27" t="inlineStr">
        <is>
          <t>UserProfileController (địa chỉ).CreateAddress()</t>
        </is>
      </c>
      <c r="H79" s="40" t="inlineStr">
        <is>
          <t>Xem assertion trong file test nguồn (tên test tra ngược 1-1)</t>
        </is>
      </c>
      <c r="I79" s="29" t="inlineStr">
        <is>
          <t>Cả hai</t>
        </is>
      </c>
      <c r="J79" s="39" t="inlineStr">
        <is>
          <t>Pass</t>
        </is>
      </c>
      <c r="K79" s="27" t="n"/>
      <c r="L79" s="40" t="inlineStr">
        <is>
          <t>Coverage 100% · nguồn: ProfileAndSalesControllersTests.cs</t>
        </is>
      </c>
    </row>
    <row r="80" ht="73.5" customHeight="1">
      <c r="A80" s="31" t="inlineStr">
        <is>
          <t>CVG-061</t>
        </is>
      </c>
      <c r="B80" s="37" t="inlineStr">
        <is>
          <t>Coverage (code-driven)</t>
        </is>
      </c>
      <c r="C80" s="32" t="inlineStr">
        <is>
          <t>UpdateAddress() — 4 test con [L1-ADDR-11 → L1-ADDR-14]
· UpdateAddress_WhenModelStateInvalid_Returns400
· UpdateAddress_Success_ReturnsOk
· UpdateAddress_WhenAddressMissing_Returns404
· UpdateAddress_WhenAddressOfAnotherUser_Returns401</t>
        </is>
      </c>
      <c r="D80" s="32" t="inlineStr">
        <is>
          <t>COVERAGE (code-driven)</t>
        </is>
      </c>
      <c r="E80" s="28" t="inlineStr">
        <is>
          <t>P1</t>
        </is>
      </c>
      <c r="F80" s="38" t="inlineStr">
        <is>
          <t>Mock dependency của controller theo tên test</t>
        </is>
      </c>
      <c r="G80" s="32" t="inlineStr">
        <is>
          <t>UserProfileController (địa chỉ).UpdateAddress()</t>
        </is>
      </c>
      <c r="H80" s="38" t="inlineStr">
        <is>
          <t>Xem assertion trong file test nguồn (tên test tra ngược 1-1)</t>
        </is>
      </c>
      <c r="I80" s="35" t="inlineStr">
        <is>
          <t>Cả hai</t>
        </is>
      </c>
      <c r="J80" s="39" t="inlineStr">
        <is>
          <t>Pass</t>
        </is>
      </c>
      <c r="K80" s="32" t="n"/>
      <c r="L80" s="42" t="inlineStr">
        <is>
          <t>🔒 CHỐNG RÒ RỈ DỮ LIỆU — seed dữ liệu người dùng khác rồi khẳng định không lọt vào kết quả. Cùng lớp lỗ hổng với IDOR L1-ORD-71 đã vá; giữ nguyên khi refactor.  |  Coverage 100% · nguồn: ProfileAndSalesControllersTests.cs</t>
        </is>
      </c>
    </row>
    <row r="81" ht="73.5" customHeight="1">
      <c r="A81" s="26" t="inlineStr">
        <is>
          <t>CVG-062</t>
        </is>
      </c>
      <c r="B81" s="37" t="inlineStr">
        <is>
          <t>Coverage (code-driven)</t>
        </is>
      </c>
      <c r="C81" s="27" t="inlineStr">
        <is>
          <t>DeleteAddress() — 4 test con [L1-ADDR-15 → L1-ADDR-18]
· DeleteAddress_Success_Returns204
· DeleteAddress_WhenAddressInUse_Returns400
· DeleteAddress_WhenAddressMissing_Returns404
· DeleteAddress_WithoutUserClaim_Returns401</t>
        </is>
      </c>
      <c r="D81" s="27" t="inlineStr">
        <is>
          <t>COVERAGE (code-driven)</t>
        </is>
      </c>
      <c r="E81" s="28" t="inlineStr">
        <is>
          <t>P1</t>
        </is>
      </c>
      <c r="F81" s="40" t="inlineStr">
        <is>
          <t>Mock dependency của controller theo tên test</t>
        </is>
      </c>
      <c r="G81" s="27" t="inlineStr">
        <is>
          <t>UserProfileController (địa chỉ).DeleteAddress()</t>
        </is>
      </c>
      <c r="H81" s="40" t="inlineStr">
        <is>
          <t>Xem assertion trong file test nguồn (tên test tra ngược 1-1)</t>
        </is>
      </c>
      <c r="I81" s="29" t="inlineStr">
        <is>
          <t>Cả hai</t>
        </is>
      </c>
      <c r="J81" s="39" t="inlineStr">
        <is>
          <t>Pass</t>
        </is>
      </c>
      <c r="K81" s="27" t="n"/>
      <c r="L81" s="40" t="inlineStr">
        <is>
          <t>Coverage 100% · nguồn: ProfileAndSalesControllersTests.cs</t>
        </is>
      </c>
    </row>
    <row r="82" ht="61.5" customHeight="1">
      <c r="A82" s="31" t="inlineStr">
        <is>
          <t>CVG-063</t>
        </is>
      </c>
      <c r="B82" s="37" t="inlineStr">
        <is>
          <t>Coverage (code-driven)</t>
        </is>
      </c>
      <c r="C82" s="32" t="inlineStr">
        <is>
          <t>SetDefaultAddress() — 3 test con [L1-ADDR-19 → L1-ADDR-21]
· SetDefaultAddress_Success_ReturnsOk
· SetDefaultAddress_WhenAddressMissing_Returns404
· SetDefaultAddress_WithoutUserClaim_Returns401</t>
        </is>
      </c>
      <c r="D82" s="32" t="inlineStr">
        <is>
          <t>COVERAGE (code-driven)</t>
        </is>
      </c>
      <c r="E82" s="28" t="inlineStr">
        <is>
          <t>P1</t>
        </is>
      </c>
      <c r="F82" s="38" t="inlineStr">
        <is>
          <t>Mock dependency của controller theo tên test</t>
        </is>
      </c>
      <c r="G82" s="32" t="inlineStr">
        <is>
          <t>UserProfileController (địa chỉ).SetDefaultAddress()</t>
        </is>
      </c>
      <c r="H82" s="38" t="inlineStr">
        <is>
          <t>Xem assertion trong file test nguồn (tên test tra ngược 1-1)</t>
        </is>
      </c>
      <c r="I82" s="35" t="inlineStr">
        <is>
          <t>Cả hai</t>
        </is>
      </c>
      <c r="J82" s="39" t="inlineStr">
        <is>
          <t>Pass</t>
        </is>
      </c>
      <c r="K82" s="32" t="n"/>
      <c r="L82" s="38" t="inlineStr">
        <is>
          <t>Coverage 100% · nguồn: ProfileAndSalesControllersTests.cs</t>
        </is>
      </c>
    </row>
    <row r="83" ht="18" customHeight="1">
      <c r="A83" s="50" t="inlineStr">
        <is>
          <t xml:space="preserve">  ▶  Block: UserProfileService  —  UserProfileController · CustomerProfileController  ·  coverage 100%  ·  ProfileAndSalesControllersTests.cs</t>
        </is>
      </c>
    </row>
    <row r="84" ht="73.5" customHeight="1">
      <c r="A84" s="26" t="inlineStr">
        <is>
          <t>CVG-064</t>
        </is>
      </c>
      <c r="B84" s="37" t="inlineStr">
        <is>
          <t>Coverage (code-driven)</t>
        </is>
      </c>
      <c r="C84" s="27" t="inlineStr">
        <is>
          <t>GetProfileStatus() — 4 test con [L1-UP-24 → L1-UP-27]
· GetProfileStatus_WithoutUserClaim_Returns401
· GetProfileStatus_WhenNoProfile_ReportsIncomplete
· GetProfileStatus_WhenProfileHasAddress_ReportsCompleted
· GetProfileStatus_WhenProfileWithoutAddress_ReportsIncomplete</t>
        </is>
      </c>
      <c r="D84" s="27" t="inlineStr">
        <is>
          <t>COVERAGE (code-driven)</t>
        </is>
      </c>
      <c r="E84" s="28" t="inlineStr">
        <is>
          <t>P1</t>
        </is>
      </c>
      <c r="F84" s="40" t="inlineStr">
        <is>
          <t>Mock dependency của controller theo tên test</t>
        </is>
      </c>
      <c r="G84" s="27" t="inlineStr">
        <is>
          <t>UserProfileController · CustomerProfileController.GetProfileStatus()</t>
        </is>
      </c>
      <c r="H84" s="40" t="inlineStr">
        <is>
          <t>Xem assertion trong file test nguồn (tên test tra ngược 1-1)</t>
        </is>
      </c>
      <c r="I84" s="29" t="inlineStr">
        <is>
          <t>Cả hai</t>
        </is>
      </c>
      <c r="J84" s="39" t="inlineStr">
        <is>
          <t>Pass</t>
        </is>
      </c>
      <c r="K84" s="27" t="n"/>
      <c r="L84" s="40" t="inlineStr">
        <is>
          <t>Coverage 100% · nguồn: ProfileAndSalesControllersTests.cs</t>
        </is>
      </c>
    </row>
    <row r="85" ht="49.5" customHeight="1">
      <c r="A85" s="31" t="inlineStr">
        <is>
          <t>CVG-065</t>
        </is>
      </c>
      <c r="B85" s="37" t="inlineStr">
        <is>
          <t>Coverage (code-driven)</t>
        </is>
      </c>
      <c r="C85" s="32" t="inlineStr">
        <is>
          <t>GetProfileByPhone() — 2 test con [L1-UP-31 → L1-UP-32]
· GetProfileByPhone_WhenNotFound_Returns404
· GetProfileByPhone_WhenFound_ReturnsProfileWithoutCredit</t>
        </is>
      </c>
      <c r="D85" s="32" t="inlineStr">
        <is>
          <t>COVERAGE (code-driven)</t>
        </is>
      </c>
      <c r="E85" s="36" t="inlineStr">
        <is>
          <t>P2</t>
        </is>
      </c>
      <c r="F85" s="38" t="inlineStr">
        <is>
          <t>Mock dependency của controller theo tên test</t>
        </is>
      </c>
      <c r="G85" s="32" t="inlineStr">
        <is>
          <t>UserProfileController · CustomerProfileController.GetProfileByPhone()</t>
        </is>
      </c>
      <c r="H85" s="38" t="inlineStr">
        <is>
          <t>Xem assertion trong file test nguồn (tên test tra ngược 1-1)</t>
        </is>
      </c>
      <c r="I85" s="35" t="inlineStr">
        <is>
          <t>Cả hai</t>
        </is>
      </c>
      <c r="J85" s="39" t="inlineStr">
        <is>
          <t>Pass</t>
        </is>
      </c>
      <c r="K85" s="32" t="n"/>
      <c r="L85" s="38" t="inlineStr">
        <is>
          <t>Coverage 100% · nguồn: ProfileAndSalesControllersTests.cs</t>
        </is>
      </c>
    </row>
    <row r="86" ht="61.5" customHeight="1">
      <c r="A86" s="26" t="inlineStr">
        <is>
          <t>CVG-066</t>
        </is>
      </c>
      <c r="B86" s="37" t="inlineStr">
        <is>
          <t>Coverage (code-driven)</t>
        </is>
      </c>
      <c r="C86" s="27" t="inlineStr">
        <is>
          <t>GetCreditHistory() — 3 test con [L1-UP-33 → L1-UP-35]
· GetCreditHistory_WithoutUserClaim_Returns401
· GetCreditHistory_WhenNoProfile_ReturnsEmptyList
· GetCreditHistory_ReturnsOnlyOwnRowsNewestFirst</t>
        </is>
      </c>
      <c r="D86" s="27" t="inlineStr">
        <is>
          <t>COVERAGE (code-driven)</t>
        </is>
      </c>
      <c r="E86" s="28" t="inlineStr">
        <is>
          <t>P1</t>
        </is>
      </c>
      <c r="F86" s="40" t="inlineStr">
        <is>
          <t>Mock dependency của controller theo tên test</t>
        </is>
      </c>
      <c r="G86" s="27" t="inlineStr">
        <is>
          <t>UserProfileController · CustomerProfileController.GetCreditHistory()</t>
        </is>
      </c>
      <c r="H86" s="40" t="inlineStr">
        <is>
          <t>Xem assertion trong file test nguồn (tên test tra ngược 1-1)</t>
        </is>
      </c>
      <c r="I86" s="29" t="inlineStr">
        <is>
          <t>Cả hai</t>
        </is>
      </c>
      <c r="J86" s="39" t="inlineStr">
        <is>
          <t>Pass</t>
        </is>
      </c>
      <c r="K86" s="27" t="n"/>
      <c r="L86" s="41" t="inlineStr">
        <is>
          <t>🔒 CHỐNG RÒ RỈ DỮ LIỆU — seed dữ liệu người dùng khác rồi khẳng định không lọt vào kết quả. Cùng lớp lỗ hổng với IDOR L1-ORD-71 đã vá; giữ nguyên khi refactor.  |  Coverage 100% · nguồn: ProfileAndSalesControllersTests.cs</t>
        </is>
      </c>
    </row>
    <row r="87" ht="18" customHeight="1">
      <c r="A87" s="50" t="inlineStr">
        <is>
          <t xml:space="preserve">  ▶  Block: SalesAllocationService  —  SalesController  ·  coverage 100%  ·  ProfileAndSalesControllersTests.cs</t>
        </is>
      </c>
    </row>
    <row r="88" ht="37.5" customHeight="1">
      <c r="A88" s="31" t="inlineStr">
        <is>
          <t>CVG-067</t>
        </is>
      </c>
      <c r="B88" s="37" t="inlineStr">
        <is>
          <t>Coverage (code-driven)</t>
        </is>
      </c>
      <c r="C88" s="32" t="inlineStr">
        <is>
          <t>GetMyCustomers() — 1 test con [L1-SA-14]
· GetMyCustomers_PassesCallerIdAndQuery</t>
        </is>
      </c>
      <c r="D88" s="32" t="inlineStr">
        <is>
          <t>COVERAGE (code-driven)</t>
        </is>
      </c>
      <c r="E88" s="36" t="inlineStr">
        <is>
          <t>P2</t>
        </is>
      </c>
      <c r="F88" s="38" t="inlineStr">
        <is>
          <t>Mock dependency của controller theo tên test</t>
        </is>
      </c>
      <c r="G88" s="32" t="inlineStr">
        <is>
          <t>SalesController.GetMyCustomers()</t>
        </is>
      </c>
      <c r="H88" s="38" t="inlineStr">
        <is>
          <t>Xem assertion trong file test nguồn (tên test tra ngược 1-1)</t>
        </is>
      </c>
      <c r="I88" s="32" t="inlineStr">
        <is>
          <t>No</t>
        </is>
      </c>
      <c r="J88" s="39" t="inlineStr">
        <is>
          <t>Pass</t>
        </is>
      </c>
      <c r="K88" s="32" t="n"/>
      <c r="L88" s="38" t="inlineStr">
        <is>
          <t>Coverage 100% · nguồn: ProfileAndSalesControllersTests.cs</t>
        </is>
      </c>
    </row>
    <row r="89" ht="49.5" customHeight="1">
      <c r="A89" s="26" t="inlineStr">
        <is>
          <t>CVG-068</t>
        </is>
      </c>
      <c r="B89" s="37" t="inlineStr">
        <is>
          <t>Coverage (code-driven)</t>
        </is>
      </c>
      <c r="C89" s="27" t="inlineStr">
        <is>
          <t>GetMyCustomerDetail() — 2 test con [L1-SA-15 → L1-SA-16]
· GetMyCustomerDetail_Success_ReturnsOk
· GetMyCustomerDetail_WhenCustomerOfAnotherSale_Returns404</t>
        </is>
      </c>
      <c r="D89" s="27" t="inlineStr">
        <is>
          <t>COVERAGE (code-driven)</t>
        </is>
      </c>
      <c r="E89" s="28" t="inlineStr">
        <is>
          <t>P1</t>
        </is>
      </c>
      <c r="F89" s="40" t="inlineStr">
        <is>
          <t>Mock dependency của controller theo tên test</t>
        </is>
      </c>
      <c r="G89" s="27" t="inlineStr">
        <is>
          <t>SalesController.GetMyCustomerDetail()</t>
        </is>
      </c>
      <c r="H89" s="40" t="inlineStr">
        <is>
          <t>Xem assertion trong file test nguồn (tên test tra ngược 1-1)</t>
        </is>
      </c>
      <c r="I89" s="29" t="inlineStr">
        <is>
          <t>Cả hai</t>
        </is>
      </c>
      <c r="J89" s="39" t="inlineStr">
        <is>
          <t>Pass</t>
        </is>
      </c>
      <c r="K89" s="27" t="n"/>
      <c r="L89" s="41" t="inlineStr">
        <is>
          <t>🔒 CHỐNG RÒ RỈ DỮ LIỆU — seed dữ liệu người dùng khác rồi khẳng định không lọt vào kết quả. Cùng lớp lỗ hổng với IDOR L1-ORD-71 đã vá; giữ nguyên khi refactor.  |  Coverage 100% · nguồn: ProfileAndSalesControllersTests.cs</t>
        </is>
      </c>
    </row>
    <row r="90" ht="49.5" customHeight="1">
      <c r="A90" s="31" t="inlineStr">
        <is>
          <t>CVG-069</t>
        </is>
      </c>
      <c r="B90" s="37" t="inlineStr">
        <is>
          <t>Coverage (code-driven)</t>
        </is>
      </c>
      <c r="C90" s="32" t="inlineStr">
        <is>
          <t>UpdateCustomerNote() — 2 test con [L1-SA-17 → L1-SA-18]
· UpdateCustomerNote_Success_ReturnsOk
· UpdateCustomerNote_WhenServiceThrows_Returns404</t>
        </is>
      </c>
      <c r="D90" s="32" t="inlineStr">
        <is>
          <t>COVERAGE (code-driven)</t>
        </is>
      </c>
      <c r="E90" s="28" t="inlineStr">
        <is>
          <t>P1</t>
        </is>
      </c>
      <c r="F90" s="38" t="inlineStr">
        <is>
          <t>Mock dependency của controller theo tên test</t>
        </is>
      </c>
      <c r="G90" s="32" t="inlineStr">
        <is>
          <t>SalesController.UpdateCustomerNote()</t>
        </is>
      </c>
      <c r="H90" s="38" t="inlineStr">
        <is>
          <t>Xem assertion trong file test nguồn (tên test tra ngược 1-1)</t>
        </is>
      </c>
      <c r="I90" s="35" t="inlineStr">
        <is>
          <t>Cả hai</t>
        </is>
      </c>
      <c r="J90" s="39" t="inlineStr">
        <is>
          <t>Pass</t>
        </is>
      </c>
      <c r="K90" s="32" t="n"/>
      <c r="L90" s="38" t="inlineStr">
        <is>
          <t>Coverage 100% · nguồn: ProfileAndSalesControllersTests.cs</t>
        </is>
      </c>
    </row>
    <row r="91" ht="37.5" customHeight="1">
      <c r="A91" s="26" t="inlineStr">
        <is>
          <t>CVG-070</t>
        </is>
      </c>
      <c r="B91" s="37" t="inlineStr">
        <is>
          <t>Coverage (code-driven)</t>
        </is>
      </c>
      <c r="C91" s="27" t="inlineStr">
        <is>
          <t>GetRoundRobin() — 1 test con [L1-SA-19]
· GetRoundRobin_ReturnsOk</t>
        </is>
      </c>
      <c r="D91" s="27" t="inlineStr">
        <is>
          <t>COVERAGE (code-driven)</t>
        </is>
      </c>
      <c r="E91" s="34" t="inlineStr">
        <is>
          <t>P2</t>
        </is>
      </c>
      <c r="F91" s="40" t="inlineStr">
        <is>
          <t>Mock dependency của controller theo tên test</t>
        </is>
      </c>
      <c r="G91" s="27" t="inlineStr">
        <is>
          <t>SalesController.GetRoundRobin()</t>
        </is>
      </c>
      <c r="H91" s="40" t="inlineStr">
        <is>
          <t>Xem assertion trong file test nguồn (tên test tra ngược 1-1)</t>
        </is>
      </c>
      <c r="I91" s="27" t="inlineStr">
        <is>
          <t>No</t>
        </is>
      </c>
      <c r="J91" s="39" t="inlineStr">
        <is>
          <t>Pass</t>
        </is>
      </c>
      <c r="K91" s="27" t="n"/>
      <c r="L91" s="40" t="inlineStr">
        <is>
          <t>Coverage 100% · nguồn: ProfileAndSalesControllersTests.cs</t>
        </is>
      </c>
    </row>
    <row r="92" ht="49.5" customHeight="1">
      <c r="A92" s="31" t="inlineStr">
        <is>
          <t>CVG-071</t>
        </is>
      </c>
      <c r="B92" s="37" t="inlineStr">
        <is>
          <t>Coverage (code-driven)</t>
        </is>
      </c>
      <c r="C92" s="32" t="inlineStr">
        <is>
          <t>AssignUnassignedCustomers() — 2 test con [L1-SA-20 → L1-SA-21]
· AssignUnassignedCustomers_Success_ReturnsOk
· AssignUnassignedCustomers_WhenNoActiveSale_Returns400</t>
        </is>
      </c>
      <c r="D92" s="32" t="inlineStr">
        <is>
          <t>COVERAGE (code-driven)</t>
        </is>
      </c>
      <c r="E92" s="28" t="inlineStr">
        <is>
          <t>P1</t>
        </is>
      </c>
      <c r="F92" s="38" t="inlineStr">
        <is>
          <t>Mock dependency của controller theo tên test</t>
        </is>
      </c>
      <c r="G92" s="32" t="inlineStr">
        <is>
          <t>SalesController.AssignUnassignedCustomers()</t>
        </is>
      </c>
      <c r="H92" s="38" t="inlineStr">
        <is>
          <t>Xem assertion trong file test nguồn (tên test tra ngược 1-1)</t>
        </is>
      </c>
      <c r="I92" s="35" t="inlineStr">
        <is>
          <t>Cả hai</t>
        </is>
      </c>
      <c r="J92" s="39" t="inlineStr">
        <is>
          <t>Pass</t>
        </is>
      </c>
      <c r="K92" s="32" t="n"/>
      <c r="L92" s="38" t="inlineStr">
        <is>
          <t>Coverage 100% · nguồn: ProfileAndSalesControllersTests.cs</t>
        </is>
      </c>
    </row>
    <row r="93" ht="49.5" customHeight="1">
      <c r="A93" s="26" t="inlineStr">
        <is>
          <t>CVG-072</t>
        </is>
      </c>
      <c r="B93" s="37" t="inlineStr">
        <is>
          <t>Coverage (code-driven)</t>
        </is>
      </c>
      <c r="C93" s="27" t="inlineStr">
        <is>
          <t>UpdateRoundRobin() — 2 test con [L1-SA-22 → L1-SA-23]
· UpdateRoundRobin_Success_ReturnsOk
· UpdateRoundRobin_WhenServiceThrows_Returns400</t>
        </is>
      </c>
      <c r="D93" s="27" t="inlineStr">
        <is>
          <t>COVERAGE (code-driven)</t>
        </is>
      </c>
      <c r="E93" s="28" t="inlineStr">
        <is>
          <t>P1</t>
        </is>
      </c>
      <c r="F93" s="40" t="inlineStr">
        <is>
          <t>Mock dependency của controller theo tên test</t>
        </is>
      </c>
      <c r="G93" s="27" t="inlineStr">
        <is>
          <t>SalesController.UpdateRoundRobin()</t>
        </is>
      </c>
      <c r="H93" s="40" t="inlineStr">
        <is>
          <t>Xem assertion trong file test nguồn (tên test tra ngược 1-1)</t>
        </is>
      </c>
      <c r="I93" s="29" t="inlineStr">
        <is>
          <t>Cả hai</t>
        </is>
      </c>
      <c r="J93" s="39" t="inlineStr">
        <is>
          <t>Pass</t>
        </is>
      </c>
      <c r="K93" s="27" t="n"/>
      <c r="L93" s="40" t="inlineStr">
        <is>
          <t>Coverage 100% · nguồn: ProfileAndSalesControllersTests.cs</t>
        </is>
      </c>
    </row>
    <row r="94" ht="18" customHeight="1">
      <c r="A94" s="50" t="inlineStr">
        <is>
          <t xml:space="preserve">  ▶  Block: SalesChangeRequestService  —  SalesChangeRequestsController  ·  coverage 100%  ·  ProfileAndSalesControllersTests.cs</t>
        </is>
      </c>
    </row>
    <row r="95" ht="61.5" customHeight="1">
      <c r="A95" s="31" t="inlineStr">
        <is>
          <t>CVG-073</t>
        </is>
      </c>
      <c r="B95" s="37" t="inlineStr">
        <is>
          <t>Coverage (code-driven)</t>
        </is>
      </c>
      <c r="C95" s="32" t="inlineStr">
        <is>
          <t>Create() — 3 test con [L1-SCR-08 → L1-SCR-10]
· Create_Success_ReturnsOkWithNewId
· Create_WhenCustomerHasNoAssignedSale_Returns404
· Create_WhenAlreadyHasPendingRequest_Returns400</t>
        </is>
      </c>
      <c r="D95" s="32" t="inlineStr">
        <is>
          <t>COVERAGE (code-driven)</t>
        </is>
      </c>
      <c r="E95" s="28" t="inlineStr">
        <is>
          <t>P1</t>
        </is>
      </c>
      <c r="F95" s="38" t="inlineStr">
        <is>
          <t>Mock dependency của controller theo tên test</t>
        </is>
      </c>
      <c r="G95" s="32" t="inlineStr">
        <is>
          <t>SalesChangeRequestsController.Create()</t>
        </is>
      </c>
      <c r="H95" s="38" t="inlineStr">
        <is>
          <t>Xem assertion trong file test nguồn (tên test tra ngược 1-1)</t>
        </is>
      </c>
      <c r="I95" s="35" t="inlineStr">
        <is>
          <t>Cả hai</t>
        </is>
      </c>
      <c r="J95" s="39" t="inlineStr">
        <is>
          <t>Pass</t>
        </is>
      </c>
      <c r="K95" s="32" t="n"/>
      <c r="L95" s="38" t="inlineStr">
        <is>
          <t>Coverage 100% · nguồn: ProfileAndSalesControllersTests.cs</t>
        </is>
      </c>
    </row>
    <row r="96" ht="49.5" customHeight="1">
      <c r="A96" s="26" t="inlineStr">
        <is>
          <t>CVG-074</t>
        </is>
      </c>
      <c r="B96" s="37" t="inlineStr">
        <is>
          <t>Coverage (code-driven)</t>
        </is>
      </c>
      <c r="C96" s="27" t="inlineStr">
        <is>
          <t>GetMine() — 2 test con [L1-SCR-11 → L1-SCR-12]
· GetMine_Success_ReturnsOk
· GetMine_WhenServiceThrows_Returns404</t>
        </is>
      </c>
      <c r="D96" s="27" t="inlineStr">
        <is>
          <t>COVERAGE (code-driven)</t>
        </is>
      </c>
      <c r="E96" s="34" t="inlineStr">
        <is>
          <t>P2</t>
        </is>
      </c>
      <c r="F96" s="40" t="inlineStr">
        <is>
          <t>Mock dependency của controller theo tên test</t>
        </is>
      </c>
      <c r="G96" s="27" t="inlineStr">
        <is>
          <t>SalesChangeRequestsController.GetMine()</t>
        </is>
      </c>
      <c r="H96" s="40" t="inlineStr">
        <is>
          <t>Xem assertion trong file test nguồn (tên test tra ngược 1-1)</t>
        </is>
      </c>
      <c r="I96" s="29" t="inlineStr">
        <is>
          <t>Cả hai</t>
        </is>
      </c>
      <c r="J96" s="39" t="inlineStr">
        <is>
          <t>Pass</t>
        </is>
      </c>
      <c r="K96" s="27" t="n"/>
      <c r="L96" s="40" t="inlineStr">
        <is>
          <t>Coverage 100% · nguồn: ProfileAndSalesControllersTests.cs</t>
        </is>
      </c>
    </row>
    <row r="97" ht="49.5" customHeight="1">
      <c r="A97" s="31" t="inlineStr">
        <is>
          <t>CVG-075</t>
        </is>
      </c>
      <c r="B97" s="37" t="inlineStr">
        <is>
          <t>Coverage (code-driven)</t>
        </is>
      </c>
      <c r="C97" s="32" t="inlineStr">
        <is>
          <t>GetMyAssignedSale() — 2 test con [L1-SCR-13 → L1-SCR-14]
· GetMyAssignedSale_Success_ReturnsOk
· GetMyAssignedSale_WhenNoneAssigned_Returns404</t>
        </is>
      </c>
      <c r="D97" s="32" t="inlineStr">
        <is>
          <t>COVERAGE (code-driven)</t>
        </is>
      </c>
      <c r="E97" s="28" t="inlineStr">
        <is>
          <t>P1</t>
        </is>
      </c>
      <c r="F97" s="38" t="inlineStr">
        <is>
          <t>Mock dependency của controller theo tên test</t>
        </is>
      </c>
      <c r="G97" s="32" t="inlineStr">
        <is>
          <t>SalesChangeRequestsController.GetMyAssignedSale()</t>
        </is>
      </c>
      <c r="H97" s="38" t="inlineStr">
        <is>
          <t>Xem assertion trong file test nguồn (tên test tra ngược 1-1)</t>
        </is>
      </c>
      <c r="I97" s="35" t="inlineStr">
        <is>
          <t>Cả hai</t>
        </is>
      </c>
      <c r="J97" s="39" t="inlineStr">
        <is>
          <t>Pass</t>
        </is>
      </c>
      <c r="K97" s="32" t="n"/>
      <c r="L97" s="38" t="inlineStr">
        <is>
          <t>Coverage 100% · nguồn: ProfileAndSalesControllersTests.cs</t>
        </is>
      </c>
    </row>
    <row r="98" ht="37.5" customHeight="1">
      <c r="A98" s="26" t="inlineStr">
        <is>
          <t>CVG-076</t>
        </is>
      </c>
      <c r="B98" s="37" t="inlineStr">
        <is>
          <t>Coverage (code-driven)</t>
        </is>
      </c>
      <c r="C98" s="27" t="inlineStr">
        <is>
          <t>GetSalesOptions() — 1 test con [L1-SCR-15]
· GetSalesOptions_ReturnsOk</t>
        </is>
      </c>
      <c r="D98" s="27" t="inlineStr">
        <is>
          <t>COVERAGE (code-driven)</t>
        </is>
      </c>
      <c r="E98" s="34" t="inlineStr">
        <is>
          <t>P2</t>
        </is>
      </c>
      <c r="F98" s="40" t="inlineStr">
        <is>
          <t>Mock dependency của controller theo tên test</t>
        </is>
      </c>
      <c r="G98" s="27" t="inlineStr">
        <is>
          <t>SalesChangeRequestsController.GetSalesOptions()</t>
        </is>
      </c>
      <c r="H98" s="40" t="inlineStr">
        <is>
          <t>Xem assertion trong file test nguồn (tên test tra ngược 1-1)</t>
        </is>
      </c>
      <c r="I98" s="27" t="inlineStr">
        <is>
          <t>No</t>
        </is>
      </c>
      <c r="J98" s="39" t="inlineStr">
        <is>
          <t>Pass</t>
        </is>
      </c>
      <c r="K98" s="27" t="n"/>
      <c r="L98" s="40" t="inlineStr">
        <is>
          <t>Coverage 100% · nguồn: ProfileAndSalesControllersTests.cs</t>
        </is>
      </c>
    </row>
    <row r="99" ht="73.5" customHeight="1">
      <c r="A99" s="31" t="inlineStr">
        <is>
          <t>CVG-077</t>
        </is>
      </c>
      <c r="B99" s="37" t="inlineStr">
        <is>
          <t>Coverage (code-driven)</t>
        </is>
      </c>
      <c r="C99" s="32" t="inlineStr">
        <is>
          <t>Cancel() — 4 test con [L1-SCR-16 → L1-SCR-19]
· Cancel_Success_ReturnsOk
· Cancel_WhenRequestMissing_Returns404
· Cancel_WhenRequestBelongsToAnotherCustomer_Returns403
· Cancel_WhenAlreadyProcessed_Returns400</t>
        </is>
      </c>
      <c r="D99" s="32" t="inlineStr">
        <is>
          <t>COVERAGE (code-driven)</t>
        </is>
      </c>
      <c r="E99" s="28" t="inlineStr">
        <is>
          <t>P1</t>
        </is>
      </c>
      <c r="F99" s="38" t="inlineStr">
        <is>
          <t>Mock dependency của controller theo tên test</t>
        </is>
      </c>
      <c r="G99" s="32" t="inlineStr">
        <is>
          <t>SalesChangeRequestsController.Cancel()</t>
        </is>
      </c>
      <c r="H99" s="38" t="inlineStr">
        <is>
          <t>Xem assertion trong file test nguồn (tên test tra ngược 1-1)</t>
        </is>
      </c>
      <c r="I99" s="35" t="inlineStr">
        <is>
          <t>Cả hai</t>
        </is>
      </c>
      <c r="J99" s="39" t="inlineStr">
        <is>
          <t>Pass</t>
        </is>
      </c>
      <c r="K99" s="32" t="n"/>
      <c r="L99" s="38" t="inlineStr">
        <is>
          <t>Coverage 100% · nguồn: ProfileAndSalesControllersTests.cs</t>
        </is>
      </c>
    </row>
    <row r="100" ht="73.5" customHeight="1">
      <c r="A100" s="26" t="inlineStr">
        <is>
          <t>CVG-078</t>
        </is>
      </c>
      <c r="B100" s="37" t="inlineStr">
        <is>
          <t>Coverage (code-driven)</t>
        </is>
      </c>
      <c r="C100" s="27" t="inlineStr">
        <is>
          <t>SubmitAdditionalInfo() — 4 test con [L1-SCR-20 → L1-SCR-23]
· SubmitAdditionalInfo_Success_ReturnsOk
· SubmitAdditionalInfo_WhenNotOwner_Returns403
· SubmitAdditionalInfo_WhenWrongState_Returns400
· SubmitAdditionalInfo_WhenRequestMissing_Returns404</t>
        </is>
      </c>
      <c r="D100" s="27" t="inlineStr">
        <is>
          <t>COVERAGE (code-driven)</t>
        </is>
      </c>
      <c r="E100" s="28" t="inlineStr">
        <is>
          <t>P1</t>
        </is>
      </c>
      <c r="F100" s="40" t="inlineStr">
        <is>
          <t>Mock dependency của controller theo tên test</t>
        </is>
      </c>
      <c r="G100" s="27" t="inlineStr">
        <is>
          <t>SalesChangeRequestsController.SubmitAdditionalInfo()</t>
        </is>
      </c>
      <c r="H100" s="40" t="inlineStr">
        <is>
          <t>Xem assertion trong file test nguồn (tên test tra ngược 1-1)</t>
        </is>
      </c>
      <c r="I100" s="29" t="inlineStr">
        <is>
          <t>Cả hai</t>
        </is>
      </c>
      <c r="J100" s="39" t="inlineStr">
        <is>
          <t>Pass</t>
        </is>
      </c>
      <c r="K100" s="27" t="n"/>
      <c r="L100" s="40" t="inlineStr">
        <is>
          <t>Coverage 100% · nguồn: ProfileAndSalesControllersTests.cs</t>
        </is>
      </c>
    </row>
    <row r="101" ht="37.5" customHeight="1">
      <c r="A101" s="31" t="inlineStr">
        <is>
          <t>CVG-079</t>
        </is>
      </c>
      <c r="B101" s="37" t="inlineStr">
        <is>
          <t>Coverage (code-driven)</t>
        </is>
      </c>
      <c r="C101" s="32" t="inlineStr">
        <is>
          <t>GetAboutMe() — 1 test con [L1-SCR-24]
· GetAboutMe_ReturnsOk</t>
        </is>
      </c>
      <c r="D101" s="32" t="inlineStr">
        <is>
          <t>COVERAGE (code-driven)</t>
        </is>
      </c>
      <c r="E101" s="36" t="inlineStr">
        <is>
          <t>P2</t>
        </is>
      </c>
      <c r="F101" s="38" t="inlineStr">
        <is>
          <t>Mock dependency của controller theo tên test</t>
        </is>
      </c>
      <c r="G101" s="32" t="inlineStr">
        <is>
          <t>SalesChangeRequestsController.GetAboutMe()</t>
        </is>
      </c>
      <c r="H101" s="38" t="inlineStr">
        <is>
          <t>Xem assertion trong file test nguồn (tên test tra ngược 1-1)</t>
        </is>
      </c>
      <c r="I101" s="32" t="inlineStr">
        <is>
          <t>No</t>
        </is>
      </c>
      <c r="J101" s="39" t="inlineStr">
        <is>
          <t>Pass</t>
        </is>
      </c>
      <c r="K101" s="32" t="n"/>
      <c r="L101" s="38" t="inlineStr">
        <is>
          <t>Coverage 100% · nguồn: ProfileAndSalesControllersTests.cs</t>
        </is>
      </c>
    </row>
    <row r="102" ht="73.5" customHeight="1">
      <c r="A102" s="26" t="inlineStr">
        <is>
          <t>CVG-080</t>
        </is>
      </c>
      <c r="B102" s="37" t="inlineStr">
        <is>
          <t>Coverage (code-driven)</t>
        </is>
      </c>
      <c r="C102" s="27" t="inlineStr">
        <is>
          <t>SubmitExplanation() — 4 test con [L1-SCR-25 → L1-SCR-28]
· SubmitExplanation_Success_ReturnsOk
· SubmitExplanation_WhenManagerHasNotOpenedGate_Returns400
· SubmitExplanation_WhenNotTheAccusedSale_Returns403
· SubmitExplanation_WhenRequestMissing_Returns404</t>
        </is>
      </c>
      <c r="D102" s="27" t="inlineStr">
        <is>
          <t>COVERAGE (code-driven)</t>
        </is>
      </c>
      <c r="E102" s="28" t="inlineStr">
        <is>
          <t>P1</t>
        </is>
      </c>
      <c r="F102" s="40" t="inlineStr">
        <is>
          <t>Mock dependency của controller theo tên test</t>
        </is>
      </c>
      <c r="G102" s="27" t="inlineStr">
        <is>
          <t>SalesChangeRequestsController.SubmitExplanation()</t>
        </is>
      </c>
      <c r="H102" s="40" t="inlineStr">
        <is>
          <t>Xem assertion trong file test nguồn (tên test tra ngược 1-1)</t>
        </is>
      </c>
      <c r="I102" s="29" t="inlineStr">
        <is>
          <t>Cả hai</t>
        </is>
      </c>
      <c r="J102" s="39" t="inlineStr">
        <is>
          <t>Pass</t>
        </is>
      </c>
      <c r="K102" s="27" t="n"/>
      <c r="L102" s="40" t="inlineStr">
        <is>
          <t>Coverage 100% · nguồn: ProfileAndSalesControllersTests.cs</t>
        </is>
      </c>
    </row>
    <row r="103" ht="37.5" customHeight="1">
      <c r="A103" s="31" t="inlineStr">
        <is>
          <t>CVG-081</t>
        </is>
      </c>
      <c r="B103" s="37" t="inlineStr">
        <is>
          <t>Coverage (code-driven)</t>
        </is>
      </c>
      <c r="C103" s="32" t="inlineStr">
        <is>
          <t>GetPaged() — 1 test con [L1-SCR-29]
· GetPaged_ReturnsOk</t>
        </is>
      </c>
      <c r="D103" s="32" t="inlineStr">
        <is>
          <t>COVERAGE (code-driven)</t>
        </is>
      </c>
      <c r="E103" s="36" t="inlineStr">
        <is>
          <t>P2</t>
        </is>
      </c>
      <c r="F103" s="38" t="inlineStr">
        <is>
          <t>Mock dependency của controller theo tên test</t>
        </is>
      </c>
      <c r="G103" s="32" t="inlineStr">
        <is>
          <t>SalesChangeRequestsController.GetPaged()</t>
        </is>
      </c>
      <c r="H103" s="38" t="inlineStr">
        <is>
          <t>Xem assertion trong file test nguồn (tên test tra ngược 1-1)</t>
        </is>
      </c>
      <c r="I103" s="32" t="inlineStr">
        <is>
          <t>No</t>
        </is>
      </c>
      <c r="J103" s="39" t="inlineStr">
        <is>
          <t>Pass</t>
        </is>
      </c>
      <c r="K103" s="32" t="n"/>
      <c r="L103" s="38" t="inlineStr">
        <is>
          <t>Coverage 100% · nguồn: ProfileAndSalesControllersTests.cs</t>
        </is>
      </c>
    </row>
    <row r="104" ht="49.5" customHeight="1">
      <c r="A104" s="26" t="inlineStr">
        <is>
          <t>CVG-082</t>
        </is>
      </c>
      <c r="B104" s="37" t="inlineStr">
        <is>
          <t>Coverage (code-driven)</t>
        </is>
      </c>
      <c r="C104" s="27" t="inlineStr">
        <is>
          <t>GetDetail() — 2 test con [L1-SCR-30 → L1-SCR-31]
· GetDetail_Success_ReturnsOk
· GetDetail_WhenMissing_Returns404</t>
        </is>
      </c>
      <c r="D104" s="27" t="inlineStr">
        <is>
          <t>COVERAGE (code-driven)</t>
        </is>
      </c>
      <c r="E104" s="34" t="inlineStr">
        <is>
          <t>P2</t>
        </is>
      </c>
      <c r="F104" s="40" t="inlineStr">
        <is>
          <t>Mock dependency của controller theo tên test</t>
        </is>
      </c>
      <c r="G104" s="27" t="inlineStr">
        <is>
          <t>SalesChangeRequestsController.GetDetail()</t>
        </is>
      </c>
      <c r="H104" s="40" t="inlineStr">
        <is>
          <t>Xem assertion trong file test nguồn (tên test tra ngược 1-1)</t>
        </is>
      </c>
      <c r="I104" s="29" t="inlineStr">
        <is>
          <t>Cả hai</t>
        </is>
      </c>
      <c r="J104" s="39" t="inlineStr">
        <is>
          <t>Pass</t>
        </is>
      </c>
      <c r="K104" s="27" t="n"/>
      <c r="L104" s="40" t="inlineStr">
        <is>
          <t>Coverage 100% · nguồn: ProfileAndSalesControllersTests.cs</t>
        </is>
      </c>
    </row>
    <row r="105" ht="49.5" customHeight="1">
      <c r="A105" s="31" t="inlineStr">
        <is>
          <t>CVG-083</t>
        </is>
      </c>
      <c r="B105" s="37" t="inlineStr">
        <is>
          <t>Coverage (code-driven)</t>
        </is>
      </c>
      <c r="C105" s="32" t="inlineStr">
        <is>
          <t>GetReviewContext() — 2 test con [L1-SCR-32 → L1-SCR-33]
· GetReviewContext_Success_ReturnsOk
· GetReviewContext_WhenMissing_Returns404</t>
        </is>
      </c>
      <c r="D105" s="32" t="inlineStr">
        <is>
          <t>COVERAGE (code-driven)</t>
        </is>
      </c>
      <c r="E105" s="36" t="inlineStr">
        <is>
          <t>P2</t>
        </is>
      </c>
      <c r="F105" s="38" t="inlineStr">
        <is>
          <t>Mock dependency của controller theo tên test</t>
        </is>
      </c>
      <c r="G105" s="32" t="inlineStr">
        <is>
          <t>SalesChangeRequestsController.GetReviewContext()</t>
        </is>
      </c>
      <c r="H105" s="38" t="inlineStr">
        <is>
          <t>Xem assertion trong file test nguồn (tên test tra ngược 1-1)</t>
        </is>
      </c>
      <c r="I105" s="35" t="inlineStr">
        <is>
          <t>Cả hai</t>
        </is>
      </c>
      <c r="J105" s="39" t="inlineStr">
        <is>
          <t>Pass</t>
        </is>
      </c>
      <c r="K105" s="32" t="n"/>
      <c r="L105" s="38" t="inlineStr">
        <is>
          <t>Coverage 100% · nguồn: ProfileAndSalesControllersTests.cs</t>
        </is>
      </c>
    </row>
    <row r="106" ht="61.5" customHeight="1">
      <c r="A106" s="26" t="inlineStr">
        <is>
          <t>CVG-084</t>
        </is>
      </c>
      <c r="B106" s="37" t="inlineStr">
        <is>
          <t>Coverage (code-driven)</t>
        </is>
      </c>
      <c r="C106" s="27" t="inlineStr">
        <is>
          <t>RequestExplanation() — 3 test con [L1-SCR-34 → L1-SCR-36]
· RequestExplanation_Success_ReturnsOk
· RequestExplanation_WhenMissing_Returns404
· RequestExplanation_WhenWrongState_Returns400</t>
        </is>
      </c>
      <c r="D106" s="27" t="inlineStr">
        <is>
          <t>COVERAGE (code-driven)</t>
        </is>
      </c>
      <c r="E106" s="34" t="inlineStr">
        <is>
          <t>P2</t>
        </is>
      </c>
      <c r="F106" s="40" t="inlineStr">
        <is>
          <t>Mock dependency của controller theo tên test</t>
        </is>
      </c>
      <c r="G106" s="27" t="inlineStr">
        <is>
          <t>SalesChangeRequestsController.RequestExplanation()</t>
        </is>
      </c>
      <c r="H106" s="40" t="inlineStr">
        <is>
          <t>Xem assertion trong file test nguồn (tên test tra ngược 1-1)</t>
        </is>
      </c>
      <c r="I106" s="29" t="inlineStr">
        <is>
          <t>Cả hai</t>
        </is>
      </c>
      <c r="J106" s="39" t="inlineStr">
        <is>
          <t>Pass</t>
        </is>
      </c>
      <c r="K106" s="27" t="n"/>
      <c r="L106" s="40" t="inlineStr">
        <is>
          <t>Coverage 100% · nguồn: ProfileAndSalesControllersTests.cs</t>
        </is>
      </c>
    </row>
    <row r="107" ht="61.5" customHeight="1">
      <c r="A107" s="31" t="inlineStr">
        <is>
          <t>CVG-085</t>
        </is>
      </c>
      <c r="B107" s="37" t="inlineStr">
        <is>
          <t>Coverage (code-driven)</t>
        </is>
      </c>
      <c r="C107" s="32" t="inlineStr">
        <is>
          <t>RequestMoreInfo() — 3 test con [L1-SCR-37 → L1-SCR-39]
· RequestMoreInfo_Success_ReturnsOk
· RequestMoreInfo_WhenMissing_Returns404
· RequestMoreInfo_WhenWrongState_Returns400</t>
        </is>
      </c>
      <c r="D107" s="32" t="inlineStr">
        <is>
          <t>COVERAGE (code-driven)</t>
        </is>
      </c>
      <c r="E107" s="36" t="inlineStr">
        <is>
          <t>P2</t>
        </is>
      </c>
      <c r="F107" s="38" t="inlineStr">
        <is>
          <t>Mock dependency của controller theo tên test</t>
        </is>
      </c>
      <c r="G107" s="32" t="inlineStr">
        <is>
          <t>SalesChangeRequestsController.RequestMoreInfo()</t>
        </is>
      </c>
      <c r="H107" s="38" t="inlineStr">
        <is>
          <t>Xem assertion trong file test nguồn (tên test tra ngược 1-1)</t>
        </is>
      </c>
      <c r="I107" s="35" t="inlineStr">
        <is>
          <t>Cả hai</t>
        </is>
      </c>
      <c r="J107" s="39" t="inlineStr">
        <is>
          <t>Pass</t>
        </is>
      </c>
      <c r="K107" s="32" t="n"/>
      <c r="L107" s="38" t="inlineStr">
        <is>
          <t>Coverage 100% · nguồn: ProfileAndSalesControllersTests.cs</t>
        </is>
      </c>
    </row>
    <row r="108" ht="61.5" customHeight="1">
      <c r="A108" s="26" t="inlineStr">
        <is>
          <t>CVG-086</t>
        </is>
      </c>
      <c r="B108" s="37" t="inlineStr">
        <is>
          <t>Coverage (code-driven)</t>
        </is>
      </c>
      <c r="C108" s="27" t="inlineStr">
        <is>
          <t>Reject() — 3 test con [L1-SCR-40 → L1-SCR-42]
· Reject_Success_ReturnsOk
· Reject_WhenMissing_Returns404
· Reject_WhenWrongState_Returns400</t>
        </is>
      </c>
      <c r="D108" s="27" t="inlineStr">
        <is>
          <t>COVERAGE (code-driven)</t>
        </is>
      </c>
      <c r="E108" s="28" t="inlineStr">
        <is>
          <t>P1</t>
        </is>
      </c>
      <c r="F108" s="40" t="inlineStr">
        <is>
          <t>Mock dependency của controller theo tên test</t>
        </is>
      </c>
      <c r="G108" s="27" t="inlineStr">
        <is>
          <t>SalesChangeRequestsController.Reject()</t>
        </is>
      </c>
      <c r="H108" s="40" t="inlineStr">
        <is>
          <t>Xem assertion trong file test nguồn (tên test tra ngược 1-1)</t>
        </is>
      </c>
      <c r="I108" s="29" t="inlineStr">
        <is>
          <t>Cả hai</t>
        </is>
      </c>
      <c r="J108" s="39" t="inlineStr">
        <is>
          <t>Pass</t>
        </is>
      </c>
      <c r="K108" s="27" t="n"/>
      <c r="L108" s="40" t="inlineStr">
        <is>
          <t>Coverage 100% · nguồn: ProfileAndSalesControllersTests.cs</t>
        </is>
      </c>
    </row>
    <row r="109" ht="61.5" customHeight="1">
      <c r="A109" s="31" t="inlineStr">
        <is>
          <t>CVG-087</t>
        </is>
      </c>
      <c r="B109" s="37" t="inlineStr">
        <is>
          <t>Coverage (code-driven)</t>
        </is>
      </c>
      <c r="C109" s="32" t="inlineStr">
        <is>
          <t>Approve() — 3 test con [L1-SCR-43 → L1-SCR-45]
· Approve_Success_ReturnsOk
· Approve_WhenNewSaleMissing_Returns404
· Approve_WhenNewSaleSameAsCurrent_Returns400</t>
        </is>
      </c>
      <c r="D109" s="32" t="inlineStr">
        <is>
          <t>COVERAGE (code-driven)</t>
        </is>
      </c>
      <c r="E109" s="28" t="inlineStr">
        <is>
          <t>P1</t>
        </is>
      </c>
      <c r="F109" s="38" t="inlineStr">
        <is>
          <t>Mock dependency của controller theo tên test</t>
        </is>
      </c>
      <c r="G109" s="32" t="inlineStr">
        <is>
          <t>SalesChangeRequestsController.Approve()</t>
        </is>
      </c>
      <c r="H109" s="38" t="inlineStr">
        <is>
          <t>Xem assertion trong file test nguồn (tên test tra ngược 1-1)</t>
        </is>
      </c>
      <c r="I109" s="35" t="inlineStr">
        <is>
          <t>Cả hai</t>
        </is>
      </c>
      <c r="J109" s="39" t="inlineStr">
        <is>
          <t>Pass</t>
        </is>
      </c>
      <c r="K109" s="32" t="n"/>
      <c r="L109" s="38" t="inlineStr">
        <is>
          <t>Coverage 100% · nguồn: ProfileAndSalesControllersTests.cs</t>
        </is>
      </c>
    </row>
    <row r="110" ht="18" customHeight="1">
      <c r="A110" s="50" t="inlineStr">
        <is>
          <t xml:space="preserve">  ▶  Block: WarehouseService  —  WarehouseController · HandoverController  ·  coverage 100%  ·  WarehouseControllersTests.cs · SmallControllersTests.cs</t>
        </is>
      </c>
    </row>
    <row r="111" ht="61.5" customHeight="1">
      <c r="A111" s="26" t="inlineStr">
        <is>
          <t>CVG-088</t>
        </is>
      </c>
      <c r="B111" s="37" t="inlineStr">
        <is>
          <t>Coverage (code-driven)</t>
        </is>
      </c>
      <c r="C111" s="27" t="inlineStr">
        <is>
          <t>GetOrders() — 3 test con [L1-WH-17 → L1-WH-19]
· GetOrders_ClampsPagingToSafeRange
· GetOrders_WhenPageSizeNonPositive_FallsBackTo10
· GetOrders_WhenTabTypeInvalid_Returns400</t>
        </is>
      </c>
      <c r="D111" s="27" t="inlineStr">
        <is>
          <t>COVERAGE (code-driven)</t>
        </is>
      </c>
      <c r="E111" s="34" t="inlineStr">
        <is>
          <t>P2</t>
        </is>
      </c>
      <c r="F111" s="40" t="inlineStr">
        <is>
          <t>Mock dependency của controller theo tên test</t>
        </is>
      </c>
      <c r="G111" s="27" t="inlineStr">
        <is>
          <t>WarehouseController · HandoverController.GetOrders()</t>
        </is>
      </c>
      <c r="H111" s="40" t="inlineStr">
        <is>
          <t>Xem assertion trong file test nguồn (tên test tra ngược 1-1)</t>
        </is>
      </c>
      <c r="I111" s="29" t="inlineStr">
        <is>
          <t>Cả hai</t>
        </is>
      </c>
      <c r="J111" s="39" t="inlineStr">
        <is>
          <t>Pass</t>
        </is>
      </c>
      <c r="K111" s="27" t="n"/>
      <c r="L111" s="40" t="inlineStr">
        <is>
          <t>Coverage 100% · nguồn: WarehouseControllersTests.cs · SmallControllersTests.cs</t>
        </is>
      </c>
    </row>
    <row r="112" ht="61.5" customHeight="1">
      <c r="A112" s="31" t="inlineStr">
        <is>
          <t>CVG-089</t>
        </is>
      </c>
      <c r="B112" s="37" t="inlineStr">
        <is>
          <t>Coverage (code-driven)</t>
        </is>
      </c>
      <c r="C112" s="32" t="inlineStr">
        <is>
          <t>GetOrderDetail() — 3 test con [L1-WH-20 → L1-WH-22]
· GetOrderDetail_Success_ReturnsOk
· GetOrderDetail_WhenOrderMissing_Returns404
· GetOrderDetail_WhenServiceThrows_Returns400</t>
        </is>
      </c>
      <c r="D112" s="32" t="inlineStr">
        <is>
          <t>COVERAGE (code-driven)</t>
        </is>
      </c>
      <c r="E112" s="36" t="inlineStr">
        <is>
          <t>P2</t>
        </is>
      </c>
      <c r="F112" s="38" t="inlineStr">
        <is>
          <t>Mock dependency của controller theo tên test</t>
        </is>
      </c>
      <c r="G112" s="32" t="inlineStr">
        <is>
          <t>WarehouseController · HandoverController.GetOrderDetail()</t>
        </is>
      </c>
      <c r="H112" s="38" t="inlineStr">
        <is>
          <t>Xem assertion trong file test nguồn (tên test tra ngược 1-1)</t>
        </is>
      </c>
      <c r="I112" s="35" t="inlineStr">
        <is>
          <t>Cả hai</t>
        </is>
      </c>
      <c r="J112" s="39" t="inlineStr">
        <is>
          <t>Pass</t>
        </is>
      </c>
      <c r="K112" s="32" t="n"/>
      <c r="L112" s="38" t="inlineStr">
        <is>
          <t>Coverage 100% · nguồn: WarehouseControllersTests.cs · SmallControllersTests.cs</t>
        </is>
      </c>
    </row>
    <row r="113" ht="61.5" customHeight="1">
      <c r="A113" s="26" t="inlineStr">
        <is>
          <t>CVG-090</t>
        </is>
      </c>
      <c r="B113" s="37" t="inlineStr">
        <is>
          <t>Coverage (code-driven)</t>
        </is>
      </c>
      <c r="C113" s="27" t="inlineStr">
        <is>
          <t>AcceptOrder() — 3 test con [L1-WH-23 → L1-WH-25]
· AcceptOrder_Success_ReturnsOkAndPassesStaffId
· AcceptOrder_WhenOrderMissing_Returns404
· AcceptOrder_WithoutUserClaim_Returns400</t>
        </is>
      </c>
      <c r="D113" s="27" t="inlineStr">
        <is>
          <t>COVERAGE (code-driven)</t>
        </is>
      </c>
      <c r="E113" s="28" t="inlineStr">
        <is>
          <t>P1</t>
        </is>
      </c>
      <c r="F113" s="40" t="inlineStr">
        <is>
          <t>Mock dependency của controller theo tên test</t>
        </is>
      </c>
      <c r="G113" s="27" t="inlineStr">
        <is>
          <t>WarehouseController · HandoverController.AcceptOrder()</t>
        </is>
      </c>
      <c r="H113" s="40" t="inlineStr">
        <is>
          <t>Xem assertion trong file test nguồn (tên test tra ngược 1-1)</t>
        </is>
      </c>
      <c r="I113" s="29" t="inlineStr">
        <is>
          <t>Cả hai</t>
        </is>
      </c>
      <c r="J113" s="39" t="inlineStr">
        <is>
          <t>Pass</t>
        </is>
      </c>
      <c r="K113" s="27" t="n"/>
      <c r="L113" s="40" t="inlineStr">
        <is>
          <t>Coverage 100% · nguồn: WarehouseControllersTests.cs · SmallControllersTests.cs</t>
        </is>
      </c>
    </row>
    <row r="114" ht="85.5" customHeight="1">
      <c r="A114" s="31" t="inlineStr">
        <is>
          <t>CVG-091</t>
        </is>
      </c>
      <c r="B114" s="37" t="inlineStr">
        <is>
          <t>Coverage (code-driven)</t>
        </is>
      </c>
      <c r="C114" s="32" t="inlineStr">
        <is>
          <t>ReportShortage() — 5 test con [L1-WH-26 → L1-WH-30]
· ReportShortage_WhenModelStateInvalid_Returns400
· ReportShortage_Success_ReturnsOk
· ReportShortage_WhenOrderMissing_Returns404
· ReportShortage_WhenStaffOfAnotherWarehouse_Returns403
· ReportShortage_WhenServiceThrows_Returns400</t>
        </is>
      </c>
      <c r="D114" s="32" t="inlineStr">
        <is>
          <t>COVERAGE (code-driven)</t>
        </is>
      </c>
      <c r="E114" s="28" t="inlineStr">
        <is>
          <t>P1</t>
        </is>
      </c>
      <c r="F114" s="38" t="inlineStr">
        <is>
          <t>Mock dependency của controller theo tên test</t>
        </is>
      </c>
      <c r="G114" s="32" t="inlineStr">
        <is>
          <t>WarehouseController · HandoverController.ReportShortage()</t>
        </is>
      </c>
      <c r="H114" s="38" t="inlineStr">
        <is>
          <t>Xem assertion trong file test nguồn (tên test tra ngược 1-1)</t>
        </is>
      </c>
      <c r="I114" s="35" t="inlineStr">
        <is>
          <t>Cả hai</t>
        </is>
      </c>
      <c r="J114" s="39" t="inlineStr">
        <is>
          <t>Pass</t>
        </is>
      </c>
      <c r="K114" s="32" t="n"/>
      <c r="L114" s="38" t="inlineStr">
        <is>
          <t>Coverage 100% · nguồn: WarehouseControllersTests.cs · SmallControllersTests.cs</t>
        </is>
      </c>
    </row>
    <row r="115" ht="49.5" customHeight="1">
      <c r="A115" s="26" t="inlineStr">
        <is>
          <t>CVG-092</t>
        </is>
      </c>
      <c r="B115" s="37" t="inlineStr">
        <is>
          <t>Coverage (code-driven)</t>
        </is>
      </c>
      <c r="C115" s="27" t="inlineStr">
        <is>
          <t>GetPickTasks() — 2 test con [L1-WH-31 → L1-WH-32]
· GetPickTasks_ClampsPaging
· GetPickTasks_WhenServiceThrows_Returns400</t>
        </is>
      </c>
      <c r="D115" s="27" t="inlineStr">
        <is>
          <t>COVERAGE (code-driven)</t>
        </is>
      </c>
      <c r="E115" s="34" t="inlineStr">
        <is>
          <t>P2</t>
        </is>
      </c>
      <c r="F115" s="40" t="inlineStr">
        <is>
          <t>Mock dependency của controller theo tên test</t>
        </is>
      </c>
      <c r="G115" s="27" t="inlineStr">
        <is>
          <t>WarehouseController · HandoverController.GetPickTasks()</t>
        </is>
      </c>
      <c r="H115" s="40" t="inlineStr">
        <is>
          <t>Xem assertion trong file test nguồn (tên test tra ngược 1-1)</t>
        </is>
      </c>
      <c r="I115" s="29" t="inlineStr">
        <is>
          <t>Cả hai</t>
        </is>
      </c>
      <c r="J115" s="39" t="inlineStr">
        <is>
          <t>Pass</t>
        </is>
      </c>
      <c r="K115" s="27" t="n"/>
      <c r="L115" s="40" t="inlineStr">
        <is>
          <t>Coverage 100% · nguồn: WarehouseControllersTests.cs · SmallControllersTests.cs</t>
        </is>
      </c>
    </row>
    <row r="116" ht="61.5" customHeight="1">
      <c r="A116" s="31" t="inlineStr">
        <is>
          <t>CVG-093</t>
        </is>
      </c>
      <c r="B116" s="37" t="inlineStr">
        <is>
          <t>Coverage (code-driven)</t>
        </is>
      </c>
      <c r="C116" s="32" t="inlineStr">
        <is>
          <t>GetPickTaskDetail() — 3 test con [L1-WH-33 → L1-WH-35]
· GetPickTaskDetail_Success_ReturnsOk
· GetPickTaskDetail_WhenMissing_Returns404
· GetPickTaskDetail_WhenServiceThrows_Returns400</t>
        </is>
      </c>
      <c r="D116" s="32" t="inlineStr">
        <is>
          <t>COVERAGE (code-driven)</t>
        </is>
      </c>
      <c r="E116" s="36" t="inlineStr">
        <is>
          <t>P2</t>
        </is>
      </c>
      <c r="F116" s="38" t="inlineStr">
        <is>
          <t>Mock dependency của controller theo tên test</t>
        </is>
      </c>
      <c r="G116" s="32" t="inlineStr">
        <is>
          <t>WarehouseController · HandoverController.GetPickTaskDetail()</t>
        </is>
      </c>
      <c r="H116" s="38" t="inlineStr">
        <is>
          <t>Xem assertion trong file test nguồn (tên test tra ngược 1-1)</t>
        </is>
      </c>
      <c r="I116" s="35" t="inlineStr">
        <is>
          <t>Cả hai</t>
        </is>
      </c>
      <c r="J116" s="39" t="inlineStr">
        <is>
          <t>Pass</t>
        </is>
      </c>
      <c r="K116" s="32" t="n"/>
      <c r="L116" s="38" t="inlineStr">
        <is>
          <t>Coverage 100% · nguồn: WarehouseControllersTests.cs · SmallControllersTests.cs</t>
        </is>
      </c>
    </row>
    <row r="117" ht="73.5" customHeight="1">
      <c r="A117" s="26" t="inlineStr">
        <is>
          <t>CVG-094</t>
        </is>
      </c>
      <c r="B117" s="37" t="inlineStr">
        <is>
          <t>Coverage (code-driven)</t>
        </is>
      </c>
      <c r="C117" s="27" t="inlineStr">
        <is>
          <t>AcceptPickTask() — 4 test con [L1-WH-36 → L1-WH-39]
· AcceptPickTask_Success_ReturnsOk
· AcceptPickTask_WhenMissing_Returns404
· AcceptPickTask_WhenAnotherStaffTookItFirst_Returns409
· AcceptPickTask_WhenServiceThrows_Returns400</t>
        </is>
      </c>
      <c r="D117" s="27" t="inlineStr">
        <is>
          <t>COVERAGE (code-driven)</t>
        </is>
      </c>
      <c r="E117" s="28" t="inlineStr">
        <is>
          <t>P1</t>
        </is>
      </c>
      <c r="F117" s="40" t="inlineStr">
        <is>
          <t>Mock dependency của controller theo tên test</t>
        </is>
      </c>
      <c r="G117" s="27" t="inlineStr">
        <is>
          <t>WarehouseController · HandoverController.AcceptPickTask()</t>
        </is>
      </c>
      <c r="H117" s="40" t="inlineStr">
        <is>
          <t>Xem assertion trong file test nguồn (tên test tra ngược 1-1)</t>
        </is>
      </c>
      <c r="I117" s="29" t="inlineStr">
        <is>
          <t>Cả hai</t>
        </is>
      </c>
      <c r="J117" s="39" t="inlineStr">
        <is>
          <t>Pass</t>
        </is>
      </c>
      <c r="K117" s="27" t="n"/>
      <c r="L117" s="40" t="inlineStr">
        <is>
          <t>Coverage 100% · nguồn: WarehouseControllersTests.cs · SmallControllersTests.cs</t>
        </is>
      </c>
    </row>
    <row r="118" ht="97.5" customHeight="1">
      <c r="A118" s="31" t="inlineStr">
        <is>
          <t>CVG-095</t>
        </is>
      </c>
      <c r="B118" s="37" t="inlineStr">
        <is>
          <t>Coverage (code-driven)</t>
        </is>
      </c>
      <c r="C118" s="32" t="inlineStr">
        <is>
          <t>UpdatePickTaskItemProgress() — 6 test con [L1-WH-40 → L1-WH-45]
· UpdatePickTaskItemProgress_WithoutImage_DoesNotCallCloudinary
· UpdatePickTaskItemProgress_WithImage_UploadsThenPassesUrl
· UpdatePickTaskItemProgress_WithEmptyImage_SkipsUpload
· UpdatePickTaskItemProgress_WhenMissing_Returns404
· UpdatePickTaskItemProgress_WhenConcurrent_Returns409
· UpdatePickTaskItemProgress_WhenServiceThrows_Returns400</t>
        </is>
      </c>
      <c r="D118" s="32" t="inlineStr">
        <is>
          <t>COVERAGE (code-driven)</t>
        </is>
      </c>
      <c r="E118" s="28" t="inlineStr">
        <is>
          <t>P1</t>
        </is>
      </c>
      <c r="F118" s="38" t="inlineStr">
        <is>
          <t>Mock dependency của controller theo tên test</t>
        </is>
      </c>
      <c r="G118" s="32" t="inlineStr">
        <is>
          <t>WarehouseController · HandoverController.UpdatePickTaskItemProgress()</t>
        </is>
      </c>
      <c r="H118" s="38" t="inlineStr">
        <is>
          <t>Xem assertion trong file test nguồn (tên test tra ngược 1-1)</t>
        </is>
      </c>
      <c r="I118" s="35" t="inlineStr">
        <is>
          <t>Cả hai</t>
        </is>
      </c>
      <c r="J118" s="39" t="inlineStr">
        <is>
          <t>Pass</t>
        </is>
      </c>
      <c r="K118" s="32" t="n"/>
      <c r="L118" s="42" t="inlineStr">
        <is>
          <t>⚠ Nhánh DbUpdateConcurrencyException → 409 KHÔNG chạy được qua HTTP thật khi bảng thiếu RowVersion (GH-04) — mock là cách duy nhất chạm tới.  |  Coverage 100% · nguồn: WarehouseControllersTests.cs · SmallControllersTests.cs</t>
        </is>
      </c>
    </row>
    <row r="119" ht="85.5" customHeight="1">
      <c r="A119" s="26" t="inlineStr">
        <is>
          <t>CVG-096</t>
        </is>
      </c>
      <c r="B119" s="37" t="inlineStr">
        <is>
          <t>Coverage (code-driven)</t>
        </is>
      </c>
      <c r="C119" s="27" t="inlineStr">
        <is>
          <t>CompletePickTask() — 5 test con [L1-WH-46 → L1-WH-50]
· CompletePickTask_Success_ReturnsOk
· CompletePickTask_WhenMissing_Returns404
· CompletePickTask_WhenNotTheAssignee_Returns403
· CompletePickTask_WhenConcurrent_Returns409
· CompletePickTask_WhenServiceThrows_Returns400</t>
        </is>
      </c>
      <c r="D119" s="27" t="inlineStr">
        <is>
          <t>COVERAGE (code-driven)</t>
        </is>
      </c>
      <c r="E119" s="28" t="inlineStr">
        <is>
          <t>P1</t>
        </is>
      </c>
      <c r="F119" s="40" t="inlineStr">
        <is>
          <t>Mock dependency của controller theo tên test</t>
        </is>
      </c>
      <c r="G119" s="27" t="inlineStr">
        <is>
          <t>WarehouseController · HandoverController.CompletePickTask()</t>
        </is>
      </c>
      <c r="H119" s="40" t="inlineStr">
        <is>
          <t>Xem assertion trong file test nguồn (tên test tra ngược 1-1)</t>
        </is>
      </c>
      <c r="I119" s="29" t="inlineStr">
        <is>
          <t>Cả hai</t>
        </is>
      </c>
      <c r="J119" s="39" t="inlineStr">
        <is>
          <t>Pass</t>
        </is>
      </c>
      <c r="K119" s="27" t="n"/>
      <c r="L119" s="41" t="inlineStr">
        <is>
          <t>⚠ Nhánh DbUpdateConcurrencyException → 409 KHÔNG chạy được qua HTTP thật khi bảng thiếu RowVersion (GH-04) — mock là cách duy nhất chạm tới.  |  Coverage 100% · nguồn: WarehouseControllersTests.cs · SmallControllersTests.cs</t>
        </is>
      </c>
    </row>
    <row r="120" ht="73.5" customHeight="1">
      <c r="A120" s="31" t="inlineStr">
        <is>
          <t>CVG-097</t>
        </is>
      </c>
      <c r="B120" s="37" t="inlineStr">
        <is>
          <t>Coverage (code-driven)</t>
        </is>
      </c>
      <c r="C120" s="32" t="inlineStr">
        <is>
          <t>ConsolidateOrder() — 4 test con [L1-WH-51 → L1-WH-54]
· ConsolidateOrder_Success_ReturnsOk
· ConsolidateOrder_WhenMissing_Returns404
· ConsolidateOrder_WhenNotAuthorized_Returns403
· ConsolidateOrder_WhenServiceThrows_Returns400</t>
        </is>
      </c>
      <c r="D120" s="32" t="inlineStr">
        <is>
          <t>COVERAGE (code-driven)</t>
        </is>
      </c>
      <c r="E120" s="28" t="inlineStr">
        <is>
          <t>P1</t>
        </is>
      </c>
      <c r="F120" s="38" t="inlineStr">
        <is>
          <t>Mock dependency của controller theo tên test</t>
        </is>
      </c>
      <c r="G120" s="32" t="inlineStr">
        <is>
          <t>WarehouseController · HandoverController.ConsolidateOrder()</t>
        </is>
      </c>
      <c r="H120" s="38" t="inlineStr">
        <is>
          <t>Xem assertion trong file test nguồn (tên test tra ngược 1-1)</t>
        </is>
      </c>
      <c r="I120" s="35" t="inlineStr">
        <is>
          <t>Cả hai</t>
        </is>
      </c>
      <c r="J120" s="39" t="inlineStr">
        <is>
          <t>Pass</t>
        </is>
      </c>
      <c r="K120" s="32" t="n"/>
      <c r="L120" s="38" t="inlineStr">
        <is>
          <t>Coverage 100% · nguồn: WarehouseControllersTests.cs · SmallControllersTests.cs</t>
        </is>
      </c>
    </row>
    <row r="121" ht="73.5" customHeight="1">
      <c r="A121" s="26" t="inlineStr">
        <is>
          <t>CVG-098</t>
        </is>
      </c>
      <c r="B121" s="37" t="inlineStr">
        <is>
          <t>Coverage (code-driven)</t>
        </is>
      </c>
      <c r="C121" s="27" t="inlineStr">
        <is>
          <t>HandoverOrder() — 4 test con [L1-WH-55 → L1-WH-58]
· HandoverOrder_WhenSignaturesAreBase64_UploadsBothAndReplacesWithUrls
· HandoverOrder_WhenSignaturesAlreadyUrls_SkipsUpload
· HandoverOrder_WhenOrderMissing_Returns404
· HandoverOrder_WhenServiceThrows_Returns400</t>
        </is>
      </c>
      <c r="D121" s="27" t="inlineStr">
        <is>
          <t>COVERAGE (code-driven)</t>
        </is>
      </c>
      <c r="E121" s="34" t="inlineStr">
        <is>
          <t>P2</t>
        </is>
      </c>
      <c r="F121" s="40" t="inlineStr">
        <is>
          <t>Mock dependency của controller theo tên test</t>
        </is>
      </c>
      <c r="G121" s="27" t="inlineStr">
        <is>
          <t>WarehouseController · HandoverController.HandoverOrder()</t>
        </is>
      </c>
      <c r="H121" s="40" t="inlineStr">
        <is>
          <t>Xem assertion trong file test nguồn (tên test tra ngược 1-1)</t>
        </is>
      </c>
      <c r="I121" s="29" t="inlineStr">
        <is>
          <t>Cả hai</t>
        </is>
      </c>
      <c r="J121" s="39" t="inlineStr">
        <is>
          <t>Pass</t>
        </is>
      </c>
      <c r="K121" s="27" t="n"/>
      <c r="L121" s="40" t="inlineStr">
        <is>
          <t>Coverage 100% · nguồn: WarehouseControllersTests.cs · SmallControllersTests.cs</t>
        </is>
      </c>
    </row>
    <row r="122" ht="61.5" customHeight="1">
      <c r="A122" s="31" t="inlineStr">
        <is>
          <t>CVG-099</t>
        </is>
      </c>
      <c r="B122" s="37" t="inlineStr">
        <is>
          <t>Coverage (code-driven)</t>
        </is>
      </c>
      <c r="C122" s="32" t="inlineStr">
        <is>
          <t>PostGoodsIssue() — 3 test con [L1-WH-59 → L1-WH-61]
· PostGoodsIssue_Success_ReturnsOk
· PostGoodsIssue_WhenMissing_Returns404
· PostGoodsIssue_WhenStockInsufficient_Returns400</t>
        </is>
      </c>
      <c r="D122" s="32" t="inlineStr">
        <is>
          <t>COVERAGE (code-driven)</t>
        </is>
      </c>
      <c r="E122" s="28" t="inlineStr">
        <is>
          <t>P1</t>
        </is>
      </c>
      <c r="F122" s="38" t="inlineStr">
        <is>
          <t>Mock dependency của controller theo tên test</t>
        </is>
      </c>
      <c r="G122" s="32" t="inlineStr">
        <is>
          <t>WarehouseController · HandoverController.PostGoodsIssue()</t>
        </is>
      </c>
      <c r="H122" s="38" t="inlineStr">
        <is>
          <t>Xem assertion trong file test nguồn (tên test tra ngược 1-1)</t>
        </is>
      </c>
      <c r="I122" s="35" t="inlineStr">
        <is>
          <t>Cả hai</t>
        </is>
      </c>
      <c r="J122" s="39" t="inlineStr">
        <is>
          <t>Pass</t>
        </is>
      </c>
      <c r="K122" s="32" t="n"/>
      <c r="L122" s="38" t="inlineStr">
        <is>
          <t>Coverage 100% · nguồn: WarehouseControllersTests.cs · SmallControllersTests.cs</t>
        </is>
      </c>
    </row>
    <row r="123" ht="18" customHeight="1">
      <c r="A123" s="50" t="inlineStr">
        <is>
          <t xml:space="preserve">  ▶  Block: GoodsIssueService  —  GoodsIssueController  ·  coverage 100%  ·  WarehouseControllersTests.cs</t>
        </is>
      </c>
    </row>
    <row r="124" ht="49.5" customHeight="1">
      <c r="A124" s="26" t="inlineStr">
        <is>
          <t>CVG-100</t>
        </is>
      </c>
      <c r="B124" s="37" t="inlineStr">
        <is>
          <t>Coverage (code-driven)</t>
        </is>
      </c>
      <c r="C124" s="27" t="inlineStr">
        <is>
          <t>GetGoodsIssues() — 2 test con [L1-GI-10 → L1-GI-11]
· GetGoodsIssues_PassesTypeFilter
· GetGoodsIssues_WhenServiceThrows_Returns400</t>
        </is>
      </c>
      <c r="D124" s="27" t="inlineStr">
        <is>
          <t>COVERAGE (code-driven)</t>
        </is>
      </c>
      <c r="E124" s="34" t="inlineStr">
        <is>
          <t>P2</t>
        </is>
      </c>
      <c r="F124" s="40" t="inlineStr">
        <is>
          <t>Mock dependency của controller theo tên test</t>
        </is>
      </c>
      <c r="G124" s="27" t="inlineStr">
        <is>
          <t>GoodsIssueController.GetGoodsIssues()</t>
        </is>
      </c>
      <c r="H124" s="40" t="inlineStr">
        <is>
          <t>Xem assertion trong file test nguồn (tên test tra ngược 1-1)</t>
        </is>
      </c>
      <c r="I124" s="29" t="inlineStr">
        <is>
          <t>Cả hai</t>
        </is>
      </c>
      <c r="J124" s="39" t="inlineStr">
        <is>
          <t>Pass</t>
        </is>
      </c>
      <c r="K124" s="27" t="n"/>
      <c r="L124" s="40" t="inlineStr">
        <is>
          <t>Coverage 100% · nguồn: WarehouseControllersTests.cs</t>
        </is>
      </c>
    </row>
    <row r="125" ht="61.5" customHeight="1">
      <c r="A125" s="31" t="inlineStr">
        <is>
          <t>CVG-101</t>
        </is>
      </c>
      <c r="B125" s="37" t="inlineStr">
        <is>
          <t>Coverage (code-driven)</t>
        </is>
      </c>
      <c r="C125" s="32" t="inlineStr">
        <is>
          <t>GetGoodsIssueById() — 3 test con [L1-GI-12 → L1-GI-14]
· GetGoodsIssueById_Success_ReturnsOk
· GetGoodsIssueById_WhenMissing_Returns404
· GetGoodsIssueById_WhenServiceThrows_Returns400</t>
        </is>
      </c>
      <c r="D125" s="32" t="inlineStr">
        <is>
          <t>COVERAGE (code-driven)</t>
        </is>
      </c>
      <c r="E125" s="28" t="inlineStr">
        <is>
          <t>P1</t>
        </is>
      </c>
      <c r="F125" s="38" t="inlineStr">
        <is>
          <t>Mock dependency của controller theo tên test</t>
        </is>
      </c>
      <c r="G125" s="32" t="inlineStr">
        <is>
          <t>GoodsIssueController.GetGoodsIssueById()</t>
        </is>
      </c>
      <c r="H125" s="38" t="inlineStr">
        <is>
          <t>Xem assertion trong file test nguồn (tên test tra ngược 1-1)</t>
        </is>
      </c>
      <c r="I125" s="35" t="inlineStr">
        <is>
          <t>Cả hai</t>
        </is>
      </c>
      <c r="J125" s="39" t="inlineStr">
        <is>
          <t>Pass</t>
        </is>
      </c>
      <c r="K125" s="32" t="n"/>
      <c r="L125" s="38" t="inlineStr">
        <is>
          <t>Coverage 100% · nguồn: WarehouseControllersTests.cs</t>
        </is>
      </c>
    </row>
    <row r="126" ht="73.5" customHeight="1">
      <c r="A126" s="26" t="inlineStr">
        <is>
          <t>CVG-102</t>
        </is>
      </c>
      <c r="B126" s="37" t="inlineStr">
        <is>
          <t>Coverage (code-driven)</t>
        </is>
      </c>
      <c r="C126" s="27" t="inlineStr">
        <is>
          <t>CreateGoodsIssue() — 4 test con [L1-GI-15 → L1-GI-18]
· CreateGoodsIssue_WithoutUserClaim_Returns401
· CreateGoodsIssue_Success_ReturnsOkWithStaffIdFromToken
· CreateGoodsIssue_WhenOrderMissing_Returns404
· CreateGoodsIssue_WhenServiceThrows_Returns400</t>
        </is>
      </c>
      <c r="D126" s="27" t="inlineStr">
        <is>
          <t>COVERAGE (code-driven)</t>
        </is>
      </c>
      <c r="E126" s="28" t="inlineStr">
        <is>
          <t>P1</t>
        </is>
      </c>
      <c r="F126" s="40" t="inlineStr">
        <is>
          <t>Mock dependency của controller theo tên test</t>
        </is>
      </c>
      <c r="G126" s="27" t="inlineStr">
        <is>
          <t>GoodsIssueController.CreateGoodsIssue()</t>
        </is>
      </c>
      <c r="H126" s="40" t="inlineStr">
        <is>
          <t>Xem assertion trong file test nguồn (tên test tra ngược 1-1)</t>
        </is>
      </c>
      <c r="I126" s="29" t="inlineStr">
        <is>
          <t>Cả hai</t>
        </is>
      </c>
      <c r="J126" s="39" t="inlineStr">
        <is>
          <t>Pass</t>
        </is>
      </c>
      <c r="K126" s="27" t="n"/>
      <c r="L126" s="40" t="inlineStr">
        <is>
          <t>Coverage 100% · nguồn: WarehouseControllersTests.cs</t>
        </is>
      </c>
    </row>
    <row r="127" ht="109.5" customHeight="1">
      <c r="A127" s="31" t="inlineStr">
        <is>
          <t>CVG-103</t>
        </is>
      </c>
      <c r="B127" s="37" t="inlineStr">
        <is>
          <t>Coverage (code-driven)</t>
        </is>
      </c>
      <c r="C127" s="32" t="inlineStr">
        <is>
          <t>UploadProof() — 7 test con [L1-GI-19 → L1-GI-25]
· UploadProof_WhenNoFile_Returns400WithoutCallingService
· UploadProof_WhenFileEmpty_Returns400
· UploadProof_Success_ReturnsOk
· UploadProof_WhenIssueMissing_Returns404
· UploadProof_WhenIssueAlreadyPosted_Returns409
· UploadProof_WhenConcurrent_Returns409
· UploadProof_WhenServiceThrows_Returns400</t>
        </is>
      </c>
      <c r="D127" s="32" t="inlineStr">
        <is>
          <t>COVERAGE (code-driven)</t>
        </is>
      </c>
      <c r="E127" s="28" t="inlineStr">
        <is>
          <t>P1</t>
        </is>
      </c>
      <c r="F127" s="38" t="inlineStr">
        <is>
          <t>Mock dependency của controller theo tên test</t>
        </is>
      </c>
      <c r="G127" s="32" t="inlineStr">
        <is>
          <t>GoodsIssueController.UploadProof()</t>
        </is>
      </c>
      <c r="H127" s="38" t="inlineStr">
        <is>
          <t>Xem assertion trong file test nguồn (tên test tra ngược 1-1)</t>
        </is>
      </c>
      <c r="I127" s="35" t="inlineStr">
        <is>
          <t>Cả hai</t>
        </is>
      </c>
      <c r="J127" s="39" t="inlineStr">
        <is>
          <t>Pass</t>
        </is>
      </c>
      <c r="K127" s="32" t="n"/>
      <c r="L127" s="42" t="inlineStr">
        <is>
          <t>⚠ Nhánh DbUpdateConcurrencyException → 409 KHÔNG chạy được qua HTTP thật khi bảng thiếu RowVersion (GH-04) — mock là cách duy nhất chạm tới.  |  Coverage 100% · nguồn: WarehouseControllersTests.cs</t>
        </is>
      </c>
    </row>
    <row r="128" ht="85.5" customHeight="1">
      <c r="A128" s="26" t="inlineStr">
        <is>
          <t>CVG-104</t>
        </is>
      </c>
      <c r="B128" s="37" t="inlineStr">
        <is>
          <t>Coverage (code-driven)</t>
        </is>
      </c>
      <c r="C128" s="27" t="inlineStr">
        <is>
          <t>UpdateHandoverInfo() — 5 test con [L1-GI-26 → L1-GI-30]
· UpdateHandoverInfo_Success_ReturnsOk
· UpdateHandoverInfo_WhenMissing_Returns404
· UpdateHandoverInfo_WhenWrongState_Returns409
· UpdateHandoverInfo_WhenConcurrent_Returns409
· UpdateHandoverInfo_WhenServiceThrows_Returns400</t>
        </is>
      </c>
      <c r="D128" s="27" t="inlineStr">
        <is>
          <t>COVERAGE (code-driven)</t>
        </is>
      </c>
      <c r="E128" s="28" t="inlineStr">
        <is>
          <t>P1</t>
        </is>
      </c>
      <c r="F128" s="40" t="inlineStr">
        <is>
          <t>Mock dependency của controller theo tên test</t>
        </is>
      </c>
      <c r="G128" s="27" t="inlineStr">
        <is>
          <t>GoodsIssueController.UpdateHandoverInfo()</t>
        </is>
      </c>
      <c r="H128" s="40" t="inlineStr">
        <is>
          <t>Xem assertion trong file test nguồn (tên test tra ngược 1-1)</t>
        </is>
      </c>
      <c r="I128" s="29" t="inlineStr">
        <is>
          <t>Cả hai</t>
        </is>
      </c>
      <c r="J128" s="39" t="inlineStr">
        <is>
          <t>Pass</t>
        </is>
      </c>
      <c r="K128" s="27" t="n"/>
      <c r="L128" s="41" t="inlineStr">
        <is>
          <t>⚠ Nhánh DbUpdateConcurrencyException → 409 KHÔNG chạy được qua HTTP thật khi bảng thiếu RowVersion (GH-04) — mock là cách duy nhất chạm tới.  |  Coverage 100% · nguồn: WarehouseControllersTests.cs</t>
        </is>
      </c>
    </row>
    <row r="129" ht="97.5" customHeight="1">
      <c r="A129" s="31" t="inlineStr">
        <is>
          <t>CVG-105</t>
        </is>
      </c>
      <c r="B129" s="37" t="inlineStr">
        <is>
          <t>Coverage (code-driven)</t>
        </is>
      </c>
      <c r="C129" s="32" t="inlineStr">
        <is>
          <t>PostGoodsIssue() — 6 test con [L1-GI-31 → L1-GI-36]
· PostGoodsIssue_WithoutUserClaim_Returns401
· PostGoodsIssue_Success_ReturnsOk
· PostGoodsIssue_WhenMissing_Returns404
· PostGoodsIssue_WhenStockInsufficient_Returns409
· PostGoodsIssue_WhenConcurrent_Returns409
· PostGoodsIssue_WhenServiceThrows_Returns400</t>
        </is>
      </c>
      <c r="D129" s="32" t="inlineStr">
        <is>
          <t>COVERAGE (code-driven)</t>
        </is>
      </c>
      <c r="E129" s="28" t="inlineStr">
        <is>
          <t>P1</t>
        </is>
      </c>
      <c r="F129" s="38" t="inlineStr">
        <is>
          <t>Mock dependency của controller theo tên test</t>
        </is>
      </c>
      <c r="G129" s="32" t="inlineStr">
        <is>
          <t>GoodsIssueController.PostGoodsIssue()</t>
        </is>
      </c>
      <c r="H129" s="38" t="inlineStr">
        <is>
          <t>Xem assertion trong file test nguồn (tên test tra ngược 1-1)</t>
        </is>
      </c>
      <c r="I129" s="35" t="inlineStr">
        <is>
          <t>Cả hai</t>
        </is>
      </c>
      <c r="J129" s="39" t="inlineStr">
        <is>
          <t>Pass</t>
        </is>
      </c>
      <c r="K129" s="32" t="n"/>
      <c r="L129" s="42" t="inlineStr">
        <is>
          <t>⚠ Nhánh DbUpdateConcurrencyException → 409 KHÔNG chạy được qua HTTP thật khi bảng thiếu RowVersion (GH-04) — mock là cách duy nhất chạm tới.  |  Coverage 100% · nguồn: WarehouseControllersTests.cs</t>
        </is>
      </c>
    </row>
    <row r="130" ht="97.5" customHeight="1">
      <c r="A130" s="26" t="inlineStr">
        <is>
          <t>CVG-106</t>
        </is>
      </c>
      <c r="B130" s="37" t="inlineStr">
        <is>
          <t>Coverage (code-driven)</t>
        </is>
      </c>
      <c r="C130" s="27" t="inlineStr">
        <is>
          <t>CreateReversal() — 6 test con [L1-GI-37 → L1-GI-42]
· CreateReversal_WithoutUserClaim_Returns401
· CreateReversal_Success_ReturnsOk
· CreateReversal_WhenMissing_Returns404
· CreateReversal_WhenIssueNotPosted_Returns409
· CreateReversal_WhenConcurrent_Returns409
· CreateReversal_WhenServiceThrows_Returns400</t>
        </is>
      </c>
      <c r="D130" s="27" t="inlineStr">
        <is>
          <t>COVERAGE (code-driven)</t>
        </is>
      </c>
      <c r="E130" s="28" t="inlineStr">
        <is>
          <t>P1</t>
        </is>
      </c>
      <c r="F130" s="40" t="inlineStr">
        <is>
          <t>Mock dependency của controller theo tên test</t>
        </is>
      </c>
      <c r="G130" s="27" t="inlineStr">
        <is>
          <t>GoodsIssueController.CreateReversal()</t>
        </is>
      </c>
      <c r="H130" s="40" t="inlineStr">
        <is>
          <t>Xem assertion trong file test nguồn (tên test tra ngược 1-1)</t>
        </is>
      </c>
      <c r="I130" s="29" t="inlineStr">
        <is>
          <t>Cả hai</t>
        </is>
      </c>
      <c r="J130" s="39" t="inlineStr">
        <is>
          <t>Pass</t>
        </is>
      </c>
      <c r="K130" s="27" t="n"/>
      <c r="L130" s="41" t="inlineStr">
        <is>
          <t>⚠ Nhánh DbUpdateConcurrencyException → 409 KHÔNG chạy được qua HTTP thật khi bảng thiếu RowVersion (GH-04) — mock là cách duy nhất chạm tới.  |  Coverage 100% · nguồn: WarehouseControllersTests.cs</t>
        </is>
      </c>
    </row>
    <row r="131" ht="18" customHeight="1">
      <c r="A131" s="50" t="inlineStr">
        <is>
          <t xml:space="preserve">  ▶  Block: WarehouseManagementService  —  WarehouseManagementController · WarehouseShiftController  ·  coverage 93–100%  ·  WarehouseControllersTests.cs · SmallControllersTests.cs</t>
        </is>
      </c>
    </row>
    <row r="132" ht="49.5" customHeight="1">
      <c r="A132" s="31" t="inlineStr">
        <is>
          <t>CVG-107</t>
        </is>
      </c>
      <c r="B132" s="37" t="inlineStr">
        <is>
          <t>Coverage (code-driven)</t>
        </is>
      </c>
      <c r="C132" s="32" t="inlineStr">
        <is>
          <t>GetAll() — 2 test con [L1-WM-06 → L1-WM-07]
· GetAll_ReturnsOk
· GetAll_WhenServiceThrows_Returns400</t>
        </is>
      </c>
      <c r="D132" s="32" t="inlineStr">
        <is>
          <t>COVERAGE (code-driven)</t>
        </is>
      </c>
      <c r="E132" s="36" t="inlineStr">
        <is>
          <t>P2</t>
        </is>
      </c>
      <c r="F132" s="38" t="inlineStr">
        <is>
          <t>Mock dependency của controller theo tên test</t>
        </is>
      </c>
      <c r="G132" s="32" t="inlineStr">
        <is>
          <t>WarehouseManagementController · WarehouseShiftController.GetAll()</t>
        </is>
      </c>
      <c r="H132" s="38" t="inlineStr">
        <is>
          <t>Xem assertion trong file test nguồn (tên test tra ngược 1-1)</t>
        </is>
      </c>
      <c r="I132" s="35" t="inlineStr">
        <is>
          <t>Cả hai</t>
        </is>
      </c>
      <c r="J132" s="39" t="inlineStr">
        <is>
          <t>Pass</t>
        </is>
      </c>
      <c r="K132" s="32" t="n"/>
      <c r="L132" s="38" t="inlineStr">
        <is>
          <t>Coverage 93–100% · nguồn: WarehouseControllersTests.cs · SmallControllersTests.cs</t>
        </is>
      </c>
    </row>
    <row r="133" ht="49.5" customHeight="1">
      <c r="A133" s="26" t="inlineStr">
        <is>
          <t>CVG-108</t>
        </is>
      </c>
      <c r="B133" s="37" t="inlineStr">
        <is>
          <t>Coverage (code-driven)</t>
        </is>
      </c>
      <c r="C133" s="27" t="inlineStr">
        <is>
          <t>GetById() — 2 test con [L1-WM-08 → L1-WM-09]
· GetById_Success_ReturnsOk
· GetById_WhenMissing_Returns404</t>
        </is>
      </c>
      <c r="D133" s="27" t="inlineStr">
        <is>
          <t>COVERAGE (code-driven)</t>
        </is>
      </c>
      <c r="E133" s="34" t="inlineStr">
        <is>
          <t>P2</t>
        </is>
      </c>
      <c r="F133" s="40" t="inlineStr">
        <is>
          <t>Mock dependency của controller theo tên test</t>
        </is>
      </c>
      <c r="G133" s="27" t="inlineStr">
        <is>
          <t>WarehouseManagementController · WarehouseShiftController.GetById()</t>
        </is>
      </c>
      <c r="H133" s="40" t="inlineStr">
        <is>
          <t>Xem assertion trong file test nguồn (tên test tra ngược 1-1)</t>
        </is>
      </c>
      <c r="I133" s="29" t="inlineStr">
        <is>
          <t>Cả hai</t>
        </is>
      </c>
      <c r="J133" s="39" t="inlineStr">
        <is>
          <t>Pass</t>
        </is>
      </c>
      <c r="K133" s="27" t="n"/>
      <c r="L133" s="40" t="inlineStr">
        <is>
          <t>Coverage 93–100% · nguồn: WarehouseControllersTests.cs · SmallControllersTests.cs</t>
        </is>
      </c>
    </row>
    <row r="134" ht="61.5" customHeight="1">
      <c r="A134" s="31" t="inlineStr">
        <is>
          <t>CVG-109</t>
        </is>
      </c>
      <c r="B134" s="37" t="inlineStr">
        <is>
          <t>Coverage (code-driven)</t>
        </is>
      </c>
      <c r="C134" s="32" t="inlineStr">
        <is>
          <t>Create() — 3 test con [L1-WM-10 → L1-WM-12]
· Create_WhenModelStateInvalid_Returns400
· Create_Success_Returns201
· Create_WhenCodeDuplicated_Returns400</t>
        </is>
      </c>
      <c r="D134" s="32" t="inlineStr">
        <is>
          <t>COVERAGE (code-driven)</t>
        </is>
      </c>
      <c r="E134" s="28" t="inlineStr">
        <is>
          <t>P1</t>
        </is>
      </c>
      <c r="F134" s="38" t="inlineStr">
        <is>
          <t>Mock dependency của controller theo tên test</t>
        </is>
      </c>
      <c r="G134" s="32" t="inlineStr">
        <is>
          <t>WarehouseManagementController · WarehouseShiftController.Create()</t>
        </is>
      </c>
      <c r="H134" s="38" t="inlineStr">
        <is>
          <t>Xem assertion trong file test nguồn (tên test tra ngược 1-1)</t>
        </is>
      </c>
      <c r="I134" s="35" t="inlineStr">
        <is>
          <t>Cả hai</t>
        </is>
      </c>
      <c r="J134" s="39" t="inlineStr">
        <is>
          <t>Pass</t>
        </is>
      </c>
      <c r="K134" s="32" t="n"/>
      <c r="L134" s="38" t="inlineStr">
        <is>
          <t>Coverage 93–100% · nguồn: WarehouseControllersTests.cs · SmallControllersTests.cs</t>
        </is>
      </c>
    </row>
    <row r="135" ht="61.5" customHeight="1">
      <c r="A135" s="26" t="inlineStr">
        <is>
          <t>CVG-110</t>
        </is>
      </c>
      <c r="B135" s="37" t="inlineStr">
        <is>
          <t>Coverage (code-driven)</t>
        </is>
      </c>
      <c r="C135" s="27" t="inlineStr">
        <is>
          <t>Update() — 3 test con [L1-WM-13 → L1-WM-15]
· Update_WhenModelStateInvalid_Returns400
· Update_Success_ReturnsOk
· Update_WhenServiceThrows_Returns400</t>
        </is>
      </c>
      <c r="D135" s="27" t="inlineStr">
        <is>
          <t>COVERAGE (code-driven)</t>
        </is>
      </c>
      <c r="E135" s="28" t="inlineStr">
        <is>
          <t>P1</t>
        </is>
      </c>
      <c r="F135" s="40" t="inlineStr">
        <is>
          <t>Mock dependency của controller theo tên test</t>
        </is>
      </c>
      <c r="G135" s="27" t="inlineStr">
        <is>
          <t>WarehouseManagementController · WarehouseShiftController.Update()</t>
        </is>
      </c>
      <c r="H135" s="40" t="inlineStr">
        <is>
          <t>Xem assertion trong file test nguồn (tên test tra ngược 1-1)</t>
        </is>
      </c>
      <c r="I135" s="29" t="inlineStr">
        <is>
          <t>Cả hai</t>
        </is>
      </c>
      <c r="J135" s="39" t="inlineStr">
        <is>
          <t>Pass</t>
        </is>
      </c>
      <c r="K135" s="27" t="n"/>
      <c r="L135" s="40" t="inlineStr">
        <is>
          <t>Coverage 93–100% · nguồn: WarehouseControllersTests.cs · SmallControllersTests.cs</t>
        </is>
      </c>
    </row>
    <row r="136" ht="49.5" customHeight="1">
      <c r="A136" s="31" t="inlineStr">
        <is>
          <t>CVG-111</t>
        </is>
      </c>
      <c r="B136" s="37" t="inlineStr">
        <is>
          <t>Coverage (code-driven)</t>
        </is>
      </c>
      <c r="C136" s="32" t="inlineStr">
        <is>
          <t>Delete() — 2 test con [L1-WM-16 → L1-WM-17]
· Delete_Success_ReturnsOk
· Delete_WhenWarehouseStillHasStock_Returns400</t>
        </is>
      </c>
      <c r="D136" s="32" t="inlineStr">
        <is>
          <t>COVERAGE (code-driven)</t>
        </is>
      </c>
      <c r="E136" s="28" t="inlineStr">
        <is>
          <t>P1</t>
        </is>
      </c>
      <c r="F136" s="38" t="inlineStr">
        <is>
          <t>Mock dependency của controller theo tên test</t>
        </is>
      </c>
      <c r="G136" s="32" t="inlineStr">
        <is>
          <t>WarehouseManagementController · WarehouseShiftController.Delete()</t>
        </is>
      </c>
      <c r="H136" s="38" t="inlineStr">
        <is>
          <t>Xem assertion trong file test nguồn (tên test tra ngược 1-1)</t>
        </is>
      </c>
      <c r="I136" s="35" t="inlineStr">
        <is>
          <t>Cả hai</t>
        </is>
      </c>
      <c r="J136" s="39" t="inlineStr">
        <is>
          <t>Pass</t>
        </is>
      </c>
      <c r="K136" s="32" t="n"/>
      <c r="L136" s="38" t="inlineStr">
        <is>
          <t>Coverage 93–100% · nguồn: WarehouseControllersTests.cs · SmallControllersTests.cs</t>
        </is>
      </c>
    </row>
    <row r="137" ht="37.5" customHeight="1">
      <c r="A137" s="26" t="inlineStr">
        <is>
          <t>CVG-112</t>
        </is>
      </c>
      <c r="B137" s="37" t="inlineStr">
        <is>
          <t>Coverage (code-driven)</t>
        </is>
      </c>
      <c r="C137" s="27" t="inlineStr">
        <is>
          <t>GetQuarantineList() — 1 test con [L1-WM-18]
· GetQuarantineList_MapsProductNameAndStatus</t>
        </is>
      </c>
      <c r="D137" s="27" t="inlineStr">
        <is>
          <t>COVERAGE (code-driven)</t>
        </is>
      </c>
      <c r="E137" s="34" t="inlineStr">
        <is>
          <t>P2</t>
        </is>
      </c>
      <c r="F137" s="40" t="inlineStr">
        <is>
          <t>Mock dependency của controller theo tên test</t>
        </is>
      </c>
      <c r="G137" s="27" t="inlineStr">
        <is>
          <t>WarehouseManagementController · WarehouseShiftController.GetQuarantineList()</t>
        </is>
      </c>
      <c r="H137" s="40" t="inlineStr">
        <is>
          <t>Xem assertion trong file test nguồn (tên test tra ngược 1-1)</t>
        </is>
      </c>
      <c r="I137" s="27" t="inlineStr">
        <is>
          <t>No</t>
        </is>
      </c>
      <c r="J137" s="39" t="inlineStr">
        <is>
          <t>Pass</t>
        </is>
      </c>
      <c r="K137" s="27" t="n"/>
      <c r="L137" s="40" t="inlineStr">
        <is>
          <t>Coverage 93–100% · nguồn: WarehouseControllersTests.cs · SmallControllersTests.cs</t>
        </is>
      </c>
    </row>
    <row r="138" ht="73.5" customHeight="1">
      <c r="A138" s="31" t="inlineStr">
        <is>
          <t>CVG-113</t>
        </is>
      </c>
      <c r="B138" s="37" t="inlineStr">
        <is>
          <t>Coverage (code-driven)</t>
        </is>
      </c>
      <c r="C138" s="32" t="inlineStr">
        <is>
          <t>ReceiveToQuarantine() — 4 test con [L1-WM-19 → L1-WM-22]
· ReceiveToQuarantine_WhenNoInventoryForProduct_Returns404
· ReceiveToQuarantine_WhenOrderMissing_Returns404
· ReceiveToQuarantine_Success_IncreasesQuarantineQtyAndWritesLog
· ReceiveToQuarantine_WithoutUserClaim_Returns400</t>
        </is>
      </c>
      <c r="D138" s="32" t="inlineStr">
        <is>
          <t>COVERAGE (code-driven)</t>
        </is>
      </c>
      <c r="E138" s="28" t="inlineStr">
        <is>
          <t>P1</t>
        </is>
      </c>
      <c r="F138" s="38" t="inlineStr">
        <is>
          <t>Mock dependency của controller theo tên test</t>
        </is>
      </c>
      <c r="G138" s="32" t="inlineStr">
        <is>
          <t>WarehouseManagementController · WarehouseShiftController.ReceiveToQuarantine()</t>
        </is>
      </c>
      <c r="H138" s="38" t="inlineStr">
        <is>
          <t>Xem assertion trong file test nguồn (tên test tra ngược 1-1)</t>
        </is>
      </c>
      <c r="I138" s="35" t="inlineStr">
        <is>
          <t>Cả hai</t>
        </is>
      </c>
      <c r="J138" s="39" t="inlineStr">
        <is>
          <t>Pass</t>
        </is>
      </c>
      <c r="K138" s="32" t="n"/>
      <c r="L138" s="38" t="inlineStr">
        <is>
          <t>Coverage 93–100% · nguồn: WarehouseControllersTests.cs · SmallControllersTests.cs</t>
        </is>
      </c>
    </row>
    <row r="139" ht="109.5" customHeight="1">
      <c r="A139" s="26" t="inlineStr">
        <is>
          <t>CVG-114</t>
        </is>
      </c>
      <c r="B139" s="37" t="inlineStr">
        <is>
          <t>Coverage (code-driven)</t>
        </is>
      </c>
      <c r="C139" s="27" t="inlineStr">
        <is>
          <t>DispatchQuarantine() — 8 test con [L1-WM-23 → L1-WM-30]
· DispatchQuarantine_WhenLogMissing_Returns404
· DispatchQuarantine_WhenAlreadyProcessed_Returns400
· DispatchQuarantine_Available_ReleasesBackToStock
· DispatchQuarantine_Damaged_MovesQtyToDamagedBucket
· DispatchQuarantine_WithUnknownAction_Returns400
· DispatchQuarantine_LegacyLogWithoutInventoryLink_SelfHealsThenReleases
· DispatchQuarantine_LegacyLogWithNoMatchingInventory_Returns400
· DispatchQuarantine_WithoutUserClaim_Returns400</t>
        </is>
      </c>
      <c r="D139" s="27" t="inlineStr">
        <is>
          <t>COVERAGE (code-driven)</t>
        </is>
      </c>
      <c r="E139" s="28" t="inlineStr">
        <is>
          <t>P1</t>
        </is>
      </c>
      <c r="F139" s="40" t="inlineStr">
        <is>
          <t>Mock dependency của controller theo tên test</t>
        </is>
      </c>
      <c r="G139" s="27" t="inlineStr">
        <is>
          <t>WarehouseManagementController · WarehouseShiftController.DispatchQuarantine()</t>
        </is>
      </c>
      <c r="H139" s="40" t="inlineStr">
        <is>
          <t>Xem assertion trong file test nguồn (tên test tra ngược 1-1)</t>
        </is>
      </c>
      <c r="I139" s="29" t="inlineStr">
        <is>
          <t>Cả hai</t>
        </is>
      </c>
      <c r="J139" s="39" t="inlineStr">
        <is>
          <t>Pass</t>
        </is>
      </c>
      <c r="K139" s="27" t="n"/>
      <c r="L139" s="40" t="inlineStr">
        <is>
          <t>Coverage 93–100% · nguồn: WarehouseControllersTests.cs · SmallControllersTests.cs</t>
        </is>
      </c>
    </row>
    <row r="140" ht="37.5" customHeight="1">
      <c r="A140" s="31" t="inlineStr">
        <is>
          <t>CVG-115</t>
        </is>
      </c>
      <c r="B140" s="37" t="inlineStr">
        <is>
          <t>Coverage (code-driven)</t>
        </is>
      </c>
      <c r="C140" s="32" t="inlineStr">
        <is>
          <t>GetStaff() — 1 test con [L1-WM-31]
· GetStaff_ReturnsOnlyWarehouseRoles</t>
        </is>
      </c>
      <c r="D140" s="32" t="inlineStr">
        <is>
          <t>COVERAGE (code-driven)</t>
        </is>
      </c>
      <c r="E140" s="28" t="inlineStr">
        <is>
          <t>P1</t>
        </is>
      </c>
      <c r="F140" s="38" t="inlineStr">
        <is>
          <t>Mock dependency của controller theo tên test</t>
        </is>
      </c>
      <c r="G140" s="32" t="inlineStr">
        <is>
          <t>WarehouseManagementController · WarehouseShiftController.GetStaff()</t>
        </is>
      </c>
      <c r="H140" s="38" t="inlineStr">
        <is>
          <t>Xem assertion trong file test nguồn (tên test tra ngược 1-1)</t>
        </is>
      </c>
      <c r="I140" s="32" t="inlineStr">
        <is>
          <t>No</t>
        </is>
      </c>
      <c r="J140" s="39" t="inlineStr">
        <is>
          <t>Pass</t>
        </is>
      </c>
      <c r="K140" s="32" t="n"/>
      <c r="L140" s="42" t="inlineStr">
        <is>
          <t>🔒 CHỐNG RÒ RỈ DỮ LIỆU — seed dữ liệu người dùng khác rồi khẳng định không lọt vào kết quả. Cùng lớp lỗ hổng với IDOR L1-ORD-71 đã vá; giữ nguyên khi refactor.  |  Coverage 93–100% · nguồn: WarehouseControllersTests.cs · SmallControllersTests.cs</t>
        </is>
      </c>
    </row>
    <row r="141" ht="18" customHeight="1">
      <c r="A141" s="50" t="inlineStr">
        <is>
          <t xml:space="preserve">  ▶  Block: OrderService  —  SePayController · OrderController · DeliveryController  ·  coverage 96–100%  ·  StockTransferAndSePayControllerTests.cs · OrderPurchaseOrderControllerTests.cs · DeliveryInventoryAdminControllerTests.cs</t>
        </is>
      </c>
    </row>
    <row r="142" ht="73.5" customHeight="1">
      <c r="A142" s="26" t="inlineStr">
        <is>
          <t>CVG-116</t>
        </is>
      </c>
      <c r="B142" s="37" t="inlineStr">
        <is>
          <t>Coverage (code-driven)</t>
        </is>
      </c>
      <c r="C142" s="27" t="inlineStr">
        <is>
          <t>ScheduleDelivery() — 4 test con [L1-ORD-83 → L1-ORD-86]
· ScheduleDelivery_Success_ReturnsOkAndPassesCallerId
· ScheduleDelivery_WhenVehicleAlreadyBooked_Returns409
· ScheduleDelivery_WhenOrderMissing_Returns400
· ScheduleDelivery_WithoutUserClaim_Returns400</t>
        </is>
      </c>
      <c r="D142" s="27" t="inlineStr">
        <is>
          <t>COVERAGE (code-driven)</t>
        </is>
      </c>
      <c r="E142" s="28" t="inlineStr">
        <is>
          <t>P1</t>
        </is>
      </c>
      <c r="F142" s="40" t="inlineStr">
        <is>
          <t>Mock dependency của controller theo tên test</t>
        </is>
      </c>
      <c r="G142" s="27" t="inlineStr">
        <is>
          <t>SePayController · OrderController · DeliveryController.ScheduleDelivery()</t>
        </is>
      </c>
      <c r="H142" s="40" t="inlineStr">
        <is>
          <t>Xem assertion trong file test nguồn (tên test tra ngược 1-1)</t>
        </is>
      </c>
      <c r="I142" s="29" t="inlineStr">
        <is>
          <t>Cả hai</t>
        </is>
      </c>
      <c r="J142" s="39" t="inlineStr">
        <is>
          <t>Pass</t>
        </is>
      </c>
      <c r="K142" s="27" t="n"/>
      <c r="L142" s="40" t="inlineStr">
        <is>
          <t>Coverage 96–100% · nguồn: StockTransferAndSePayControllerTests.cs · OrderPurchaseOrderControllerTests.cs · DeliveryInventoryAdminControllerTests.cs</t>
        </is>
      </c>
    </row>
    <row r="143" ht="49.5" customHeight="1">
      <c r="A143" s="31" t="inlineStr">
        <is>
          <t>CVG-117</t>
        </is>
      </c>
      <c r="B143" s="37" t="inlineStr">
        <is>
          <t>Coverage (code-driven)</t>
        </is>
      </c>
      <c r="C143" s="32" t="inlineStr">
        <is>
          <t>GetDeliveryOrders() — 2 test con [L1-ORD-87 → L1-ORD-88]
· GetDeliveryOrders_Success_ReturnsOk
· GetDeliveryOrders_WhenServiceThrows_Returns400</t>
        </is>
      </c>
      <c r="D143" s="32" t="inlineStr">
        <is>
          <t>COVERAGE (code-driven)</t>
        </is>
      </c>
      <c r="E143" s="36" t="inlineStr">
        <is>
          <t>P2</t>
        </is>
      </c>
      <c r="F143" s="38" t="inlineStr">
        <is>
          <t>Mock dependency của controller theo tên test</t>
        </is>
      </c>
      <c r="G143" s="32" t="inlineStr">
        <is>
          <t>SePayController · OrderController · DeliveryController.GetDeliveryOrders()</t>
        </is>
      </c>
      <c r="H143" s="38" t="inlineStr">
        <is>
          <t>Xem assertion trong file test nguồn (tên test tra ngược 1-1)</t>
        </is>
      </c>
      <c r="I143" s="35" t="inlineStr">
        <is>
          <t>Cả hai</t>
        </is>
      </c>
      <c r="J143" s="39" t="inlineStr">
        <is>
          <t>Pass</t>
        </is>
      </c>
      <c r="K143" s="32" t="n"/>
      <c r="L143" s="38" t="inlineStr">
        <is>
          <t>Coverage 96–100% · nguồn: StockTransferAndSePayControllerTests.cs · OrderPurchaseOrderControllerTests.cs · DeliveryInventoryAdminControllerTests.cs</t>
        </is>
      </c>
    </row>
    <row r="144" ht="73.5" customHeight="1">
      <c r="A144" s="26" t="inlineStr">
        <is>
          <t>CVG-118</t>
        </is>
      </c>
      <c r="B144" s="37" t="inlineStr">
        <is>
          <t>Coverage (code-driven)</t>
        </is>
      </c>
      <c r="C144" s="27" t="inlineStr">
        <is>
          <t>CompleteDelivery() — 4 test con [L1-ORD-89 → L1-ORD-92]
· CompleteDelivery_Success_ReturnsOk
· CompleteDelivery_WhenOrderMissing_Returns404
· CompleteDelivery_WhenOrderNotInDelivery_Returns400
· CompleteDelivery_WhenServiceThrows_Returns400</t>
        </is>
      </c>
      <c r="D144" s="27" t="inlineStr">
        <is>
          <t>COVERAGE (code-driven)</t>
        </is>
      </c>
      <c r="E144" s="28" t="inlineStr">
        <is>
          <t>P1</t>
        </is>
      </c>
      <c r="F144" s="40" t="inlineStr">
        <is>
          <t>Mock dependency của controller theo tên test</t>
        </is>
      </c>
      <c r="G144" s="27" t="inlineStr">
        <is>
          <t>SePayController · OrderController · DeliveryController.CompleteDelivery()</t>
        </is>
      </c>
      <c r="H144" s="40" t="inlineStr">
        <is>
          <t>Xem assertion trong file test nguồn (tên test tra ngược 1-1)</t>
        </is>
      </c>
      <c r="I144" s="29" t="inlineStr">
        <is>
          <t>Cả hai</t>
        </is>
      </c>
      <c r="J144" s="39" t="inlineStr">
        <is>
          <t>Pass</t>
        </is>
      </c>
      <c r="K144" s="27" t="n"/>
      <c r="L144" s="40" t="inlineStr">
        <is>
          <t>Coverage 96–100% · nguồn: StockTransferAndSePayControllerTests.cs · OrderPurchaseOrderControllerTests.cs · DeliveryInventoryAdminControllerTests.cs</t>
        </is>
      </c>
    </row>
    <row r="145" ht="73.5" customHeight="1">
      <c r="A145" s="31" t="inlineStr">
        <is>
          <t>CVG-119</t>
        </is>
      </c>
      <c r="B145" s="37" t="inlineStr">
        <is>
          <t>Coverage (code-driven)</t>
        </is>
      </c>
      <c r="C145" s="32" t="inlineStr">
        <is>
          <t>RequestCancelPaidOrder() — 4 test con [L1-ORD-93 → L1-ORD-96]
· RequestCancelPaidOrder_Success_ReturnsOkAndForwardsReason
· RequestCancelPaidOrder_WhenOrderMissing_Returns404
· RequestCancelPaidOrder_WhenOrderNotPaid_Returns400
· RequestCancelPaidOrder_WhenServiceThrows_Returns400</t>
        </is>
      </c>
      <c r="D145" s="32" t="inlineStr">
        <is>
          <t>COVERAGE (code-driven)</t>
        </is>
      </c>
      <c r="E145" s="28" t="inlineStr">
        <is>
          <t>P1</t>
        </is>
      </c>
      <c r="F145" s="38" t="inlineStr">
        <is>
          <t>Mock dependency của controller theo tên test</t>
        </is>
      </c>
      <c r="G145" s="32" t="inlineStr">
        <is>
          <t>SePayController · OrderController · DeliveryController.RequestCancelPaidOrder()</t>
        </is>
      </c>
      <c r="H145" s="38" t="inlineStr">
        <is>
          <t>Xem assertion trong file test nguồn (tên test tra ngược 1-1)</t>
        </is>
      </c>
      <c r="I145" s="35" t="inlineStr">
        <is>
          <t>Cả hai</t>
        </is>
      </c>
      <c r="J145" s="39" t="inlineStr">
        <is>
          <t>Pass</t>
        </is>
      </c>
      <c r="K145" s="32" t="n"/>
      <c r="L145" s="38" t="inlineStr">
        <is>
          <t>Coverage 96–100% · nguồn: StockTransferAndSePayControllerTests.cs · OrderPurchaseOrderControllerTests.cs · DeliveryInventoryAdminControllerTests.cs</t>
        </is>
      </c>
    </row>
    <row r="146" ht="73.5" customHeight="1">
      <c r="A146" s="26" t="inlineStr">
        <is>
          <t>CVG-120</t>
        </is>
      </c>
      <c r="B146" s="37" t="inlineStr">
        <is>
          <t>Coverage (code-driven)</t>
        </is>
      </c>
      <c r="C146" s="27" t="inlineStr">
        <is>
          <t>ApproveCancelAndCreateReplacement() — 4 test con [L1-ORD-97 → L1-ORD-100]
· ApproveCancelAndCreateReplacement_Success_ReturnsOk
· ApproveCancelAndCreateReplacement_WhenOriginalOrderMissing_Returns404
· ApproveCancelAndCreateReplacement_WhenAlreadyApproved_Returns400
· ApproveCancelAndCreateReplacement_WhenServiceThrows_Returns400</t>
        </is>
      </c>
      <c r="D146" s="27" t="inlineStr">
        <is>
          <t>COVERAGE (code-driven)</t>
        </is>
      </c>
      <c r="E146" s="28" t="inlineStr">
        <is>
          <t>P1</t>
        </is>
      </c>
      <c r="F146" s="40" t="inlineStr">
        <is>
          <t>Mock dependency của controller theo tên test</t>
        </is>
      </c>
      <c r="G146" s="27" t="inlineStr">
        <is>
          <t>SePayController · OrderController · DeliveryController.ApproveCancelAndCreateReplacement()</t>
        </is>
      </c>
      <c r="H146" s="40" t="inlineStr">
        <is>
          <t>Xem assertion trong file test nguồn (tên test tra ngược 1-1)</t>
        </is>
      </c>
      <c r="I146" s="29" t="inlineStr">
        <is>
          <t>Cả hai</t>
        </is>
      </c>
      <c r="J146" s="39" t="inlineStr">
        <is>
          <t>Pass</t>
        </is>
      </c>
      <c r="K146" s="27" t="n"/>
      <c r="L146" s="40" t="inlineStr">
        <is>
          <t>Coverage 96–100% · nguồn: StockTransferAndSePayControllerTests.cs · OrderPurchaseOrderControllerTests.cs · DeliveryInventoryAdminControllerTests.cs</t>
        </is>
      </c>
    </row>
    <row r="147" ht="73.5" customHeight="1">
      <c r="A147" s="31" t="inlineStr">
        <is>
          <t>CVG-121</t>
        </is>
      </c>
      <c r="B147" s="37" t="inlineStr">
        <is>
          <t>Coverage (code-driven)</t>
        </is>
      </c>
      <c r="C147" s="32" t="inlineStr">
        <is>
          <t>CreateExchangeReplacement() — 4 test con [L1-ORD-101 → L1-ORD-104]
· CreateExchangeReplacement_Success_ReturnsOk
· CreateExchangeReplacement_WhenRequestMissing_Returns404
· CreateExchangeReplacement_WhenRequestNotApproved_Returns400
· CreateExchangeReplacement_WhenServiceThrows_Returns400</t>
        </is>
      </c>
      <c r="D147" s="32" t="inlineStr">
        <is>
          <t>COVERAGE (code-driven)</t>
        </is>
      </c>
      <c r="E147" s="28" t="inlineStr">
        <is>
          <t>P1</t>
        </is>
      </c>
      <c r="F147" s="38" t="inlineStr">
        <is>
          <t>Mock dependency của controller theo tên test</t>
        </is>
      </c>
      <c r="G147" s="32" t="inlineStr">
        <is>
          <t>SePayController · OrderController · DeliveryController.CreateExchangeReplacement()</t>
        </is>
      </c>
      <c r="H147" s="38" t="inlineStr">
        <is>
          <t>Xem assertion trong file test nguồn (tên test tra ngược 1-1)</t>
        </is>
      </c>
      <c r="I147" s="35" t="inlineStr">
        <is>
          <t>Cả hai</t>
        </is>
      </c>
      <c r="J147" s="39" t="inlineStr">
        <is>
          <t>Pass</t>
        </is>
      </c>
      <c r="K147" s="32" t="n"/>
      <c r="L147" s="38" t="inlineStr">
        <is>
          <t>Coverage 96–100% · nguồn: StockTransferAndSePayControllerTests.cs · OrderPurchaseOrderControllerTests.cs · DeliveryInventoryAdminControllerTests.cs</t>
        </is>
      </c>
    </row>
    <row r="148" ht="49.5" customHeight="1">
      <c r="A148" s="26" t="inlineStr">
        <is>
          <t>CVG-122</t>
        </is>
      </c>
      <c r="B148" s="37" t="inlineStr">
        <is>
          <t>Coverage (code-driven)</t>
        </is>
      </c>
      <c r="C148" s="27" t="inlineStr">
        <is>
          <t>GetPendingPickups() — 2 test con [L1-ORD-105 → L1-ORD-106]
· GetPendingPickups_Success_ReturnsOk
· GetPendingPickups_WhenServiceThrows_Returns400</t>
        </is>
      </c>
      <c r="D148" s="27" t="inlineStr">
        <is>
          <t>COVERAGE (code-driven)</t>
        </is>
      </c>
      <c r="E148" s="34" t="inlineStr">
        <is>
          <t>P2</t>
        </is>
      </c>
      <c r="F148" s="40" t="inlineStr">
        <is>
          <t>Mock dependency của controller theo tên test</t>
        </is>
      </c>
      <c r="G148" s="27" t="inlineStr">
        <is>
          <t>SePayController · OrderController · DeliveryController.GetPendingPickups()</t>
        </is>
      </c>
      <c r="H148" s="40" t="inlineStr">
        <is>
          <t>Xem assertion trong file test nguồn (tên test tra ngược 1-1)</t>
        </is>
      </c>
      <c r="I148" s="29" t="inlineStr">
        <is>
          <t>Cả hai</t>
        </is>
      </c>
      <c r="J148" s="39" t="inlineStr">
        <is>
          <t>Pass</t>
        </is>
      </c>
      <c r="K148" s="27" t="n"/>
      <c r="L148" s="40" t="inlineStr">
        <is>
          <t>Coverage 96–100% · nguồn: StockTransferAndSePayControllerTests.cs · OrderPurchaseOrderControllerTests.cs · DeliveryInventoryAdminControllerTests.cs</t>
        </is>
      </c>
    </row>
    <row r="149" ht="73.5" customHeight="1">
      <c r="A149" s="31" t="inlineStr">
        <is>
          <t>CVG-123</t>
        </is>
      </c>
      <c r="B149" s="37" t="inlineStr">
        <is>
          <t>Coverage (code-driven)</t>
        </is>
      </c>
      <c r="C149" s="32" t="inlineStr">
        <is>
          <t>SchedulePickup() — 4 test con [L1-ORD-107 → L1-ORD-110]
· SchedulePickup_Success_ReturnsOk
· SchedulePickup_WhenRequestMissing_Returns404
· SchedulePickup_WhenWrongState_Returns400
· SchedulePickup_WhenServiceThrows_Returns400</t>
        </is>
      </c>
      <c r="D149" s="32" t="inlineStr">
        <is>
          <t>COVERAGE (code-driven)</t>
        </is>
      </c>
      <c r="E149" s="36" t="inlineStr">
        <is>
          <t>P2</t>
        </is>
      </c>
      <c r="F149" s="38" t="inlineStr">
        <is>
          <t>Mock dependency của controller theo tên test</t>
        </is>
      </c>
      <c r="G149" s="32" t="inlineStr">
        <is>
          <t>SePayController · OrderController · DeliveryController.SchedulePickup()</t>
        </is>
      </c>
      <c r="H149" s="38" t="inlineStr">
        <is>
          <t>Xem assertion trong file test nguồn (tên test tra ngược 1-1)</t>
        </is>
      </c>
      <c r="I149" s="35" t="inlineStr">
        <is>
          <t>Cả hai</t>
        </is>
      </c>
      <c r="J149" s="39" t="inlineStr">
        <is>
          <t>Pass</t>
        </is>
      </c>
      <c r="K149" s="32" t="n"/>
      <c r="L149" s="38" t="inlineStr">
        <is>
          <t>Coverage 96–100% · nguồn: StockTransferAndSePayControllerTests.cs · OrderPurchaseOrderControllerTests.cs · DeliveryInventoryAdminControllerTests.cs</t>
        </is>
      </c>
    </row>
    <row r="150" ht="73.5" customHeight="1">
      <c r="A150" s="26" t="inlineStr">
        <is>
          <t>CVG-124</t>
        </is>
      </c>
      <c r="B150" s="37" t="inlineStr">
        <is>
          <t>Coverage (code-driven)</t>
        </is>
      </c>
      <c r="C150" s="27" t="inlineStr">
        <is>
          <t>ConfirmPickup() — 4 test con [L1-ORD-111 → L1-ORD-114]
· ConfirmPickup_Success_ReturnsOk
· ConfirmPickup_WhenRequestMissing_Returns404
· ConfirmPickup_WhenNotScheduledYet_Returns400
· ConfirmPickup_WhenServiceThrows_Returns400</t>
        </is>
      </c>
      <c r="D150" s="27" t="inlineStr">
        <is>
          <t>COVERAGE (code-driven)</t>
        </is>
      </c>
      <c r="E150" s="28" t="inlineStr">
        <is>
          <t>P1</t>
        </is>
      </c>
      <c r="F150" s="40" t="inlineStr">
        <is>
          <t>Mock dependency của controller theo tên test</t>
        </is>
      </c>
      <c r="G150" s="27" t="inlineStr">
        <is>
          <t>SePayController · OrderController · DeliveryController.ConfirmPickup()</t>
        </is>
      </c>
      <c r="H150" s="40" t="inlineStr">
        <is>
          <t>Xem assertion trong file test nguồn (tên test tra ngược 1-1)</t>
        </is>
      </c>
      <c r="I150" s="29" t="inlineStr">
        <is>
          <t>Cả hai</t>
        </is>
      </c>
      <c r="J150" s="39" t="inlineStr">
        <is>
          <t>Pass</t>
        </is>
      </c>
      <c r="K150" s="27" t="n"/>
      <c r="L150" s="40" t="inlineStr">
        <is>
          <t>Coverage 96–100% · nguồn: StockTransferAndSePayControllerTests.cs · OrderPurchaseOrderControllerTests.cs · DeliveryInventoryAdminControllerTests.cs</t>
        </is>
      </c>
    </row>
    <row r="151" ht="18" customHeight="1">
      <c r="A151" s="50" t="inlineStr">
        <is>
          <t xml:space="preserve">  ▶  Block: InventoryService  —  InventoryController  ·  coverage 100%  ·  DeliveryInventoryAdminControllerTests.cs</t>
        </is>
      </c>
    </row>
    <row r="152" ht="49.5" customHeight="1">
      <c r="A152" s="31" t="inlineStr">
        <is>
          <t>CVG-125</t>
        </is>
      </c>
      <c r="B152" s="37" t="inlineStr">
        <is>
          <t>Coverage (code-driven)</t>
        </is>
      </c>
      <c r="C152" s="32" t="inlineStr">
        <is>
          <t>GetInventoryReport() — 2 test con [L1-INV-06 → L1-INV-07]
· GetInventoryReport_PassesAllFiltersThrough
· GetInventoryReport_WhenDateRangeInvalid_Returns400</t>
        </is>
      </c>
      <c r="D152" s="32" t="inlineStr">
        <is>
          <t>COVERAGE (code-driven)</t>
        </is>
      </c>
      <c r="E152" s="36" t="inlineStr">
        <is>
          <t>P2</t>
        </is>
      </c>
      <c r="F152" s="38" t="inlineStr">
        <is>
          <t>Mock dependency của controller theo tên test</t>
        </is>
      </c>
      <c r="G152" s="32" t="inlineStr">
        <is>
          <t>InventoryController.GetInventoryReport()</t>
        </is>
      </c>
      <c r="H152" s="38" t="inlineStr">
        <is>
          <t>Xem assertion trong file test nguồn (tên test tra ngược 1-1)</t>
        </is>
      </c>
      <c r="I152" s="35" t="inlineStr">
        <is>
          <t>Cả hai</t>
        </is>
      </c>
      <c r="J152" s="39" t="inlineStr">
        <is>
          <t>Pass</t>
        </is>
      </c>
      <c r="K152" s="32" t="n"/>
      <c r="L152" s="38" t="inlineStr">
        <is>
          <t>Coverage 100% · nguồn: DeliveryInventoryAdminControllerTests.cs</t>
        </is>
      </c>
    </row>
    <row r="153" ht="49.5" customHeight="1">
      <c r="A153" s="26" t="inlineStr">
        <is>
          <t>CVG-126</t>
        </is>
      </c>
      <c r="B153" s="37" t="inlineStr">
        <is>
          <t>Coverage (code-driven)</t>
        </is>
      </c>
      <c r="C153" s="27" t="inlineStr">
        <is>
          <t>GetSlowMovingItems() — 2 test con [L1-INV-08 → L1-INV-09]
· GetSlowMovingItems_UsesDefault14DaysWhenNotSupplied
· GetSlowMovingItems_WhenDaysInvalid_Returns400</t>
        </is>
      </c>
      <c r="D153" s="27" t="inlineStr">
        <is>
          <t>COVERAGE (code-driven)</t>
        </is>
      </c>
      <c r="E153" s="34" t="inlineStr">
        <is>
          <t>P2</t>
        </is>
      </c>
      <c r="F153" s="40" t="inlineStr">
        <is>
          <t>Mock dependency của controller theo tên test</t>
        </is>
      </c>
      <c r="G153" s="27" t="inlineStr">
        <is>
          <t>InventoryController.GetSlowMovingItems()</t>
        </is>
      </c>
      <c r="H153" s="40" t="inlineStr">
        <is>
          <t>Xem assertion trong file test nguồn (tên test tra ngược 1-1)</t>
        </is>
      </c>
      <c r="I153" s="29" t="inlineStr">
        <is>
          <t>Cả hai</t>
        </is>
      </c>
      <c r="J153" s="39" t="inlineStr">
        <is>
          <t>Pass</t>
        </is>
      </c>
      <c r="K153" s="27" t="n"/>
      <c r="L153" s="40" t="inlineStr">
        <is>
          <t>Coverage 100% · nguồn: DeliveryInventoryAdminControllerTests.cs</t>
        </is>
      </c>
    </row>
    <row r="154" ht="109.5" customHeight="1">
      <c r="A154" s="31" t="inlineStr">
        <is>
          <t>CVG-127</t>
        </is>
      </c>
      <c r="B154" s="37" t="inlineStr">
        <is>
          <t>Coverage (code-driven)</t>
        </is>
      </c>
      <c r="C154" s="32" t="inlineStr">
        <is>
          <t>SubmitShiftCount() — 7 test con [L1-INV-10 → L1-INV-16]
· SubmitShiftCount_Success_ReturnsOkWithStaffIdFromToken
· SubmitShiftCount_WhenPayloadInvalid_Returns400
· SubmitShiftCount_WhenShiftMissing_Returns404
· SubmitShiftCount_WhenStaffOfAnotherWarehouse_Returns403
· SubmitShiftCount_WhenConcurrent_Returns409
· SubmitShiftCount_WhenServiceThrows_Returns400
· SubmitShiftCount_WithoutUserClaim_Returns403</t>
        </is>
      </c>
      <c r="D154" s="32" t="inlineStr">
        <is>
          <t>COVERAGE (code-driven)</t>
        </is>
      </c>
      <c r="E154" s="28" t="inlineStr">
        <is>
          <t>P1</t>
        </is>
      </c>
      <c r="F154" s="38" t="inlineStr">
        <is>
          <t>Mock dependency của controller theo tên test</t>
        </is>
      </c>
      <c r="G154" s="32" t="inlineStr">
        <is>
          <t>InventoryController.SubmitShiftCount()</t>
        </is>
      </c>
      <c r="H154" s="38" t="inlineStr">
        <is>
          <t>Xem assertion trong file test nguồn (tên test tra ngược 1-1)</t>
        </is>
      </c>
      <c r="I154" s="35" t="inlineStr">
        <is>
          <t>Cả hai</t>
        </is>
      </c>
      <c r="J154" s="39" t="inlineStr">
        <is>
          <t>Pass</t>
        </is>
      </c>
      <c r="K154" s="32" t="n"/>
      <c r="L154" s="42" t="inlineStr">
        <is>
          <t>⚠ Nhánh DbUpdateConcurrencyException → 409 KHÔNG chạy được qua HTTP thật khi bảng thiếu RowVersion (GH-04) — mock là cách duy nhất chạm tới.  |  Coverage 100% · nguồn: DeliveryInventoryAdminControllerTests.cs</t>
        </is>
      </c>
    </row>
    <row r="155" ht="61.5" customHeight="1">
      <c r="A155" s="26" t="inlineStr">
        <is>
          <t>CVG-128</t>
        </is>
      </c>
      <c r="B155" s="37" t="inlineStr">
        <is>
          <t>Coverage (code-driven)</t>
        </is>
      </c>
      <c r="C155" s="27" t="inlineStr">
        <is>
          <t>GetWarehouseInventory() — 3 test con [L1-INV-17 → L1-INV-19]
· GetWarehouseInventory_ClampsPagingToSafeRange
· GetWarehouseInventory_WhenPageSizeNonPositive_FallsBackTo10
· GetWarehouseInventory_WhenServiceThrows_Returns400</t>
        </is>
      </c>
      <c r="D155" s="27" t="inlineStr">
        <is>
          <t>COVERAGE (code-driven)</t>
        </is>
      </c>
      <c r="E155" s="34" t="inlineStr">
        <is>
          <t>P2</t>
        </is>
      </c>
      <c r="F155" s="40" t="inlineStr">
        <is>
          <t>Mock dependency của controller theo tên test</t>
        </is>
      </c>
      <c r="G155" s="27" t="inlineStr">
        <is>
          <t>InventoryController.GetWarehouseInventory()</t>
        </is>
      </c>
      <c r="H155" s="40" t="inlineStr">
        <is>
          <t>Xem assertion trong file test nguồn (tên test tra ngược 1-1)</t>
        </is>
      </c>
      <c r="I155" s="29" t="inlineStr">
        <is>
          <t>Cả hai</t>
        </is>
      </c>
      <c r="J155" s="39" t="inlineStr">
        <is>
          <t>Pass</t>
        </is>
      </c>
      <c r="K155" s="27" t="n"/>
      <c r="L155" s="40" t="inlineStr">
        <is>
          <t>Coverage 100% · nguồn: DeliveryInventoryAdminControllerTests.cs</t>
        </is>
      </c>
    </row>
    <row r="156" ht="85.5" customHeight="1">
      <c r="A156" s="31" t="inlineStr">
        <is>
          <t>CVG-129</t>
        </is>
      </c>
      <c r="B156" s="37" t="inlineStr">
        <is>
          <t>Coverage (code-driven)</t>
        </is>
      </c>
      <c r="C156" s="32" t="inlineStr">
        <is>
          <t>AdjustInventory() — 5 test con [L1-INV-20 → L1-INV-24]
· AdjustInventory_Success_ReturnsOk
· AdjustInventory_WhenInventoryMissing_Returns404
· AdjustInventory_WhenStaffOfAnotherWarehouse_Returns403
· AdjustInventory_WhenConcurrent_Returns409
· AdjustInventory_WhenServiceThrows_Returns400</t>
        </is>
      </c>
      <c r="D156" s="32" t="inlineStr">
        <is>
          <t>COVERAGE (code-driven)</t>
        </is>
      </c>
      <c r="E156" s="28" t="inlineStr">
        <is>
          <t>P1</t>
        </is>
      </c>
      <c r="F156" s="38" t="inlineStr">
        <is>
          <t>Mock dependency của controller theo tên test</t>
        </is>
      </c>
      <c r="G156" s="32" t="inlineStr">
        <is>
          <t>InventoryController.AdjustInventory()</t>
        </is>
      </c>
      <c r="H156" s="38" t="inlineStr">
        <is>
          <t>Xem assertion trong file test nguồn (tên test tra ngược 1-1)</t>
        </is>
      </c>
      <c r="I156" s="35" t="inlineStr">
        <is>
          <t>Cả hai</t>
        </is>
      </c>
      <c r="J156" s="39" t="inlineStr">
        <is>
          <t>Pass</t>
        </is>
      </c>
      <c r="K156" s="32" t="n"/>
      <c r="L156" s="42" t="inlineStr">
        <is>
          <t>⚠ Nhánh DbUpdateConcurrencyException → 409 KHÔNG chạy được qua HTTP thật khi bảng thiếu RowVersion (GH-04) — mock là cách duy nhất chạm tới.  |  Coverage 100% · nguồn: DeliveryInventoryAdminControllerTests.cs</t>
        </is>
      </c>
    </row>
    <row r="157" ht="73.5" customHeight="1">
      <c r="A157" s="26" t="inlineStr">
        <is>
          <t>CVG-130</t>
        </is>
      </c>
      <c r="B157" s="37" t="inlineStr">
        <is>
          <t>Coverage (code-driven)</t>
        </is>
      </c>
      <c r="C157" s="27" t="inlineStr">
        <is>
          <t>AddInventory() — 4 test con [L1-INV-25 → L1-INV-28]
· AddInventory_Success_ReturnsOk
· AddInventory_WhenProductMissing_Returns404
· AddInventory_WhenProductAlreadyInWarehouse_Returns409
· AddInventory_WhenServiceThrows_Returns400</t>
        </is>
      </c>
      <c r="D157" s="27" t="inlineStr">
        <is>
          <t>COVERAGE (code-driven)</t>
        </is>
      </c>
      <c r="E157" s="28" t="inlineStr">
        <is>
          <t>P1</t>
        </is>
      </c>
      <c r="F157" s="40" t="inlineStr">
        <is>
          <t>Mock dependency của controller theo tên test</t>
        </is>
      </c>
      <c r="G157" s="27" t="inlineStr">
        <is>
          <t>InventoryController.AddInventory()</t>
        </is>
      </c>
      <c r="H157" s="40" t="inlineStr">
        <is>
          <t>Xem assertion trong file test nguồn (tên test tra ngược 1-1)</t>
        </is>
      </c>
      <c r="I157" s="29" t="inlineStr">
        <is>
          <t>Cả hai</t>
        </is>
      </c>
      <c r="J157" s="39" t="inlineStr">
        <is>
          <t>Pass</t>
        </is>
      </c>
      <c r="K157" s="27" t="n"/>
      <c r="L157" s="40" t="inlineStr">
        <is>
          <t>Coverage 100% · nguồn: DeliveryInventoryAdminControllerTests.cs</t>
        </is>
      </c>
    </row>
    <row r="158" ht="18" customHeight="1">
      <c r="A158" s="50" t="inlineStr">
        <is>
          <t xml:space="preserve">  ▶  Block: AdminUserService  —  AdminUsersController  ·  coverage 98,5%  ·  DeliveryInventoryAdminControllerTests.cs</t>
        </is>
      </c>
    </row>
    <row r="159" ht="49.5" customHeight="1">
      <c r="A159" s="31" t="inlineStr">
        <is>
          <t>CVG-131</t>
        </is>
      </c>
      <c r="B159" s="37" t="inlineStr">
        <is>
          <t>Coverage (code-driven)</t>
        </is>
      </c>
      <c r="C159" s="32" t="inlineStr">
        <is>
          <t>Search() — 2 test con [L1-ADM-10 → L1-ADM-11]
· Search_Success_ReturnsOk
· Search_WhenServiceThrows_Returns400</t>
        </is>
      </c>
      <c r="D159" s="32" t="inlineStr">
        <is>
          <t>COVERAGE (code-driven)</t>
        </is>
      </c>
      <c r="E159" s="36" t="inlineStr">
        <is>
          <t>P2</t>
        </is>
      </c>
      <c r="F159" s="38" t="inlineStr">
        <is>
          <t>Mock dependency của controller theo tên test</t>
        </is>
      </c>
      <c r="G159" s="32" t="inlineStr">
        <is>
          <t>AdminUsersController.Search()</t>
        </is>
      </c>
      <c r="H159" s="38" t="inlineStr">
        <is>
          <t>Xem assertion trong file test nguồn (tên test tra ngược 1-1)</t>
        </is>
      </c>
      <c r="I159" s="35" t="inlineStr">
        <is>
          <t>Cả hai</t>
        </is>
      </c>
      <c r="J159" s="39" t="inlineStr">
        <is>
          <t>Pass</t>
        </is>
      </c>
      <c r="K159" s="32" t="n"/>
      <c r="L159" s="38" t="inlineStr">
        <is>
          <t>Coverage 98,5% · nguồn: DeliveryInventoryAdminControllerTests.cs</t>
        </is>
      </c>
    </row>
    <row r="160" ht="61.5" customHeight="1">
      <c r="A160" s="26" t="inlineStr">
        <is>
          <t>CVG-132</t>
        </is>
      </c>
      <c r="B160" s="37" t="inlineStr">
        <is>
          <t>Coverage (code-driven)</t>
        </is>
      </c>
      <c r="C160" s="27" t="inlineStr">
        <is>
          <t>GetById() — 3 test con [L1-ADM-12 → L1-ADM-14]
· GetById_Success_ReturnsOk
· GetById_WhenMissing_Returns404
· GetById_WhenServiceThrows_Returns400</t>
        </is>
      </c>
      <c r="D160" s="27" t="inlineStr">
        <is>
          <t>COVERAGE (code-driven)</t>
        </is>
      </c>
      <c r="E160" s="34" t="inlineStr">
        <is>
          <t>P2</t>
        </is>
      </c>
      <c r="F160" s="40" t="inlineStr">
        <is>
          <t>Mock dependency của controller theo tên test</t>
        </is>
      </c>
      <c r="G160" s="27" t="inlineStr">
        <is>
          <t>AdminUsersController.GetById()</t>
        </is>
      </c>
      <c r="H160" s="40" t="inlineStr">
        <is>
          <t>Xem assertion trong file test nguồn (tên test tra ngược 1-1)</t>
        </is>
      </c>
      <c r="I160" s="29" t="inlineStr">
        <is>
          <t>Cả hai</t>
        </is>
      </c>
      <c r="J160" s="39" t="inlineStr">
        <is>
          <t>Pass</t>
        </is>
      </c>
      <c r="K160" s="27" t="n"/>
      <c r="L160" s="40" t="inlineStr">
        <is>
          <t>Coverage 98,5% · nguồn: DeliveryInventoryAdminControllerTests.cs</t>
        </is>
      </c>
    </row>
    <row r="161" ht="61.5" customHeight="1">
      <c r="A161" s="31" t="inlineStr">
        <is>
          <t>CVG-133</t>
        </is>
      </c>
      <c r="B161" s="37" t="inlineStr">
        <is>
          <t>Coverage (code-driven)</t>
        </is>
      </c>
      <c r="C161" s="32" t="inlineStr">
        <is>
          <t>Create() — 3 test con [L1-ADM-15 → L1-ADM-17]
· Create_Success_PassesActorIdentityForAuditTrail
· Create_WhenEmailDuplicated_Returns409
· Create_WhenServiceThrows_Returns400</t>
        </is>
      </c>
      <c r="D161" s="32" t="inlineStr">
        <is>
          <t>COVERAGE (code-driven)</t>
        </is>
      </c>
      <c r="E161" s="28" t="inlineStr">
        <is>
          <t>P1</t>
        </is>
      </c>
      <c r="F161" s="38" t="inlineStr">
        <is>
          <t>Mock dependency của controller theo tên test</t>
        </is>
      </c>
      <c r="G161" s="32" t="inlineStr">
        <is>
          <t>AdminUsersController.Create()</t>
        </is>
      </c>
      <c r="H161" s="38" t="inlineStr">
        <is>
          <t>Xem assertion trong file test nguồn (tên test tra ngược 1-1)</t>
        </is>
      </c>
      <c r="I161" s="35" t="inlineStr">
        <is>
          <t>Cả hai</t>
        </is>
      </c>
      <c r="J161" s="39" t="inlineStr">
        <is>
          <t>Pass</t>
        </is>
      </c>
      <c r="K161" s="32" t="n"/>
      <c r="L161" s="38" t="inlineStr">
        <is>
          <t>Coverage 98,5% · nguồn: DeliveryInventoryAdminControllerTests.cs</t>
        </is>
      </c>
    </row>
    <row r="162" ht="73.5" customHeight="1">
      <c r="A162" s="26" t="inlineStr">
        <is>
          <t>CVG-134</t>
        </is>
      </c>
      <c r="B162" s="37" t="inlineStr">
        <is>
          <t>Coverage (code-driven)</t>
        </is>
      </c>
      <c r="C162" s="27" t="inlineStr">
        <is>
          <t>ChangeRole() — 4 test con [L1-ADM-18 → L1-ADM-21]
· ChangeRole_Success_ReturnsOk
· ChangeRole_WhenUserMissing_Returns404
· ChangeRole_WhenSelfDemotionBlocked_Returns409
· ChangeRole_WhenServiceThrows_Returns400</t>
        </is>
      </c>
      <c r="D162" s="27" t="inlineStr">
        <is>
          <t>COVERAGE (code-driven)</t>
        </is>
      </c>
      <c r="E162" s="28" t="inlineStr">
        <is>
          <t>P1</t>
        </is>
      </c>
      <c r="F162" s="40" t="inlineStr">
        <is>
          <t>Mock dependency của controller theo tên test</t>
        </is>
      </c>
      <c r="G162" s="27" t="inlineStr">
        <is>
          <t>AdminUsersController.ChangeRole()</t>
        </is>
      </c>
      <c r="H162" s="40" t="inlineStr">
        <is>
          <t>Xem assertion trong file test nguồn (tên test tra ngược 1-1)</t>
        </is>
      </c>
      <c r="I162" s="29" t="inlineStr">
        <is>
          <t>Cả hai</t>
        </is>
      </c>
      <c r="J162" s="39" t="inlineStr">
        <is>
          <t>Pass</t>
        </is>
      </c>
      <c r="K162" s="27" t="n"/>
      <c r="L162" s="40" t="inlineStr">
        <is>
          <t>Coverage 98,5% · nguồn: DeliveryInventoryAdminControllerTests.cs</t>
        </is>
      </c>
    </row>
    <row r="163" ht="73.5" customHeight="1">
      <c r="A163" s="31" t="inlineStr">
        <is>
          <t>CVG-135</t>
        </is>
      </c>
      <c r="B163" s="37" t="inlineStr">
        <is>
          <t>Coverage (code-driven)</t>
        </is>
      </c>
      <c r="C163" s="32" t="inlineStr">
        <is>
          <t>SetStatus() — 4 test con [L1-ADM-22 → L1-ADM-25]
· SetStatus_Success_ReturnsOk
· SetStatus_WhenUserMissing_Returns404
· SetStatus_WhenSelfDeactivationBlocked_Returns409
· SetStatus_WhenServiceThrows_Returns400</t>
        </is>
      </c>
      <c r="D163" s="32" t="inlineStr">
        <is>
          <t>COVERAGE (code-driven)</t>
        </is>
      </c>
      <c r="E163" s="28" t="inlineStr">
        <is>
          <t>P1</t>
        </is>
      </c>
      <c r="F163" s="38" t="inlineStr">
        <is>
          <t>Mock dependency của controller theo tên test</t>
        </is>
      </c>
      <c r="G163" s="32" t="inlineStr">
        <is>
          <t>AdminUsersController.SetStatus()</t>
        </is>
      </c>
      <c r="H163" s="38" t="inlineStr">
        <is>
          <t>Xem assertion trong file test nguồn (tên test tra ngược 1-1)</t>
        </is>
      </c>
      <c r="I163" s="35" t="inlineStr">
        <is>
          <t>Cả hai</t>
        </is>
      </c>
      <c r="J163" s="39" t="inlineStr">
        <is>
          <t>Pass</t>
        </is>
      </c>
      <c r="K163" s="32" t="n"/>
      <c r="L163" s="38" t="inlineStr">
        <is>
          <t>Coverage 98,5% · nguồn: DeliveryInventoryAdminControllerTests.cs</t>
        </is>
      </c>
    </row>
    <row r="164" ht="18" customHeight="1">
      <c r="A164" s="50" t="inlineStr">
        <is>
          <t xml:space="preserve">  ▶  Block: MarketingPostService  —  MarketingPostController  ·  coverage 100%  ·  DeliveryInventoryAdminControllerTests.cs</t>
        </is>
      </c>
    </row>
    <row r="165" ht="49.5" customHeight="1">
      <c r="A165" s="26" t="inlineStr">
        <is>
          <t>CVG-136</t>
        </is>
      </c>
      <c r="B165" s="37" t="inlineStr">
        <is>
          <t>Coverage (code-driven)</t>
        </is>
      </c>
      <c r="C165" s="27" t="inlineStr">
        <is>
          <t>GenerateOptions() — 2 test con [L1-MKT-15 → L1-MKT-16]
· GenerateOptions_Success_ReturnsOk
· GenerateOptions_WhenAiUnavailable_Returns400</t>
        </is>
      </c>
      <c r="D165" s="27" t="inlineStr">
        <is>
          <t>COVERAGE (code-driven)</t>
        </is>
      </c>
      <c r="E165" s="34" t="inlineStr">
        <is>
          <t>P2</t>
        </is>
      </c>
      <c r="F165" s="40" t="inlineStr">
        <is>
          <t>Mock dependency của controller theo tên test</t>
        </is>
      </c>
      <c r="G165" s="27" t="inlineStr">
        <is>
          <t>MarketingPostController.GenerateOptions()</t>
        </is>
      </c>
      <c r="H165" s="40" t="inlineStr">
        <is>
          <t>Xem assertion trong file test nguồn (tên test tra ngược 1-1)</t>
        </is>
      </c>
      <c r="I165" s="29" t="inlineStr">
        <is>
          <t>Cả hai</t>
        </is>
      </c>
      <c r="J165" s="39" t="inlineStr">
        <is>
          <t>Pass</t>
        </is>
      </c>
      <c r="K165" s="27" t="n"/>
      <c r="L165" s="40" t="inlineStr">
        <is>
          <t>Coverage 100% · nguồn: DeliveryInventoryAdminControllerTests.cs</t>
        </is>
      </c>
    </row>
    <row r="166" ht="61.5" customHeight="1">
      <c r="A166" s="31" t="inlineStr">
        <is>
          <t>CVG-137</t>
        </is>
      </c>
      <c r="B166" s="37" t="inlineStr">
        <is>
          <t>Coverage (code-driven)</t>
        </is>
      </c>
      <c r="C166" s="32" t="inlineStr">
        <is>
          <t>GetPosts() — 3 test con [L1-MKT-17 → L1-MKT-19]
· GetPosts_PassesRoleAndUserIdForScoping
· GetPosts_WithoutUserClaim_FallsBackToEmptyGuid
· GetPosts_WhenServiceThrows_Returns400</t>
        </is>
      </c>
      <c r="D166" s="32" t="inlineStr">
        <is>
          <t>COVERAGE (code-driven)</t>
        </is>
      </c>
      <c r="E166" s="28" t="inlineStr">
        <is>
          <t>P1</t>
        </is>
      </c>
      <c r="F166" s="38" t="inlineStr">
        <is>
          <t>Mock dependency của controller theo tên test</t>
        </is>
      </c>
      <c r="G166" s="32" t="inlineStr">
        <is>
          <t>MarketingPostController.GetPosts()</t>
        </is>
      </c>
      <c r="H166" s="38" t="inlineStr">
        <is>
          <t>Xem assertion trong file test nguồn (tên test tra ngược 1-1)</t>
        </is>
      </c>
      <c r="I166" s="35" t="inlineStr">
        <is>
          <t>Cả hai</t>
        </is>
      </c>
      <c r="J166" s="39" t="inlineStr">
        <is>
          <t>Pass</t>
        </is>
      </c>
      <c r="K166" s="32" t="n"/>
      <c r="L166" s="38" t="inlineStr">
        <is>
          <t>Coverage 100% · nguồn: DeliveryInventoryAdminControllerTests.cs</t>
        </is>
      </c>
    </row>
    <row r="167" ht="49.5" customHeight="1">
      <c r="A167" s="26" t="inlineStr">
        <is>
          <t>CVG-138</t>
        </is>
      </c>
      <c r="B167" s="37" t="inlineStr">
        <is>
          <t>Coverage (code-driven)</t>
        </is>
      </c>
      <c r="C167" s="27" t="inlineStr">
        <is>
          <t>GetPostById() — 2 test con [L1-MKT-20 → L1-MKT-21]
· GetPostById_Success_ReturnsOk
· GetPostById_WhenMissing_Returns404</t>
        </is>
      </c>
      <c r="D167" s="27" t="inlineStr">
        <is>
          <t>COVERAGE (code-driven)</t>
        </is>
      </c>
      <c r="E167" s="28" t="inlineStr">
        <is>
          <t>P1</t>
        </is>
      </c>
      <c r="F167" s="40" t="inlineStr">
        <is>
          <t>Mock dependency của controller theo tên test</t>
        </is>
      </c>
      <c r="G167" s="27" t="inlineStr">
        <is>
          <t>MarketingPostController.GetPostById()</t>
        </is>
      </c>
      <c r="H167" s="40" t="inlineStr">
        <is>
          <t>Xem assertion trong file test nguồn (tên test tra ngược 1-1)</t>
        </is>
      </c>
      <c r="I167" s="29" t="inlineStr">
        <is>
          <t>Cả hai</t>
        </is>
      </c>
      <c r="J167" s="39" t="inlineStr">
        <is>
          <t>Pass</t>
        </is>
      </c>
      <c r="K167" s="27" t="n"/>
      <c r="L167" s="40" t="inlineStr">
        <is>
          <t>Coverage 100% · nguồn: DeliveryInventoryAdminControllerTests.cs</t>
        </is>
      </c>
    </row>
    <row r="168" ht="61.5" customHeight="1">
      <c r="A168" s="31" t="inlineStr">
        <is>
          <t>CVG-139</t>
        </is>
      </c>
      <c r="B168" s="37" t="inlineStr">
        <is>
          <t>Coverage (code-driven)</t>
        </is>
      </c>
      <c r="C168" s="32" t="inlineStr">
        <is>
          <t>CreatePost() — 3 test con [L1-MKT-22 → L1-MKT-24]
· CreatePost_WithoutUserClaim_Returns401
· CreatePost_Success_ReturnsOk
· CreatePost_WhenServiceThrows_Returns400</t>
        </is>
      </c>
      <c r="D168" s="32" t="inlineStr">
        <is>
          <t>COVERAGE (code-driven)</t>
        </is>
      </c>
      <c r="E168" s="28" t="inlineStr">
        <is>
          <t>P1</t>
        </is>
      </c>
      <c r="F168" s="38" t="inlineStr">
        <is>
          <t>Mock dependency của controller theo tên test</t>
        </is>
      </c>
      <c r="G168" s="32" t="inlineStr">
        <is>
          <t>MarketingPostController.CreatePost()</t>
        </is>
      </c>
      <c r="H168" s="38" t="inlineStr">
        <is>
          <t>Xem assertion trong file test nguồn (tên test tra ngược 1-1)</t>
        </is>
      </c>
      <c r="I168" s="35" t="inlineStr">
        <is>
          <t>Cả hai</t>
        </is>
      </c>
      <c r="J168" s="39" t="inlineStr">
        <is>
          <t>Pass</t>
        </is>
      </c>
      <c r="K168" s="32" t="n"/>
      <c r="L168" s="38" t="inlineStr">
        <is>
          <t>Coverage 100% · nguồn: DeliveryInventoryAdminControllerTests.cs</t>
        </is>
      </c>
    </row>
    <row r="169" ht="73.5" customHeight="1">
      <c r="A169" s="26" t="inlineStr">
        <is>
          <t>CVG-140</t>
        </is>
      </c>
      <c r="B169" s="37" t="inlineStr">
        <is>
          <t>Coverage (code-driven)</t>
        </is>
      </c>
      <c r="C169" s="27" t="inlineStr">
        <is>
          <t>UpdatePost() — 4 test con [L1-MKT-25 → L1-MKT-28]
· UpdatePost_WithoutUserClaim_Returns401
· UpdatePost_Success_ReturnsOk
· UpdatePost_WhenNotOwner_Returns403
· UpdatePost_WhenAlreadyPublished_Returns400</t>
        </is>
      </c>
      <c r="D169" s="27" t="inlineStr">
        <is>
          <t>COVERAGE (code-driven)</t>
        </is>
      </c>
      <c r="E169" s="28" t="inlineStr">
        <is>
          <t>P1</t>
        </is>
      </c>
      <c r="F169" s="40" t="inlineStr">
        <is>
          <t>Mock dependency của controller theo tên test</t>
        </is>
      </c>
      <c r="G169" s="27" t="inlineStr">
        <is>
          <t>MarketingPostController.UpdatePost()</t>
        </is>
      </c>
      <c r="H169" s="40" t="inlineStr">
        <is>
          <t>Xem assertion trong file test nguồn (tên test tra ngược 1-1)</t>
        </is>
      </c>
      <c r="I169" s="29" t="inlineStr">
        <is>
          <t>Cả hai</t>
        </is>
      </c>
      <c r="J169" s="39" t="inlineStr">
        <is>
          <t>Pass</t>
        </is>
      </c>
      <c r="K169" s="27" t="n"/>
      <c r="L169" s="40" t="inlineStr">
        <is>
          <t>Coverage 100% · nguồn: DeliveryInventoryAdminControllerTests.cs</t>
        </is>
      </c>
    </row>
    <row r="170" ht="73.5" customHeight="1">
      <c r="A170" s="31" t="inlineStr">
        <is>
          <t>CVG-141</t>
        </is>
      </c>
      <c r="B170" s="37" t="inlineStr">
        <is>
          <t>Coverage (code-driven)</t>
        </is>
      </c>
      <c r="C170" s="32" t="inlineStr">
        <is>
          <t>SubmitPost() — 4 test con [L1-MKT-29 → L1-MKT-32]
· SubmitPost_WithoutUserClaim_Returns401
· SubmitPost_Success_ReturnsOk
· SubmitPost_WhenNotOwner_Returns403
· SubmitPost_WhenWrongState_Returns400</t>
        </is>
      </c>
      <c r="D170" s="32" t="inlineStr">
        <is>
          <t>COVERAGE (code-driven)</t>
        </is>
      </c>
      <c r="E170" s="28" t="inlineStr">
        <is>
          <t>P1</t>
        </is>
      </c>
      <c r="F170" s="38" t="inlineStr">
        <is>
          <t>Mock dependency của controller theo tên test</t>
        </is>
      </c>
      <c r="G170" s="32" t="inlineStr">
        <is>
          <t>MarketingPostController.SubmitPost()</t>
        </is>
      </c>
      <c r="H170" s="38" t="inlineStr">
        <is>
          <t>Xem assertion trong file test nguồn (tên test tra ngược 1-1)</t>
        </is>
      </c>
      <c r="I170" s="35" t="inlineStr">
        <is>
          <t>Cả hai</t>
        </is>
      </c>
      <c r="J170" s="39" t="inlineStr">
        <is>
          <t>Pass</t>
        </is>
      </c>
      <c r="K170" s="32" t="n"/>
      <c r="L170" s="38" t="inlineStr">
        <is>
          <t>Coverage 100% · nguồn: DeliveryInventoryAdminControllerTests.cs</t>
        </is>
      </c>
    </row>
    <row r="171" ht="61.5" customHeight="1">
      <c r="A171" s="26" t="inlineStr">
        <is>
          <t>CVG-142</t>
        </is>
      </c>
      <c r="B171" s="37" t="inlineStr">
        <is>
          <t>Coverage (code-driven)</t>
        </is>
      </c>
      <c r="C171" s="27" t="inlineStr">
        <is>
          <t>MakeDecision() — 3 test con [L1-MKT-33 → L1-MKT-35]
· MakeDecision_WithoutUserClaim_Returns401
· MakeDecision_Success_ReturnsOk
· MakeDecision_WhenServiceThrows_Returns400</t>
        </is>
      </c>
      <c r="D171" s="27" t="inlineStr">
        <is>
          <t>COVERAGE (code-driven)</t>
        </is>
      </c>
      <c r="E171" s="28" t="inlineStr">
        <is>
          <t>P1</t>
        </is>
      </c>
      <c r="F171" s="40" t="inlineStr">
        <is>
          <t>Mock dependency của controller theo tên test</t>
        </is>
      </c>
      <c r="G171" s="27" t="inlineStr">
        <is>
          <t>MarketingPostController.MakeDecision()</t>
        </is>
      </c>
      <c r="H171" s="40" t="inlineStr">
        <is>
          <t>Xem assertion trong file test nguồn (tên test tra ngược 1-1)</t>
        </is>
      </c>
      <c r="I171" s="29" t="inlineStr">
        <is>
          <t>Cả hai</t>
        </is>
      </c>
      <c r="J171" s="39" t="inlineStr">
        <is>
          <t>Pass</t>
        </is>
      </c>
      <c r="K171" s="27" t="n"/>
      <c r="L171" s="40" t="inlineStr">
        <is>
          <t>Coverage 100% · nguồn: DeliveryInventoryAdminControllerTests.cs</t>
        </is>
      </c>
    </row>
    <row r="172" ht="61.5" customHeight="1">
      <c r="A172" s="31" t="inlineStr">
        <is>
          <t>CVG-143</t>
        </is>
      </c>
      <c r="B172" s="37" t="inlineStr">
        <is>
          <t>Coverage (code-driven)</t>
        </is>
      </c>
      <c r="C172" s="32" t="inlineStr">
        <is>
          <t>PublishNow() — 3 test con [L1-MKT-36 → L1-MKT-38]
· PublishNow_WithoutUserClaim_Returns401
· PublishNow_Success_ReturnsOk
· PublishNow_WhenNotApproved_Returns400</t>
        </is>
      </c>
      <c r="D172" s="32" t="inlineStr">
        <is>
          <t>COVERAGE (code-driven)</t>
        </is>
      </c>
      <c r="E172" s="28" t="inlineStr">
        <is>
          <t>P1</t>
        </is>
      </c>
      <c r="F172" s="38" t="inlineStr">
        <is>
          <t>Mock dependency của controller theo tên test</t>
        </is>
      </c>
      <c r="G172" s="32" t="inlineStr">
        <is>
          <t>MarketingPostController.PublishNow()</t>
        </is>
      </c>
      <c r="H172" s="38" t="inlineStr">
        <is>
          <t>Xem assertion trong file test nguồn (tên test tra ngược 1-1)</t>
        </is>
      </c>
      <c r="I172" s="35" t="inlineStr">
        <is>
          <t>Cả hai</t>
        </is>
      </c>
      <c r="J172" s="39" t="inlineStr">
        <is>
          <t>Pass</t>
        </is>
      </c>
      <c r="K172" s="32" t="n"/>
      <c r="L172" s="38" t="inlineStr">
        <is>
          <t>Coverage 100% · nguồn: DeliveryInventoryAdminControllerTests.cs</t>
        </is>
      </c>
    </row>
    <row r="173" ht="73.5" customHeight="1">
      <c r="A173" s="26" t="inlineStr">
        <is>
          <t>CVG-144</t>
        </is>
      </c>
      <c r="B173" s="37" t="inlineStr">
        <is>
          <t>Coverage (code-driven)</t>
        </is>
      </c>
      <c r="C173" s="27" t="inlineStr">
        <is>
          <t>MakeWebhookCallback() — 4 test con [L1-MKT-39 → L1-MKT-42]
· MakeWebhookCallback_WithoutSecretHeader_Returns401
· MakeWebhookCallback_WithWrongSecret_Returns401
· MakeWebhookCallback_WithCorrectSecret_ReturnsOk
· MakeWebhookCallback_WhenPostMissing_Returns400</t>
        </is>
      </c>
      <c r="D173" s="27" t="inlineStr">
        <is>
          <t>COVERAGE (code-driven)</t>
        </is>
      </c>
      <c r="E173" s="28" t="inlineStr">
        <is>
          <t>P1</t>
        </is>
      </c>
      <c r="F173" s="40" t="inlineStr">
        <is>
          <t>Mock dependency của controller theo tên test</t>
        </is>
      </c>
      <c r="G173" s="27" t="inlineStr">
        <is>
          <t>MarketingPostController.MakeWebhookCallback()</t>
        </is>
      </c>
      <c r="H173" s="40" t="inlineStr">
        <is>
          <t>Xem assertion trong file test nguồn (tên test tra ngược 1-1)</t>
        </is>
      </c>
      <c r="I173" s="29" t="inlineStr">
        <is>
          <t>Cả hai</t>
        </is>
      </c>
      <c r="J173" s="39" t="inlineStr">
        <is>
          <t>Pass</t>
        </is>
      </c>
      <c r="K173" s="27" t="n"/>
      <c r="L173" s="41" t="inlineStr">
        <is>
          <t>🔒 CHỐNG RÒ RỈ DỮ LIỆU — seed dữ liệu người dùng khác rồi khẳng định không lọt vào kết quả. Cùng lớp lỗ hổng với IDOR L1-ORD-71 đã vá; giữ nguyên khi refactor.  |  Coverage 100% · nguồn: DeliveryInventoryAdminControllerTests.cs</t>
        </is>
      </c>
    </row>
    <row r="174" ht="18" customHeight="1">
      <c r="A174" s="50" t="inlineStr">
        <is>
          <t xml:space="preserve">  ▶  Block: AuthService  —  AuthController  ·  coverage 100%  ·  AuthQuotationControllerTests.cs</t>
        </is>
      </c>
    </row>
    <row r="175" ht="61.5" customHeight="1">
      <c r="A175" s="31" t="inlineStr">
        <is>
          <t>CVG-145</t>
        </is>
      </c>
      <c r="B175" s="37" t="inlineStr">
        <is>
          <t>Coverage (code-driven)</t>
        </is>
      </c>
      <c r="C175" s="32" t="inlineStr">
        <is>
          <t>Register() — 3 test con [L1-AUTH-34 → L1-AUTH-36]
· Register_WhenModelStateInvalid_Returns400WithoutCallingService
· Register_WhenEmailAlreadyUsed_Returns400
· Register_Success_ReturnsOk</t>
        </is>
      </c>
      <c r="D175" s="32" t="inlineStr">
        <is>
          <t>COVERAGE (code-driven)</t>
        </is>
      </c>
      <c r="E175" s="28" t="inlineStr">
        <is>
          <t>P1</t>
        </is>
      </c>
      <c r="F175" s="38" t="inlineStr">
        <is>
          <t>Mock dependency của controller theo tên test</t>
        </is>
      </c>
      <c r="G175" s="32" t="inlineStr">
        <is>
          <t>AuthController.Register()</t>
        </is>
      </c>
      <c r="H175" s="38" t="inlineStr">
        <is>
          <t>Xem assertion trong file test nguồn (tên test tra ngược 1-1)</t>
        </is>
      </c>
      <c r="I175" s="35" t="inlineStr">
        <is>
          <t>Cả hai</t>
        </is>
      </c>
      <c r="J175" s="39" t="inlineStr">
        <is>
          <t>Pass</t>
        </is>
      </c>
      <c r="K175" s="32" t="n"/>
      <c r="L175" s="38" t="inlineStr">
        <is>
          <t>Coverage 100% · nguồn: AuthQuotationControllerTests.cs</t>
        </is>
      </c>
    </row>
    <row r="176" ht="61.5" customHeight="1">
      <c r="A176" s="26" t="inlineStr">
        <is>
          <t>CVG-146</t>
        </is>
      </c>
      <c r="B176" s="37" t="inlineStr">
        <is>
          <t>Coverage (code-driven)</t>
        </is>
      </c>
      <c r="C176" s="27" t="inlineStr">
        <is>
          <t>VerifyOtp() — 3 test con [L1-AUTH-37 → L1-AUTH-39]
· VerifyOtp_WhenModelStateInvalid_Returns400
· VerifyOtp_WhenCodeWrongOrExpired_Returns400
· VerifyOtp_Success_ReturnsOk</t>
        </is>
      </c>
      <c r="D176" s="27" t="inlineStr">
        <is>
          <t>COVERAGE (code-driven)</t>
        </is>
      </c>
      <c r="E176" s="28" t="inlineStr">
        <is>
          <t>P1</t>
        </is>
      </c>
      <c r="F176" s="40" t="inlineStr">
        <is>
          <t>Mock dependency của controller theo tên test</t>
        </is>
      </c>
      <c r="G176" s="27" t="inlineStr">
        <is>
          <t>AuthController.VerifyOtp()</t>
        </is>
      </c>
      <c r="H176" s="40" t="inlineStr">
        <is>
          <t>Xem assertion trong file test nguồn (tên test tra ngược 1-1)</t>
        </is>
      </c>
      <c r="I176" s="29" t="inlineStr">
        <is>
          <t>Cả hai</t>
        </is>
      </c>
      <c r="J176" s="39" t="inlineStr">
        <is>
          <t>Pass</t>
        </is>
      </c>
      <c r="K176" s="27" t="n"/>
      <c r="L176" s="40" t="inlineStr">
        <is>
          <t>Coverage 100% · nguồn: AuthQuotationControllerTests.cs</t>
        </is>
      </c>
    </row>
    <row r="177" ht="61.5" customHeight="1">
      <c r="A177" s="31" t="inlineStr">
        <is>
          <t>CVG-147</t>
        </is>
      </c>
      <c r="B177" s="37" t="inlineStr">
        <is>
          <t>Coverage (code-driven)</t>
        </is>
      </c>
      <c r="C177" s="32" t="inlineStr">
        <is>
          <t>ResendOtp() — 3 test con [L1-AUTH-40 → L1-AUTH-42]
· ResendOtp_WhenModelStateInvalid_Returns400
· ResendOtp_ForwardsEmailToService
· ResendOtp_WhenRateLimited_Returns400</t>
        </is>
      </c>
      <c r="D177" s="32" t="inlineStr">
        <is>
          <t>COVERAGE (code-driven)</t>
        </is>
      </c>
      <c r="E177" s="28" t="inlineStr">
        <is>
          <t>P1</t>
        </is>
      </c>
      <c r="F177" s="38" t="inlineStr">
        <is>
          <t>Mock dependency của controller theo tên test</t>
        </is>
      </c>
      <c r="G177" s="32" t="inlineStr">
        <is>
          <t>AuthController.ResendOtp()</t>
        </is>
      </c>
      <c r="H177" s="38" t="inlineStr">
        <is>
          <t>Xem assertion trong file test nguồn (tên test tra ngược 1-1)</t>
        </is>
      </c>
      <c r="I177" s="35" t="inlineStr">
        <is>
          <t>Cả hai</t>
        </is>
      </c>
      <c r="J177" s="39" t="inlineStr">
        <is>
          <t>Pass</t>
        </is>
      </c>
      <c r="K177" s="32" t="n"/>
      <c r="L177" s="38" t="inlineStr">
        <is>
          <t>Coverage 100% · nguồn: AuthQuotationControllerTests.cs</t>
        </is>
      </c>
    </row>
    <row r="178" ht="61.5" customHeight="1">
      <c r="A178" s="26" t="inlineStr">
        <is>
          <t>CVG-148</t>
        </is>
      </c>
      <c r="B178" s="37" t="inlineStr">
        <is>
          <t>Coverage (code-driven)</t>
        </is>
      </c>
      <c r="C178" s="27" t="inlineStr">
        <is>
          <t>Login() — 3 test con [L1-AUTH-43 → L1-AUTH-45]
· Login_WhenModelStateInvalid_Returns400
· Login_WhenCredentialsWrong_Returns401NotBadRequest
· Login_Success_ReturnsOkWithTokenPayload</t>
        </is>
      </c>
      <c r="D178" s="27" t="inlineStr">
        <is>
          <t>COVERAGE (code-driven)</t>
        </is>
      </c>
      <c r="E178" s="28" t="inlineStr">
        <is>
          <t>P1</t>
        </is>
      </c>
      <c r="F178" s="40" t="inlineStr">
        <is>
          <t>Mock dependency của controller theo tên test</t>
        </is>
      </c>
      <c r="G178" s="27" t="inlineStr">
        <is>
          <t>AuthController.Login()</t>
        </is>
      </c>
      <c r="H178" s="40" t="inlineStr">
        <is>
          <t>Xem assertion trong file test nguồn (tên test tra ngược 1-1)</t>
        </is>
      </c>
      <c r="I178" s="29" t="inlineStr">
        <is>
          <t>Cả hai</t>
        </is>
      </c>
      <c r="J178" s="39" t="inlineStr">
        <is>
          <t>Pass</t>
        </is>
      </c>
      <c r="K178" s="27" t="n"/>
      <c r="L178" s="40" t="inlineStr">
        <is>
          <t>Coverage 100% · nguồn: AuthQuotationControllerTests.cs</t>
        </is>
      </c>
    </row>
    <row r="179" ht="61.5" customHeight="1">
      <c r="A179" s="31" t="inlineStr">
        <is>
          <t>CVG-149</t>
        </is>
      </c>
      <c r="B179" s="37" t="inlineStr">
        <is>
          <t>Coverage (code-driven)</t>
        </is>
      </c>
      <c r="C179" s="32" t="inlineStr">
        <is>
          <t>GoogleLogin() — 3 test con [L1-AUTH-46 → L1-AUTH-48]
· GoogleLogin_WhenModelStateInvalid_Returns400
· GoogleLogin_WhenIdTokenInvalid_Returns401
· GoogleLogin_Success_ReturnsOk</t>
        </is>
      </c>
      <c r="D179" s="32" t="inlineStr">
        <is>
          <t>COVERAGE (code-driven)</t>
        </is>
      </c>
      <c r="E179" s="28" t="inlineStr">
        <is>
          <t>P1</t>
        </is>
      </c>
      <c r="F179" s="38" t="inlineStr">
        <is>
          <t>Mock dependency của controller theo tên test</t>
        </is>
      </c>
      <c r="G179" s="32" t="inlineStr">
        <is>
          <t>AuthController.GoogleLogin()</t>
        </is>
      </c>
      <c r="H179" s="38" t="inlineStr">
        <is>
          <t>Xem assertion trong file test nguồn (tên test tra ngược 1-1)</t>
        </is>
      </c>
      <c r="I179" s="35" t="inlineStr">
        <is>
          <t>Cả hai</t>
        </is>
      </c>
      <c r="J179" s="39" t="inlineStr">
        <is>
          <t>Pass</t>
        </is>
      </c>
      <c r="K179" s="32" t="n"/>
      <c r="L179" s="38" t="inlineStr">
        <is>
          <t>Coverage 100% · nguồn: AuthQuotationControllerTests.cs</t>
        </is>
      </c>
    </row>
    <row r="180" ht="61.5" customHeight="1">
      <c r="A180" s="26" t="inlineStr">
        <is>
          <t>CVG-150</t>
        </is>
      </c>
      <c r="B180" s="37" t="inlineStr">
        <is>
          <t>Coverage (code-driven)</t>
        </is>
      </c>
      <c r="C180" s="27" t="inlineStr">
        <is>
          <t>ForgotPassword() — 3 test con [L1-AUTH-49 → L1-AUTH-51]
· ForgotPassword_WhenModelStateInvalid_Returns400
· ForgotPassword_WhenEmailNotRegistered_StillReturns200
· ForgotPassword_WhenEmailRegistered_Returns200</t>
        </is>
      </c>
      <c r="D180" s="27" t="inlineStr">
        <is>
          <t>COVERAGE (code-driven)</t>
        </is>
      </c>
      <c r="E180" s="28" t="inlineStr">
        <is>
          <t>P1</t>
        </is>
      </c>
      <c r="F180" s="40" t="inlineStr">
        <is>
          <t>Mock dependency của controller theo tên test</t>
        </is>
      </c>
      <c r="G180" s="27" t="inlineStr">
        <is>
          <t>AuthController.ForgotPassword()</t>
        </is>
      </c>
      <c r="H180" s="40" t="inlineStr">
        <is>
          <t>Xem assertion trong file test nguồn (tên test tra ngược 1-1)</t>
        </is>
      </c>
      <c r="I180" s="29" t="inlineStr">
        <is>
          <t>Cả hai</t>
        </is>
      </c>
      <c r="J180" s="39" t="inlineStr">
        <is>
          <t>Pass</t>
        </is>
      </c>
      <c r="K180" s="27" t="n"/>
      <c r="L180" s="40" t="inlineStr">
        <is>
          <t>Coverage 100% · nguồn: AuthQuotationControllerTests.cs</t>
        </is>
      </c>
    </row>
    <row r="181" ht="61.5" customHeight="1">
      <c r="A181" s="31" t="inlineStr">
        <is>
          <t>CVG-151</t>
        </is>
      </c>
      <c r="B181" s="37" t="inlineStr">
        <is>
          <t>Coverage (code-driven)</t>
        </is>
      </c>
      <c r="C181" s="32" t="inlineStr">
        <is>
          <t>ResetPassword() — 3 test con [L1-AUTH-52 → L1-AUTH-54]
· ResetPassword_WhenModelStateInvalid_Returns400
· ResetPassword_WhenTokenExpired_Returns400
· ResetPassword_Success_ReturnsOk</t>
        </is>
      </c>
      <c r="D181" s="32" t="inlineStr">
        <is>
          <t>COVERAGE (code-driven)</t>
        </is>
      </c>
      <c r="E181" s="28" t="inlineStr">
        <is>
          <t>P1</t>
        </is>
      </c>
      <c r="F181" s="38" t="inlineStr">
        <is>
          <t>Mock dependency của controller theo tên test</t>
        </is>
      </c>
      <c r="G181" s="32" t="inlineStr">
        <is>
          <t>AuthController.ResetPassword()</t>
        </is>
      </c>
      <c r="H181" s="38" t="inlineStr">
        <is>
          <t>Xem assertion trong file test nguồn (tên test tra ngược 1-1)</t>
        </is>
      </c>
      <c r="I181" s="35" t="inlineStr">
        <is>
          <t>Cả hai</t>
        </is>
      </c>
      <c r="J181" s="39" t="inlineStr">
        <is>
          <t>Pass</t>
        </is>
      </c>
      <c r="K181" s="32" t="n"/>
      <c r="L181" s="38" t="inlineStr">
        <is>
          <t>Coverage 100% · nguồn: AuthQuotationControllerTests.cs</t>
        </is>
      </c>
    </row>
    <row r="182" ht="61.5" customHeight="1">
      <c r="A182" s="26" t="inlineStr">
        <is>
          <t>CVG-152</t>
        </is>
      </c>
      <c r="B182" s="37" t="inlineStr">
        <is>
          <t>Coverage (code-driven)</t>
        </is>
      </c>
      <c r="C182" s="27" t="inlineStr">
        <is>
          <t>RefreshToken() — 3 test con [L1-AUTH-55 → L1-AUTH-57]
· RefreshToken_WhenModelStateInvalid_Returns400
· RefreshToken_WhenTokenRevoked_Returns401
· RefreshToken_Success_ReturnsOk</t>
        </is>
      </c>
      <c r="D182" s="27" t="inlineStr">
        <is>
          <t>COVERAGE (code-driven)</t>
        </is>
      </c>
      <c r="E182" s="28" t="inlineStr">
        <is>
          <t>P1</t>
        </is>
      </c>
      <c r="F182" s="40" t="inlineStr">
        <is>
          <t>Mock dependency của controller theo tên test</t>
        </is>
      </c>
      <c r="G182" s="27" t="inlineStr">
        <is>
          <t>AuthController.RefreshToken()</t>
        </is>
      </c>
      <c r="H182" s="40" t="inlineStr">
        <is>
          <t>Xem assertion trong file test nguồn (tên test tra ngược 1-1)</t>
        </is>
      </c>
      <c r="I182" s="29" t="inlineStr">
        <is>
          <t>Cả hai</t>
        </is>
      </c>
      <c r="J182" s="39" t="inlineStr">
        <is>
          <t>Pass</t>
        </is>
      </c>
      <c r="K182" s="27" t="n"/>
      <c r="L182" s="40" t="inlineStr">
        <is>
          <t>Coverage 100% · nguồn: AuthQuotationControllerTests.cs</t>
        </is>
      </c>
    </row>
    <row r="183" ht="61.5" customHeight="1">
      <c r="A183" s="31" t="inlineStr">
        <is>
          <t>CVG-153</t>
        </is>
      </c>
      <c r="B183" s="37" t="inlineStr">
        <is>
          <t>Coverage (code-driven)</t>
        </is>
      </c>
      <c r="C183" s="32" t="inlineStr">
        <is>
          <t>Logout() — 3 test con [L1-AUTH-58 → L1-AUTH-60]
· Logout_WithoutUserClaim_Returns401
· Logout_Success_RevokesTokenOfCaller
· Logout_WhenServiceReportsFailure_Returns400</t>
        </is>
      </c>
      <c r="D183" s="32" t="inlineStr">
        <is>
          <t>COVERAGE (code-driven)</t>
        </is>
      </c>
      <c r="E183" s="28" t="inlineStr">
        <is>
          <t>P1</t>
        </is>
      </c>
      <c r="F183" s="38" t="inlineStr">
        <is>
          <t>Mock dependency của controller theo tên test</t>
        </is>
      </c>
      <c r="G183" s="32" t="inlineStr">
        <is>
          <t>AuthController.Logout()</t>
        </is>
      </c>
      <c r="H183" s="38" t="inlineStr">
        <is>
          <t>Xem assertion trong file test nguồn (tên test tra ngược 1-1)</t>
        </is>
      </c>
      <c r="I183" s="35" t="inlineStr">
        <is>
          <t>Cả hai</t>
        </is>
      </c>
      <c r="J183" s="39" t="inlineStr">
        <is>
          <t>Pass</t>
        </is>
      </c>
      <c r="K183" s="32" t="n"/>
      <c r="L183" s="38" t="inlineStr">
        <is>
          <t>Coverage 100% · nguồn: AuthQuotationControllerTests.cs</t>
        </is>
      </c>
    </row>
    <row r="184" ht="73.5" customHeight="1">
      <c r="A184" s="26" t="inlineStr">
        <is>
          <t>CVG-154</t>
        </is>
      </c>
      <c r="B184" s="37" t="inlineStr">
        <is>
          <t>Coverage (code-driven)</t>
        </is>
      </c>
      <c r="C184" s="27" t="inlineStr">
        <is>
          <t>CompleteProfile() — 4 test con [L1-AUTH-61 → L1-AUTH-64]
· CompleteProfile_WhenModelStateInvalid_Returns400
· CompleteProfile_WithoutUserClaim_Returns401
· CompleteProfile_Success_ReturnsOk
· CompleteProfile_WhenPhoneAlreadyUsed_Returns400</t>
        </is>
      </c>
      <c r="D184" s="27" t="inlineStr">
        <is>
          <t>COVERAGE (code-driven)</t>
        </is>
      </c>
      <c r="E184" s="28" t="inlineStr">
        <is>
          <t>P1</t>
        </is>
      </c>
      <c r="F184" s="40" t="inlineStr">
        <is>
          <t>Mock dependency của controller theo tên test</t>
        </is>
      </c>
      <c r="G184" s="27" t="inlineStr">
        <is>
          <t>AuthController.CompleteProfile()</t>
        </is>
      </c>
      <c r="H184" s="40" t="inlineStr">
        <is>
          <t>Xem assertion trong file test nguồn (tên test tra ngược 1-1)</t>
        </is>
      </c>
      <c r="I184" s="29" t="inlineStr">
        <is>
          <t>Cả hai</t>
        </is>
      </c>
      <c r="J184" s="39" t="inlineStr">
        <is>
          <t>Pass</t>
        </is>
      </c>
      <c r="K184" s="27" t="n"/>
      <c r="L184" s="40" t="inlineStr">
        <is>
          <t>Coverage 100% · nguồn: AuthQuotationControllerTests.cs</t>
        </is>
      </c>
    </row>
    <row r="185" ht="73.5" customHeight="1">
      <c r="A185" s="31" t="inlineStr">
        <is>
          <t>CVG-155</t>
        </is>
      </c>
      <c r="B185" s="37" t="inlineStr">
        <is>
          <t>Coverage (code-driven)</t>
        </is>
      </c>
      <c r="C185" s="32" t="inlineStr">
        <is>
          <t>RequestPhoneOtp() — 4 test con [L1-AUTH-65 → L1-AUTH-68]
· RequestPhoneOtp_WhenModelStateInvalid_Returns400
· RequestPhoneOtp_WithoutUserClaim_Returns401
· RequestPhoneOtp_Success_ForwardsPhoneNumber
· RequestPhoneOtp_WhenRateLimited_Returns400</t>
        </is>
      </c>
      <c r="D185" s="32" t="inlineStr">
        <is>
          <t>COVERAGE (code-driven)</t>
        </is>
      </c>
      <c r="E185" s="28" t="inlineStr">
        <is>
          <t>P1</t>
        </is>
      </c>
      <c r="F185" s="38" t="inlineStr">
        <is>
          <t>Mock dependency của controller theo tên test</t>
        </is>
      </c>
      <c r="G185" s="32" t="inlineStr">
        <is>
          <t>AuthController.RequestPhoneOtp()</t>
        </is>
      </c>
      <c r="H185" s="38" t="inlineStr">
        <is>
          <t>Xem assertion trong file test nguồn (tên test tra ngược 1-1)</t>
        </is>
      </c>
      <c r="I185" s="35" t="inlineStr">
        <is>
          <t>Cả hai</t>
        </is>
      </c>
      <c r="J185" s="39" t="inlineStr">
        <is>
          <t>Pass</t>
        </is>
      </c>
      <c r="K185" s="32" t="n"/>
      <c r="L185" s="38" t="inlineStr">
        <is>
          <t>Coverage 100% · nguồn: AuthQuotationControllerTests.cs</t>
        </is>
      </c>
    </row>
    <row r="186" ht="73.5" customHeight="1">
      <c r="A186" s="26" t="inlineStr">
        <is>
          <t>CVG-156</t>
        </is>
      </c>
      <c r="B186" s="37" t="inlineStr">
        <is>
          <t>Coverage (code-driven)</t>
        </is>
      </c>
      <c r="C186" s="27" t="inlineStr">
        <is>
          <t>VerifyPhoneOtp() — 4 test con [L1-AUTH-69 → L1-AUTH-72]
· VerifyPhoneOtp_WhenModelStateInvalid_Returns400
· VerifyPhoneOtp_WithoutUserClaim_Returns401
· VerifyPhoneOtp_Success_ReturnsOk
· VerifyPhoneOtp_WhenCodeWrong_Returns400</t>
        </is>
      </c>
      <c r="D186" s="27" t="inlineStr">
        <is>
          <t>COVERAGE (code-driven)</t>
        </is>
      </c>
      <c r="E186" s="28" t="inlineStr">
        <is>
          <t>P1</t>
        </is>
      </c>
      <c r="F186" s="40" t="inlineStr">
        <is>
          <t>Mock dependency của controller theo tên test</t>
        </is>
      </c>
      <c r="G186" s="27" t="inlineStr">
        <is>
          <t>AuthController.VerifyPhoneOtp()</t>
        </is>
      </c>
      <c r="H186" s="40" t="inlineStr">
        <is>
          <t>Xem assertion trong file test nguồn (tên test tra ngược 1-1)</t>
        </is>
      </c>
      <c r="I186" s="29" t="inlineStr">
        <is>
          <t>Cả hai</t>
        </is>
      </c>
      <c r="J186" s="39" t="inlineStr">
        <is>
          <t>Pass</t>
        </is>
      </c>
      <c r="K186" s="27" t="n"/>
      <c r="L186" s="40" t="inlineStr">
        <is>
          <t>Coverage 100% · nguồn: AuthQuotationControllerTests.cs</t>
        </is>
      </c>
    </row>
    <row r="187" ht="18" customHeight="1">
      <c r="A187" s="50" t="inlineStr">
        <is>
          <t xml:space="preserve">  ▶  Block: QuotationService  —  QuotationController  ·  coverage 100%  ·  AuthQuotationControllerTests.cs</t>
        </is>
      </c>
    </row>
    <row r="188" ht="61.5" customHeight="1">
      <c r="A188" s="31" t="inlineStr">
        <is>
          <t>CVG-157</t>
        </is>
      </c>
      <c r="B188" s="37" t="inlineStr">
        <is>
          <t>Coverage (code-driven)</t>
        </is>
      </c>
      <c r="C188" s="32" t="inlineStr">
        <is>
          <t>CreateQuotationFromCart() — 3 test con [L1-QUO-18 → L1-QUO-20]
· CreateQuotationFromCart_Success_ReturnsOk
· CreateQuotationFromCart_WhenCartEmpty_Returns404
· CreateQuotationFromCart_WhenBelowThreshold_Returns400</t>
        </is>
      </c>
      <c r="D188" s="32" t="inlineStr">
        <is>
          <t>COVERAGE (code-driven)</t>
        </is>
      </c>
      <c r="E188" s="28" t="inlineStr">
        <is>
          <t>P1</t>
        </is>
      </c>
      <c r="F188" s="38" t="inlineStr">
        <is>
          <t>Mock dependency của controller theo tên test</t>
        </is>
      </c>
      <c r="G188" s="32" t="inlineStr">
        <is>
          <t>QuotationController.CreateQuotationFromCart()</t>
        </is>
      </c>
      <c r="H188" s="38" t="inlineStr">
        <is>
          <t>Xem assertion trong file test nguồn (tên test tra ngược 1-1)</t>
        </is>
      </c>
      <c r="I188" s="35" t="inlineStr">
        <is>
          <t>Cả hai</t>
        </is>
      </c>
      <c r="J188" s="39" t="inlineStr">
        <is>
          <t>Pass</t>
        </is>
      </c>
      <c r="K188" s="32" t="n"/>
      <c r="L188" s="38" t="inlineStr">
        <is>
          <t>Coverage 100% · nguồn: AuthQuotationControllerTests.cs</t>
        </is>
      </c>
    </row>
    <row r="189" ht="97.5" customHeight="1">
      <c r="A189" s="26" t="inlineStr">
        <is>
          <t>CVG-158</t>
        </is>
      </c>
      <c r="B189" s="37" t="inlineStr">
        <is>
          <t>Coverage (code-driven)</t>
        </is>
      </c>
      <c r="C189" s="27" t="inlineStr">
        <is>
          <t>GetQuotations() — 6 test con [L1-QUO-21 → L1-QUO-26]
· GetQuotations_AsCustomer_ReturnsOnlyOwnQuotations
· GetQuotations_AsSalesStaff_ReturnsOwnPlusPendingPool
· GetQuotations_AsSalesManager_ReturnsAll
· GetQuotations_AsCeoOrAdmin_ReturnsAll
· GetQuotations_AsUnrelatedRole_Returns403
· GetQuotations_WhenServiceThrows_Returns400</t>
        </is>
      </c>
      <c r="D189" s="27" t="inlineStr">
        <is>
          <t>COVERAGE (code-driven)</t>
        </is>
      </c>
      <c r="E189" s="28" t="inlineStr">
        <is>
          <t>P1</t>
        </is>
      </c>
      <c r="F189" s="40" t="inlineStr">
        <is>
          <t>Mock dependency của controller theo tên test</t>
        </is>
      </c>
      <c r="G189" s="27" t="inlineStr">
        <is>
          <t>QuotationController.GetQuotations()</t>
        </is>
      </c>
      <c r="H189" s="40" t="inlineStr">
        <is>
          <t>Xem assertion trong file test nguồn (tên test tra ngược 1-1)</t>
        </is>
      </c>
      <c r="I189" s="29" t="inlineStr">
        <is>
          <t>Cả hai</t>
        </is>
      </c>
      <c r="J189" s="39" t="inlineStr">
        <is>
          <t>Pass</t>
        </is>
      </c>
      <c r="K189" s="27" t="n"/>
      <c r="L189" s="40" t="inlineStr">
        <is>
          <t>Coverage 100% · nguồn: AuthQuotationControllerTests.cs</t>
        </is>
      </c>
    </row>
    <row r="190" ht="73.5" customHeight="1">
      <c r="A190" s="31" t="inlineStr">
        <is>
          <t>CVG-159</t>
        </is>
      </c>
      <c r="B190" s="37" t="inlineStr">
        <is>
          <t>Coverage (code-driven)</t>
        </is>
      </c>
      <c r="C190" s="32" t="inlineStr">
        <is>
          <t>GetQuotationById() — 4 test con [L1-QUO-27 → L1-QUO-30]
· GetQuotationById_Success_PassesRoleForScoping
· GetQuotationById_WhenMissing_Returns404
· GetQuotationById_WhenNotOwner_Returns403
· GetQuotationById_WhenServiceThrows_Returns400</t>
        </is>
      </c>
      <c r="D190" s="32" t="inlineStr">
        <is>
          <t>COVERAGE (code-driven)</t>
        </is>
      </c>
      <c r="E190" s="28" t="inlineStr">
        <is>
          <t>P1</t>
        </is>
      </c>
      <c r="F190" s="38" t="inlineStr">
        <is>
          <t>Mock dependency của controller theo tên test</t>
        </is>
      </c>
      <c r="G190" s="32" t="inlineStr">
        <is>
          <t>QuotationController.GetQuotationById()</t>
        </is>
      </c>
      <c r="H190" s="38" t="inlineStr">
        <is>
          <t>Xem assertion trong file test nguồn (tên test tra ngược 1-1)</t>
        </is>
      </c>
      <c r="I190" s="35" t="inlineStr">
        <is>
          <t>Cả hai</t>
        </is>
      </c>
      <c r="J190" s="39" t="inlineStr">
        <is>
          <t>Pass</t>
        </is>
      </c>
      <c r="K190" s="32" t="n"/>
      <c r="L190" s="38" t="inlineStr">
        <is>
          <t>Coverage 100% · nguồn: AuthQuotationControllerTests.cs</t>
        </is>
      </c>
    </row>
    <row r="191" ht="85.5" customHeight="1">
      <c r="A191" s="26" t="inlineStr">
        <is>
          <t>CVG-160</t>
        </is>
      </c>
      <c r="B191" s="37" t="inlineStr">
        <is>
          <t>Coverage (code-driven)</t>
        </is>
      </c>
      <c r="C191" s="27" t="inlineStr">
        <is>
          <t>PickUpQuotation() — 5 test con [L1-QUO-31 → L1-QUO-35]
· PickUpQuotation_Success_ReturnsOk
· PickUpQuotation_WhenMissing_Returns404
· PickUpQuotation_WhenAnotherSaleTookItFirst_Returns409
· PickUpQuotation_WhenConcurrent_Returns409
· PickUpQuotation_WhenServiceThrows_Returns400</t>
        </is>
      </c>
      <c r="D191" s="27" t="inlineStr">
        <is>
          <t>COVERAGE (code-driven)</t>
        </is>
      </c>
      <c r="E191" s="28" t="inlineStr">
        <is>
          <t>P1</t>
        </is>
      </c>
      <c r="F191" s="40" t="inlineStr">
        <is>
          <t>Mock dependency của controller theo tên test</t>
        </is>
      </c>
      <c r="G191" s="27" t="inlineStr">
        <is>
          <t>QuotationController.PickUpQuotation()</t>
        </is>
      </c>
      <c r="H191" s="40" t="inlineStr">
        <is>
          <t>Xem assertion trong file test nguồn (tên test tra ngược 1-1)</t>
        </is>
      </c>
      <c r="I191" s="29" t="inlineStr">
        <is>
          <t>Cả hai</t>
        </is>
      </c>
      <c r="J191" s="39" t="inlineStr">
        <is>
          <t>Pass</t>
        </is>
      </c>
      <c r="K191" s="27" t="n"/>
      <c r="L191" s="41" t="inlineStr">
        <is>
          <t>⚠ Nhánh DbUpdateConcurrencyException → 409 KHÔNG chạy được qua HTTP thật khi bảng thiếu RowVersion (GH-04) — mock là cách duy nhất chạm tới.  |  Coverage 100% · nguồn: AuthQuotationControllerTests.cs</t>
        </is>
      </c>
    </row>
    <row r="192" ht="97.5" customHeight="1">
      <c r="A192" s="31" t="inlineStr">
        <is>
          <t>CVG-161</t>
        </is>
      </c>
      <c r="B192" s="37" t="inlineStr">
        <is>
          <t>Coverage (code-driven)</t>
        </is>
      </c>
      <c r="C192" s="32" t="inlineStr">
        <is>
          <t>CreateVersion() — 6 test con [L1-QUO-36 → L1-QUO-41]
· CreateVersion_Success_ReturnsOk
· CreateVersion_WhenMissing_Returns404
· CreateVersion_WhenNotTheAssignedSale_Returns403
· CreateVersion_WhenPreviousVersionStillPending_Returns409
· CreateVersion_WhenConcurrent_Returns409
· CreateVersion_WhenServiceThrows_Returns400</t>
        </is>
      </c>
      <c r="D192" s="32" t="inlineStr">
        <is>
          <t>COVERAGE (code-driven)</t>
        </is>
      </c>
      <c r="E192" s="28" t="inlineStr">
        <is>
          <t>P1</t>
        </is>
      </c>
      <c r="F192" s="38" t="inlineStr">
        <is>
          <t>Mock dependency của controller theo tên test</t>
        </is>
      </c>
      <c r="G192" s="32" t="inlineStr">
        <is>
          <t>QuotationController.CreateVersion()</t>
        </is>
      </c>
      <c r="H192" s="38" t="inlineStr">
        <is>
          <t>Xem assertion trong file test nguồn (tên test tra ngược 1-1)</t>
        </is>
      </c>
      <c r="I192" s="35" t="inlineStr">
        <is>
          <t>Cả hai</t>
        </is>
      </c>
      <c r="J192" s="39" t="inlineStr">
        <is>
          <t>Pass</t>
        </is>
      </c>
      <c r="K192" s="32" t="n"/>
      <c r="L192" s="42" t="inlineStr">
        <is>
          <t>⚠ Nhánh DbUpdateConcurrencyException → 409 KHÔNG chạy được qua HTTP thật khi bảng thiếu RowVersion (GH-04) — mock là cách duy nhất chạm tới.  |  Coverage 100% · nguồn: AuthQuotationControllerTests.cs</t>
        </is>
      </c>
    </row>
    <row r="193" ht="85.5" customHeight="1">
      <c r="A193" s="26" t="inlineStr">
        <is>
          <t>CVG-162</t>
        </is>
      </c>
      <c r="B193" s="37" t="inlineStr">
        <is>
          <t>Coverage (code-driven)</t>
        </is>
      </c>
      <c r="C193" s="27" t="inlineStr">
        <is>
          <t>ManagerDecision() — 5 test con [L1-QUO-42 → L1-QUO-46]
· ManagerDecision_Success_ReturnsOk
· ManagerDecision_WhenMissing_Returns404
· ManagerDecision_WhenAlreadyDecided_Returns409
· ManagerDecision_WhenConcurrent_Returns409
· ManagerDecision_WhenServiceThrows_Returns400</t>
        </is>
      </c>
      <c r="D193" s="27" t="inlineStr">
        <is>
          <t>COVERAGE (code-driven)</t>
        </is>
      </c>
      <c r="E193" s="28" t="inlineStr">
        <is>
          <t>P1</t>
        </is>
      </c>
      <c r="F193" s="40" t="inlineStr">
        <is>
          <t>Mock dependency của controller theo tên test</t>
        </is>
      </c>
      <c r="G193" s="27" t="inlineStr">
        <is>
          <t>QuotationController.ManagerDecision()</t>
        </is>
      </c>
      <c r="H193" s="40" t="inlineStr">
        <is>
          <t>Xem assertion trong file test nguồn (tên test tra ngược 1-1)</t>
        </is>
      </c>
      <c r="I193" s="29" t="inlineStr">
        <is>
          <t>Cả hai</t>
        </is>
      </c>
      <c r="J193" s="39" t="inlineStr">
        <is>
          <t>Pass</t>
        </is>
      </c>
      <c r="K193" s="27" t="n"/>
      <c r="L193" s="41" t="inlineStr">
        <is>
          <t>⚠ Nhánh DbUpdateConcurrencyException → 409 KHÔNG chạy được qua HTTP thật khi bảng thiếu RowVersion (GH-04) — mock là cách duy nhất chạm tới.  |  Coverage 100% · nguồn: AuthQuotationControllerTests.cs</t>
        </is>
      </c>
    </row>
    <row r="194" ht="85.5" customHeight="1">
      <c r="A194" s="31" t="inlineStr">
        <is>
          <t>CVG-163</t>
        </is>
      </c>
      <c r="B194" s="37" t="inlineStr">
        <is>
          <t>Coverage (code-driven)</t>
        </is>
      </c>
      <c r="C194" s="32" t="inlineStr">
        <is>
          <t>CeoDecision() — 5 test con [L1-QUO-47 → L1-QUO-51]
· CeoDecision_Success_ReturnsOk
· CeoDecision_WhenMissing_Returns404
· CeoDecision_WhenManagerHasNotApprovedYet_Returns409
· CeoDecision_WhenConcurrent_Returns409
· CeoDecision_WhenServiceThrows_Returns400</t>
        </is>
      </c>
      <c r="D194" s="32" t="inlineStr">
        <is>
          <t>COVERAGE (code-driven)</t>
        </is>
      </c>
      <c r="E194" s="28" t="inlineStr">
        <is>
          <t>P1</t>
        </is>
      </c>
      <c r="F194" s="38" t="inlineStr">
        <is>
          <t>Mock dependency của controller theo tên test</t>
        </is>
      </c>
      <c r="G194" s="32" t="inlineStr">
        <is>
          <t>QuotationController.CeoDecision()</t>
        </is>
      </c>
      <c r="H194" s="38" t="inlineStr">
        <is>
          <t>Xem assertion trong file test nguồn (tên test tra ngược 1-1)</t>
        </is>
      </c>
      <c r="I194" s="35" t="inlineStr">
        <is>
          <t>Cả hai</t>
        </is>
      </c>
      <c r="J194" s="39" t="inlineStr">
        <is>
          <t>Pass</t>
        </is>
      </c>
      <c r="K194" s="32" t="n"/>
      <c r="L194" s="42" t="inlineStr">
        <is>
          <t>⚠ Nhánh DbUpdateConcurrencyException → 409 KHÔNG chạy được qua HTTP thật khi bảng thiếu RowVersion (GH-04) — mock là cách duy nhất chạm tới.  |  Coverage 100% · nguồn: AuthQuotationControllerTests.cs</t>
        </is>
      </c>
    </row>
    <row r="195" ht="85.5" customHeight="1">
      <c r="A195" s="26" t="inlineStr">
        <is>
          <t>CVG-164</t>
        </is>
      </c>
      <c r="B195" s="37" t="inlineStr">
        <is>
          <t>Coverage (code-driven)</t>
        </is>
      </c>
      <c r="C195" s="27" t="inlineStr">
        <is>
          <t>CustomerDecision() — 5 test con [L1-QUO-52 → L1-QUO-56]
· CustomerDecision_Success_ReturnsOk
· CustomerDecision_WhenNotOwner_Returns403
· CustomerDecision_WhenQuotationExpired_Returns409
· CustomerDecision_WhenConcurrent_Returns409
· CustomerDecision_WhenServiceThrows_Returns400</t>
        </is>
      </c>
      <c r="D195" s="27" t="inlineStr">
        <is>
          <t>COVERAGE (code-driven)</t>
        </is>
      </c>
      <c r="E195" s="28" t="inlineStr">
        <is>
          <t>P1</t>
        </is>
      </c>
      <c r="F195" s="40" t="inlineStr">
        <is>
          <t>Mock dependency của controller theo tên test</t>
        </is>
      </c>
      <c r="G195" s="27" t="inlineStr">
        <is>
          <t>QuotationController.CustomerDecision()</t>
        </is>
      </c>
      <c r="H195" s="40" t="inlineStr">
        <is>
          <t>Xem assertion trong file test nguồn (tên test tra ngược 1-1)</t>
        </is>
      </c>
      <c r="I195" s="29" t="inlineStr">
        <is>
          <t>Cả hai</t>
        </is>
      </c>
      <c r="J195" s="39" t="inlineStr">
        <is>
          <t>Pass</t>
        </is>
      </c>
      <c r="K195" s="27" t="n"/>
      <c r="L195" s="41" t="inlineStr">
        <is>
          <t>⚠ Nhánh DbUpdateConcurrencyException → 409 KHÔNG chạy được qua HTTP thật khi bảng thiếu RowVersion (GH-04) — mock là cách duy nhất chạm tới.  |  Coverage 100% · nguồn: AuthQuotationControllerTests.cs</t>
        </is>
      </c>
    </row>
    <row r="196" ht="85.5" customHeight="1">
      <c r="A196" s="31" t="inlineStr">
        <is>
          <t>CVG-165</t>
        </is>
      </c>
      <c r="B196" s="37" t="inlineStr">
        <is>
          <t>Coverage (code-driven)</t>
        </is>
      </c>
      <c r="C196" s="32" t="inlineStr">
        <is>
          <t>CancelQuotation() — 5 test con [L1-QUO-57 → L1-QUO-61]
· CancelQuotation_Success_ReturnsOk
· CancelQuotation_WhenNotOwner_Returns403
· CancelQuotation_WhenAlreadyAccepted_Returns409
· CancelQuotation_WhenConcurrent_Returns409
· CancelQuotation_WhenServiceThrows_Returns400</t>
        </is>
      </c>
      <c r="D196" s="32" t="inlineStr">
        <is>
          <t>COVERAGE (code-driven)</t>
        </is>
      </c>
      <c r="E196" s="28" t="inlineStr">
        <is>
          <t>P1</t>
        </is>
      </c>
      <c r="F196" s="38" t="inlineStr">
        <is>
          <t>Mock dependency của controller theo tên test</t>
        </is>
      </c>
      <c r="G196" s="32" t="inlineStr">
        <is>
          <t>QuotationController.CancelQuotation()</t>
        </is>
      </c>
      <c r="H196" s="38" t="inlineStr">
        <is>
          <t>Xem assertion trong file test nguồn (tên test tra ngược 1-1)</t>
        </is>
      </c>
      <c r="I196" s="35" t="inlineStr">
        <is>
          <t>Cả hai</t>
        </is>
      </c>
      <c r="J196" s="39" t="inlineStr">
        <is>
          <t>Pass</t>
        </is>
      </c>
      <c r="K196" s="32" t="n"/>
      <c r="L196" s="42" t="inlineStr">
        <is>
          <t>⚠ Nhánh DbUpdateConcurrencyException → 409 KHÔNG chạy được qua HTTP thật khi bảng thiếu RowVersion (GH-04) — mock là cách duy nhất chạm tới.  |  Coverage 100% · nguồn: AuthQuotationControllerTests.cs</t>
        </is>
      </c>
    </row>
    <row r="197" ht="61.5" customHeight="1">
      <c r="A197" s="26" t="inlineStr">
        <is>
          <t>CVG-166</t>
        </is>
      </c>
      <c r="B197" s="37" t="inlineStr">
        <is>
          <t>Coverage (code-driven)</t>
        </is>
      </c>
      <c r="C197" s="27" t="inlineStr">
        <is>
          <t>GetMessages() — 3 test con [L1-QUO-62 → L1-QUO-64]
· GetMessages_Success_PassesRoleForScoping
· GetMessages_WhenNotParticipant_Returns403
· GetMessages_WhenServiceThrows_Returns400</t>
        </is>
      </c>
      <c r="D197" s="27" t="inlineStr">
        <is>
          <t>COVERAGE (code-driven)</t>
        </is>
      </c>
      <c r="E197" s="28" t="inlineStr">
        <is>
          <t>P1</t>
        </is>
      </c>
      <c r="F197" s="40" t="inlineStr">
        <is>
          <t>Mock dependency của controller theo tên test</t>
        </is>
      </c>
      <c r="G197" s="27" t="inlineStr">
        <is>
          <t>QuotationController.GetMessages()</t>
        </is>
      </c>
      <c r="H197" s="40" t="inlineStr">
        <is>
          <t>Xem assertion trong file test nguồn (tên test tra ngược 1-1)</t>
        </is>
      </c>
      <c r="I197" s="29" t="inlineStr">
        <is>
          <t>Cả hai</t>
        </is>
      </c>
      <c r="J197" s="39" t="inlineStr">
        <is>
          <t>Pass</t>
        </is>
      </c>
      <c r="K197" s="27" t="n"/>
      <c r="L197" s="41" t="inlineStr">
        <is>
          <t>🔒 CHỐNG RÒ RỈ DỮ LIỆU — seed dữ liệu người dùng khác rồi khẳng định không lọt vào kết quả. Cùng lớp lỗ hổng với IDOR L1-ORD-71 đã vá; giữ nguyên khi refactor.  |  Coverage 100% · nguồn: AuthQuotationControllerTests.cs</t>
        </is>
      </c>
    </row>
    <row r="198" ht="61.5" customHeight="1">
      <c r="A198" s="31" t="inlineStr">
        <is>
          <t>CVG-167</t>
        </is>
      </c>
      <c r="B198" s="37" t="inlineStr">
        <is>
          <t>Coverage (code-driven)</t>
        </is>
      </c>
      <c r="C198" s="32" t="inlineStr">
        <is>
          <t>SendMessage() — 3 test con [L1-QUO-65 → L1-QUO-67]
· SendMessage_Success_ReturnsOk
· SendMessage_WhenNotParticipant_Returns403
· SendMessage_WhenServiceThrows_Returns400</t>
        </is>
      </c>
      <c r="D198" s="32" t="inlineStr">
        <is>
          <t>COVERAGE (code-driven)</t>
        </is>
      </c>
      <c r="E198" s="28" t="inlineStr">
        <is>
          <t>P1</t>
        </is>
      </c>
      <c r="F198" s="38" t="inlineStr">
        <is>
          <t>Mock dependency của controller theo tên test</t>
        </is>
      </c>
      <c r="G198" s="32" t="inlineStr">
        <is>
          <t>QuotationController.SendMessage()</t>
        </is>
      </c>
      <c r="H198" s="38" t="inlineStr">
        <is>
          <t>Xem assertion trong file test nguồn (tên test tra ngược 1-1)</t>
        </is>
      </c>
      <c r="I198" s="35" t="inlineStr">
        <is>
          <t>Cả hai</t>
        </is>
      </c>
      <c r="J198" s="39" t="inlineStr">
        <is>
          <t>Pass</t>
        </is>
      </c>
      <c r="K198" s="32" t="n"/>
      <c r="L198" s="42" t="inlineStr">
        <is>
          <t>🔒 CHỐNG RÒ RỈ DỮ LIỆU — seed dữ liệu người dùng khác rồi khẳng định không lọt vào kết quả. Cùng lớp lỗ hổng với IDOR L1-ORD-71 đã vá; giữ nguyên khi refactor.  |  Coverage 100% · nguồn: AuthQuotationControllerTests.cs</t>
        </is>
      </c>
    </row>
    <row r="199" ht="18" customHeight="1">
      <c r="A199" s="50" t="inlineStr">
        <is>
          <t xml:space="preserve">  ▶  Block: OrderService  —  SePayController · OrderController · DeliveryController  ·  coverage 96–100%  ·  StockTransferAndSePayControllerTests.cs · OrderPurchaseOrderControllerTests.cs · DeliveryInventoryAdminControllerTests.cs</t>
        </is>
      </c>
    </row>
    <row r="200" ht="61.5" customHeight="1">
      <c r="A200" s="26" t="inlineStr">
        <is>
          <t>CVG-168</t>
        </is>
      </c>
      <c r="B200" s="37" t="inlineStr">
        <is>
          <t>Coverage (code-driven)</t>
        </is>
      </c>
      <c r="C200" s="27" t="inlineStr">
        <is>
          <t>GetCheckoutSummary() — 3 test con [L1-ORD-115 → L1-ORD-117]
· GetCheckoutSummary_Success_ReturnsOk
· GetCheckoutSummary_WhenCartEmpty_Returns404
· GetCheckoutSummary_WithoutUserClaim_Returns400</t>
        </is>
      </c>
      <c r="D200" s="27" t="inlineStr">
        <is>
          <t>COVERAGE (code-driven)</t>
        </is>
      </c>
      <c r="E200" s="28" t="inlineStr">
        <is>
          <t>P1</t>
        </is>
      </c>
      <c r="F200" s="40" t="inlineStr">
        <is>
          <t>Mock dependency của controller theo tên test</t>
        </is>
      </c>
      <c r="G200" s="27" t="inlineStr">
        <is>
          <t>SePayController · OrderController · DeliveryController.GetCheckoutSummary()</t>
        </is>
      </c>
      <c r="H200" s="40" t="inlineStr">
        <is>
          <t>Xem assertion trong file test nguồn (tên test tra ngược 1-1)</t>
        </is>
      </c>
      <c r="I200" s="29" t="inlineStr">
        <is>
          <t>Cả hai</t>
        </is>
      </c>
      <c r="J200" s="39" t="inlineStr">
        <is>
          <t>Pass</t>
        </is>
      </c>
      <c r="K200" s="27" t="n"/>
      <c r="L200" s="40" t="inlineStr">
        <is>
          <t>Coverage 96–100% · nguồn: StockTransferAndSePayControllerTests.cs · OrderPurchaseOrderControllerTests.cs · DeliveryInventoryAdminControllerTests.cs</t>
        </is>
      </c>
    </row>
    <row r="201" ht="73.5" customHeight="1">
      <c r="A201" s="31" t="inlineStr">
        <is>
          <t>CVG-169</t>
        </is>
      </c>
      <c r="B201" s="37" t="inlineStr">
        <is>
          <t>Coverage (code-driven)</t>
        </is>
      </c>
      <c r="C201" s="32" t="inlineStr">
        <is>
          <t>PlaceOrder() — 4 test con [L1-ORD-118 → L1-ORD-121]
· PlaceOrder_WhenModelStateInvalid_Returns400WithoutCallingService
· PlaceOrder_Success_ReturnsOk
· PlaceOrder_WhenAddressMissing_Returns404
· PlaceOrder_WhenStockInsufficient_Returns400</t>
        </is>
      </c>
      <c r="D201" s="32" t="inlineStr">
        <is>
          <t>COVERAGE (code-driven)</t>
        </is>
      </c>
      <c r="E201" s="28" t="inlineStr">
        <is>
          <t>P1</t>
        </is>
      </c>
      <c r="F201" s="38" t="inlineStr">
        <is>
          <t>Mock dependency của controller theo tên test</t>
        </is>
      </c>
      <c r="G201" s="32" t="inlineStr">
        <is>
          <t>SePayController · OrderController · DeliveryController.PlaceOrder()</t>
        </is>
      </c>
      <c r="H201" s="38" t="inlineStr">
        <is>
          <t>Xem assertion trong file test nguồn (tên test tra ngược 1-1)</t>
        </is>
      </c>
      <c r="I201" s="35" t="inlineStr">
        <is>
          <t>Cả hai</t>
        </is>
      </c>
      <c r="J201" s="39" t="inlineStr">
        <is>
          <t>Pass</t>
        </is>
      </c>
      <c r="K201" s="32" t="n"/>
      <c r="L201" s="38" t="inlineStr">
        <is>
          <t>Coverage 96–100% · nguồn: StockTransferAndSePayControllerTests.cs · OrderPurchaseOrderControllerTests.cs · DeliveryInventoryAdminControllerTests.cs</t>
        </is>
      </c>
    </row>
    <row r="202" ht="61.5" customHeight="1">
      <c r="A202" s="26" t="inlineStr">
        <is>
          <t>CVG-170</t>
        </is>
      </c>
      <c r="B202" s="37" t="inlineStr">
        <is>
          <t>Coverage (code-driven)</t>
        </is>
      </c>
      <c r="C202" s="27" t="inlineStr">
        <is>
          <t>GenerateSePayQr() — 3 test con [L1-ORD-122 → L1-ORD-124]
· GenerateSePayQr_Success_PassesCallerIdentity
· GenerateSePayQr_WhenOrderOfAnotherCustomer_Returns403
· GenerateSePayQr_WhenOrderAlreadyPaid_Returns400</t>
        </is>
      </c>
      <c r="D202" s="27" t="inlineStr">
        <is>
          <t>COVERAGE (code-driven)</t>
        </is>
      </c>
      <c r="E202" s="28" t="inlineStr">
        <is>
          <t>P1</t>
        </is>
      </c>
      <c r="F202" s="40" t="inlineStr">
        <is>
          <t>Mock dependency của controller theo tên test</t>
        </is>
      </c>
      <c r="G202" s="27" t="inlineStr">
        <is>
          <t>SePayController · OrderController · DeliveryController.GenerateSePayQr()</t>
        </is>
      </c>
      <c r="H202" s="40" t="inlineStr">
        <is>
          <t>Xem assertion trong file test nguồn (tên test tra ngược 1-1)</t>
        </is>
      </c>
      <c r="I202" s="29" t="inlineStr">
        <is>
          <t>Cả hai</t>
        </is>
      </c>
      <c r="J202" s="39" t="inlineStr">
        <is>
          <t>Pass</t>
        </is>
      </c>
      <c r="K202" s="27" t="n"/>
      <c r="L202" s="40" t="inlineStr">
        <is>
          <t>Coverage 96–100% · nguồn: StockTransferAndSePayControllerTests.cs · OrderPurchaseOrderControllerTests.cs · DeliveryInventoryAdminControllerTests.cs</t>
        </is>
      </c>
    </row>
    <row r="203" ht="61.5" customHeight="1">
      <c r="A203" s="31" t="inlineStr">
        <is>
          <t>CVG-171</t>
        </is>
      </c>
      <c r="B203" s="37" t="inlineStr">
        <is>
          <t>Coverage (code-driven)</t>
        </is>
      </c>
      <c r="C203" s="32" t="inlineStr">
        <is>
          <t>GetPaymentStatus() — 3 test con [L1-ORD-125 → L1-ORD-127]
· GetPaymentStatus_Success_ReturnsOk
· GetPaymentStatus_WhenOrderOfAnotherCustomer_Returns403
· GetPaymentStatus_WhenServiceThrows_Returns400</t>
        </is>
      </c>
      <c r="D203" s="32" t="inlineStr">
        <is>
          <t>COVERAGE (code-driven)</t>
        </is>
      </c>
      <c r="E203" s="28" t="inlineStr">
        <is>
          <t>P1</t>
        </is>
      </c>
      <c r="F203" s="38" t="inlineStr">
        <is>
          <t>Mock dependency của controller theo tên test</t>
        </is>
      </c>
      <c r="G203" s="32" t="inlineStr">
        <is>
          <t>SePayController · OrderController · DeliveryController.GetPaymentStatus()</t>
        </is>
      </c>
      <c r="H203" s="38" t="inlineStr">
        <is>
          <t>Xem assertion trong file test nguồn (tên test tra ngược 1-1)</t>
        </is>
      </c>
      <c r="I203" s="35" t="inlineStr">
        <is>
          <t>Cả hai</t>
        </is>
      </c>
      <c r="J203" s="39" t="inlineStr">
        <is>
          <t>Pass</t>
        </is>
      </c>
      <c r="K203" s="32" t="n"/>
      <c r="L203" s="38" t="inlineStr">
        <is>
          <t>Coverage 96–100% · nguồn: StockTransferAndSePayControllerTests.cs · OrderPurchaseOrderControllerTests.cs · DeliveryInventoryAdminControllerTests.cs</t>
        </is>
      </c>
    </row>
    <row r="204" ht="73.5" customHeight="1">
      <c r="A204" s="26" t="inlineStr">
        <is>
          <t>CVG-172</t>
        </is>
      </c>
      <c r="B204" s="37" t="inlineStr">
        <is>
          <t>Coverage (code-driven)</t>
        </is>
      </c>
      <c r="C204" s="27" t="inlineStr">
        <is>
          <t>PlaceDirectOrder() — 4 test con [L1-ORD-128 → L1-ORD-131]
· PlaceDirectOrder_WhenModelStateInvalid_Returns400
· PlaceDirectOrder_Success_ReturnsOk
· PlaceDirectOrder_WhenProductMissing_Returns404
· PlaceDirectOrder_WhenServiceThrows_Returns400</t>
        </is>
      </c>
      <c r="D204" s="27" t="inlineStr">
        <is>
          <t>COVERAGE (code-driven)</t>
        </is>
      </c>
      <c r="E204" s="28" t="inlineStr">
        <is>
          <t>P1</t>
        </is>
      </c>
      <c r="F204" s="40" t="inlineStr">
        <is>
          <t>Mock dependency của controller theo tên test</t>
        </is>
      </c>
      <c r="G204" s="27" t="inlineStr">
        <is>
          <t>SePayController · OrderController · DeliveryController.PlaceDirectOrder()</t>
        </is>
      </c>
      <c r="H204" s="40" t="inlineStr">
        <is>
          <t>Xem assertion trong file test nguồn (tên test tra ngược 1-1)</t>
        </is>
      </c>
      <c r="I204" s="29" t="inlineStr">
        <is>
          <t>Cả hai</t>
        </is>
      </c>
      <c r="J204" s="39" t="inlineStr">
        <is>
          <t>Pass</t>
        </is>
      </c>
      <c r="K204" s="27" t="n"/>
      <c r="L204" s="40" t="inlineStr">
        <is>
          <t>Coverage 96–100% · nguồn: StockTransferAndSePayControllerTests.cs · OrderPurchaseOrderControllerTests.cs · DeliveryInventoryAdminControllerTests.cs</t>
        </is>
      </c>
    </row>
    <row r="205" ht="73.5" customHeight="1">
      <c r="A205" s="31" t="inlineStr">
        <is>
          <t>CVG-173</t>
        </is>
      </c>
      <c r="B205" s="37" t="inlineStr">
        <is>
          <t>Coverage (code-driven)</t>
        </is>
      </c>
      <c r="C205" s="32" t="inlineStr">
        <is>
          <t>ConfirmPayment() — 4 test con [L1-ORD-132 → L1-ORD-135]
· ConfirmPayment_Success_ReturnsOk
· ConfirmPayment_WhenOrderMissing_Returns404
· ConfirmPayment_WhenAlreadyPaid_Returns409
· ConfirmPayment_WhenServiceThrows_Returns400</t>
        </is>
      </c>
      <c r="D205" s="32" t="inlineStr">
        <is>
          <t>COVERAGE (code-driven)</t>
        </is>
      </c>
      <c r="E205" s="28" t="inlineStr">
        <is>
          <t>P1</t>
        </is>
      </c>
      <c r="F205" s="38" t="inlineStr">
        <is>
          <t>Mock dependency của controller theo tên test</t>
        </is>
      </c>
      <c r="G205" s="32" t="inlineStr">
        <is>
          <t>SePayController · OrderController · DeliveryController.ConfirmPayment()</t>
        </is>
      </c>
      <c r="H205" s="38" t="inlineStr">
        <is>
          <t>Xem assertion trong file test nguồn (tên test tra ngược 1-1)</t>
        </is>
      </c>
      <c r="I205" s="35" t="inlineStr">
        <is>
          <t>Cả hai</t>
        </is>
      </c>
      <c r="J205" s="39" t="inlineStr">
        <is>
          <t>Pass</t>
        </is>
      </c>
      <c r="K205" s="32" t="n"/>
      <c r="L205" s="38" t="inlineStr">
        <is>
          <t>Coverage 96–100% · nguồn: StockTransferAndSePayControllerTests.cs · OrderPurchaseOrderControllerTests.cs · DeliveryInventoryAdminControllerTests.cs</t>
        </is>
      </c>
    </row>
    <row r="206" ht="73.5" customHeight="1">
      <c r="A206" s="26" t="inlineStr">
        <is>
          <t>CVG-174</t>
        </is>
      </c>
      <c r="B206" s="37" t="inlineStr">
        <is>
          <t>Coverage (code-driven)</t>
        </is>
      </c>
      <c r="C206" s="27" t="inlineStr">
        <is>
          <t>GetSalesDashboard() — 4 test con [L1-ORD-136 → L1-ORD-139]
· GetSalesDashboard_AsSalesStaff_ScopesToOwnData
· GetSalesDashboard_AsSalesManager_SeesWholeSystem
· GetSalesDashboard_WhenServiceThrows_Returns400
· GetSalesDashboard_WhenDataMissing_Returns404</t>
        </is>
      </c>
      <c r="D206" s="27" t="inlineStr">
        <is>
          <t>COVERAGE (code-driven)</t>
        </is>
      </c>
      <c r="E206" s="28" t="inlineStr">
        <is>
          <t>P1</t>
        </is>
      </c>
      <c r="F206" s="40" t="inlineStr">
        <is>
          <t>Mock dependency của controller theo tên test</t>
        </is>
      </c>
      <c r="G206" s="27" t="inlineStr">
        <is>
          <t>SePayController · OrderController · DeliveryController.GetSalesDashboard()</t>
        </is>
      </c>
      <c r="H206" s="40" t="inlineStr">
        <is>
          <t>Xem assertion trong file test nguồn (tên test tra ngược 1-1)</t>
        </is>
      </c>
      <c r="I206" s="29" t="inlineStr">
        <is>
          <t>Cả hai</t>
        </is>
      </c>
      <c r="J206" s="39" t="inlineStr">
        <is>
          <t>Pass</t>
        </is>
      </c>
      <c r="K206" s="27" t="n"/>
      <c r="L206" s="41" t="inlineStr">
        <is>
          <t>🔒 CHỐNG RÒ RỈ DỮ LIỆU — seed dữ liệu người dùng khác rồi khẳng định không lọt vào kết quả. Cùng lớp lỗ hổng với IDOR L1-ORD-71 đã vá; giữ nguyên khi refactor.  |  Coverage 96–100% · nguồn: StockTransferAndSePayControllerTests.cs · OrderPurchaseOrderControllerTests.cs · DeliveryInventoryAdminControllerTests.cs</t>
        </is>
      </c>
    </row>
    <row r="207" ht="73.5" customHeight="1">
      <c r="A207" s="31" t="inlineStr">
        <is>
          <t>CVG-175</t>
        </is>
      </c>
      <c r="B207" s="37" t="inlineStr">
        <is>
          <t>Coverage (code-driven)</t>
        </is>
      </c>
      <c r="C207" s="32" t="inlineStr">
        <is>
          <t>UploadInvoicePdf() — 4 test con [L1-ORD-140 → L1-ORD-143]
· UploadInvoicePdf_WhenModelStateInvalid_Returns400
· UploadInvoicePdf_Success_ReturnsOk
· UploadInvoicePdf_WhenOrderOfAnotherCustomer_Returns403
· UploadInvoicePdf_WhenServiceThrows_Returns400</t>
        </is>
      </c>
      <c r="D207" s="32" t="inlineStr">
        <is>
          <t>COVERAGE (code-driven)</t>
        </is>
      </c>
      <c r="E207" s="28" t="inlineStr">
        <is>
          <t>P1</t>
        </is>
      </c>
      <c r="F207" s="38" t="inlineStr">
        <is>
          <t>Mock dependency của controller theo tên test</t>
        </is>
      </c>
      <c r="G207" s="32" t="inlineStr">
        <is>
          <t>SePayController · OrderController · DeliveryController.UploadInvoicePdf()</t>
        </is>
      </c>
      <c r="H207" s="38" t="inlineStr">
        <is>
          <t>Xem assertion trong file test nguồn (tên test tra ngược 1-1)</t>
        </is>
      </c>
      <c r="I207" s="35" t="inlineStr">
        <is>
          <t>Cả hai</t>
        </is>
      </c>
      <c r="J207" s="39" t="inlineStr">
        <is>
          <t>Pass</t>
        </is>
      </c>
      <c r="K207" s="32" t="n"/>
      <c r="L207" s="38" t="inlineStr">
        <is>
          <t>Coverage 96–100% · nguồn: StockTransferAndSePayControllerTests.cs · OrderPurchaseOrderControllerTests.cs · DeliveryInventoryAdminControllerTests.cs</t>
        </is>
      </c>
    </row>
    <row r="208" ht="61.5" customHeight="1">
      <c r="A208" s="26" t="inlineStr">
        <is>
          <t>CVG-176</t>
        </is>
      </c>
      <c r="B208" s="37" t="inlineStr">
        <is>
          <t>Coverage (code-driven)</t>
        </is>
      </c>
      <c r="C208" s="27" t="inlineStr">
        <is>
          <t>GetMyOrderHistory() — 3 test con [L1-ORD-144 → L1-ORD-146]
· GetMyOrderHistory_Success_ScopesToCaller
· GetMyOrderHistory_WithoutUserClaim_Returns401
· GetMyOrderHistory_WhenServiceThrows_Returns400</t>
        </is>
      </c>
      <c r="D208" s="27" t="inlineStr">
        <is>
          <t>COVERAGE (code-driven)</t>
        </is>
      </c>
      <c r="E208" s="28" t="inlineStr">
        <is>
          <t>P1</t>
        </is>
      </c>
      <c r="F208" s="40" t="inlineStr">
        <is>
          <t>Mock dependency của controller theo tên test</t>
        </is>
      </c>
      <c r="G208" s="27" t="inlineStr">
        <is>
          <t>SePayController · OrderController · DeliveryController.GetMyOrderHistory()</t>
        </is>
      </c>
      <c r="H208" s="40" t="inlineStr">
        <is>
          <t>Xem assertion trong file test nguồn (tên test tra ngược 1-1)</t>
        </is>
      </c>
      <c r="I208" s="29" t="inlineStr">
        <is>
          <t>Cả hai</t>
        </is>
      </c>
      <c r="J208" s="39" t="inlineStr">
        <is>
          <t>Pass</t>
        </is>
      </c>
      <c r="K208" s="27" t="n"/>
      <c r="L208" s="40" t="inlineStr">
        <is>
          <t>Coverage 96–100% · nguồn: StockTransferAndSePayControllerTests.cs · OrderPurchaseOrderControllerTests.cs · DeliveryInventoryAdminControllerTests.cs</t>
        </is>
      </c>
    </row>
    <row r="209" ht="73.5" customHeight="1">
      <c r="A209" s="31" t="inlineStr">
        <is>
          <t>CVG-177</t>
        </is>
      </c>
      <c r="B209" s="37" t="inlineStr">
        <is>
          <t>Coverage (code-driven)</t>
        </is>
      </c>
      <c r="C209" s="32" t="inlineStr">
        <is>
          <t>GetMyOrderDetail() — 4 test con [L1-ORD-147 → L1-ORD-150]
· GetMyOrderDetail_Success_ReturnsOk
· GetMyOrderDetail_WhenOrderMissing_Returns404
· GetMyOrderDetail_WhenOrderOfAnotherCustomer_Returns401
· GetMyOrderDetail_WhenServiceThrows_Returns400</t>
        </is>
      </c>
      <c r="D209" s="32" t="inlineStr">
        <is>
          <t>COVERAGE (code-driven)</t>
        </is>
      </c>
      <c r="E209" s="28" t="inlineStr">
        <is>
          <t>P1</t>
        </is>
      </c>
      <c r="F209" s="38" t="inlineStr">
        <is>
          <t>Mock dependency của controller theo tên test</t>
        </is>
      </c>
      <c r="G209" s="32" t="inlineStr">
        <is>
          <t>SePayController · OrderController · DeliveryController.GetMyOrderDetail()</t>
        </is>
      </c>
      <c r="H209" s="38" t="inlineStr">
        <is>
          <t>Xem assertion trong file test nguồn (tên test tra ngược 1-1)</t>
        </is>
      </c>
      <c r="I209" s="35" t="inlineStr">
        <is>
          <t>Cả hai</t>
        </is>
      </c>
      <c r="J209" s="39" t="inlineStr">
        <is>
          <t>Pass</t>
        </is>
      </c>
      <c r="K209" s="32" t="n"/>
      <c r="L209" s="38" t="inlineStr">
        <is>
          <t>Coverage 96–100% · nguồn: StockTransferAndSePayControllerTests.cs · OrderPurchaseOrderControllerTests.cs · DeliveryInventoryAdminControllerTests.cs</t>
        </is>
      </c>
    </row>
    <row r="210" ht="73.5" customHeight="1">
      <c r="A210" s="26" t="inlineStr">
        <is>
          <t>CVG-178</t>
        </is>
      </c>
      <c r="B210" s="37" t="inlineStr">
        <is>
          <t>Coverage (code-driven)</t>
        </is>
      </c>
      <c r="C210" s="27" t="inlineStr">
        <is>
          <t>TrackOrderPublic() — 4 test con [L1-ORD-151 → L1-ORD-154]
· TrackOrderPublic_Success_ReturnsOk
· TrackOrderPublic_WhenOrderMissing_Returns404
· TrackOrderPublic_WhenQueryBlank_Returns400
· TrackOrderPublic_WhenServiceThrows_Returns400</t>
        </is>
      </c>
      <c r="D210" s="27" t="inlineStr">
        <is>
          <t>COVERAGE (code-driven)</t>
        </is>
      </c>
      <c r="E210" s="34" t="inlineStr">
        <is>
          <t>P2</t>
        </is>
      </c>
      <c r="F210" s="40" t="inlineStr">
        <is>
          <t>Mock dependency của controller theo tên test</t>
        </is>
      </c>
      <c r="G210" s="27" t="inlineStr">
        <is>
          <t>SePayController · OrderController · DeliveryController.TrackOrderPublic()</t>
        </is>
      </c>
      <c r="H210" s="40" t="inlineStr">
        <is>
          <t>Xem assertion trong file test nguồn (tên test tra ngược 1-1)</t>
        </is>
      </c>
      <c r="I210" s="29" t="inlineStr">
        <is>
          <t>Cả hai</t>
        </is>
      </c>
      <c r="J210" s="39" t="inlineStr">
        <is>
          <t>Pass</t>
        </is>
      </c>
      <c r="K210" s="27" t="n"/>
      <c r="L210" s="40" t="inlineStr">
        <is>
          <t>Coverage 96–100% · nguồn: StockTransferAndSePayControllerTests.cs · OrderPurchaseOrderControllerTests.cs · DeliveryInventoryAdminControllerTests.cs</t>
        </is>
      </c>
    </row>
    <row r="211" ht="61.5" customHeight="1">
      <c r="A211" s="31" t="inlineStr">
        <is>
          <t>CVG-179</t>
        </is>
      </c>
      <c r="B211" s="37" t="inlineStr">
        <is>
          <t>Coverage (code-driven)</t>
        </is>
      </c>
      <c r="C211" s="32" t="inlineStr">
        <is>
          <t>GetMySpendingStats() — 3 test con [L1-ORD-155 → L1-ORD-157]
· GetMySpendingStats_ForwardsPeriod
· GetMySpendingStats_WithoutUserClaim_Returns401
· GetMySpendingStats_WhenServiceThrows_Returns400</t>
        </is>
      </c>
      <c r="D211" s="32" t="inlineStr">
        <is>
          <t>COVERAGE (code-driven)</t>
        </is>
      </c>
      <c r="E211" s="28" t="inlineStr">
        <is>
          <t>P1</t>
        </is>
      </c>
      <c r="F211" s="38" t="inlineStr">
        <is>
          <t>Mock dependency của controller theo tên test</t>
        </is>
      </c>
      <c r="G211" s="32" t="inlineStr">
        <is>
          <t>SePayController · OrderController · DeliveryController.GetMySpendingStats()</t>
        </is>
      </c>
      <c r="H211" s="38" t="inlineStr">
        <is>
          <t>Xem assertion trong file test nguồn (tên test tra ngược 1-1)</t>
        </is>
      </c>
      <c r="I211" s="35" t="inlineStr">
        <is>
          <t>Cả hai</t>
        </is>
      </c>
      <c r="J211" s="39" t="inlineStr">
        <is>
          <t>Pass</t>
        </is>
      </c>
      <c r="K211" s="32" t="n"/>
      <c r="L211" s="38" t="inlineStr">
        <is>
          <t>Coverage 96–100% · nguồn: StockTransferAndSePayControllerTests.cs · OrderPurchaseOrderControllerTests.cs · DeliveryInventoryAdminControllerTests.cs</t>
        </is>
      </c>
    </row>
    <row r="212" ht="85.5" customHeight="1">
      <c r="A212" s="26" t="inlineStr">
        <is>
          <t>CVG-180</t>
        </is>
      </c>
      <c r="B212" s="37" t="inlineStr">
        <is>
          <t>Coverage (code-driven)</t>
        </is>
      </c>
      <c r="C212" s="27" t="inlineStr">
        <is>
          <t>RequestVatInvoice() — 5 test con [L1-ORD-158 → L1-ORD-162]
· RequestVatInvoice_Success_ReturnsOk
· RequestVatInvoice_WhenOrderMissing_Returns404
· RequestVatInvoice_WhenProfileMissingTaxCode_Returns400
· RequestVatInvoice_WhenOrderOfAnotherCustomer_Returns401
· RequestVatInvoice_WhenServiceThrows_Returns400</t>
        </is>
      </c>
      <c r="D212" s="27" t="inlineStr">
        <is>
          <t>COVERAGE (code-driven)</t>
        </is>
      </c>
      <c r="E212" s="28" t="inlineStr">
        <is>
          <t>P1</t>
        </is>
      </c>
      <c r="F212" s="40" t="inlineStr">
        <is>
          <t>Mock dependency của controller theo tên test</t>
        </is>
      </c>
      <c r="G212" s="27" t="inlineStr">
        <is>
          <t>SePayController · OrderController · DeliveryController.RequestVatInvoice()</t>
        </is>
      </c>
      <c r="H212" s="40" t="inlineStr">
        <is>
          <t>Xem assertion trong file test nguồn (tên test tra ngược 1-1)</t>
        </is>
      </c>
      <c r="I212" s="29" t="inlineStr">
        <is>
          <t>Cả hai</t>
        </is>
      </c>
      <c r="J212" s="39" t="inlineStr">
        <is>
          <t>Pass</t>
        </is>
      </c>
      <c r="K212" s="27" t="n"/>
      <c r="L212" s="40" t="inlineStr">
        <is>
          <t>Coverage 96–100% · nguồn: StockTransferAndSePayControllerTests.cs · OrderPurchaseOrderControllerTests.cs · DeliveryInventoryAdminControllerTests.cs</t>
        </is>
      </c>
    </row>
    <row r="213" ht="61.5" customHeight="1">
      <c r="A213" s="31" t="inlineStr">
        <is>
          <t>CVG-181</t>
        </is>
      </c>
      <c r="B213" s="37" t="inlineStr">
        <is>
          <t>Coverage (code-driven)</t>
        </is>
      </c>
      <c r="C213" s="32" t="inlineStr">
        <is>
          <t>GetSalesOrders() — 3 test con [L1-ORD-163 → L1-ORD-165]
· GetSalesOrders_AsSalesStaff_ScopesToOwnCustomers
· GetSalesOrders_AsSalesManager_SeesAll
· GetSalesOrders_WhenServiceThrows_Returns400</t>
        </is>
      </c>
      <c r="D213" s="32" t="inlineStr">
        <is>
          <t>COVERAGE (code-driven)</t>
        </is>
      </c>
      <c r="E213" s="28" t="inlineStr">
        <is>
          <t>P1</t>
        </is>
      </c>
      <c r="F213" s="38" t="inlineStr">
        <is>
          <t>Mock dependency của controller theo tên test</t>
        </is>
      </c>
      <c r="G213" s="32" t="inlineStr">
        <is>
          <t>SePayController · OrderController · DeliveryController.GetSalesOrders()</t>
        </is>
      </c>
      <c r="H213" s="38" t="inlineStr">
        <is>
          <t>Xem assertion trong file test nguồn (tên test tra ngược 1-1)</t>
        </is>
      </c>
      <c r="I213" s="35" t="inlineStr">
        <is>
          <t>Cả hai</t>
        </is>
      </c>
      <c r="J213" s="39" t="inlineStr">
        <is>
          <t>Pass</t>
        </is>
      </c>
      <c r="K213" s="32" t="n"/>
      <c r="L213" s="42" t="inlineStr">
        <is>
          <t>🔒 CHỐNG RÒ RỈ DỮ LIỆU — seed dữ liệu người dùng khác rồi khẳng định không lọt vào kết quả. Cùng lớp lỗ hổng với IDOR L1-ORD-71 đã vá; giữ nguyên khi refactor.  |  Coverage 96–100% · nguồn: StockTransferAndSePayControllerTests.cs · OrderPurchaseOrderControllerTests.cs · DeliveryInventoryAdminControllerTests.cs</t>
        </is>
      </c>
    </row>
    <row r="214" ht="85.5" customHeight="1">
      <c r="A214" s="26" t="inlineStr">
        <is>
          <t>CVG-182</t>
        </is>
      </c>
      <c r="B214" s="37" t="inlineStr">
        <is>
          <t>Coverage (code-driven)</t>
        </is>
      </c>
      <c r="C214" s="27" t="inlineStr">
        <is>
          <t>GetSalesOrderDetail() — 5 test con [L1-ORD-166 → L1-ORD-170]
· GetSalesOrderDetail_AsSalesStaff_ScopesToOwnCustomers
· GetSalesOrderDetail_AsAdmin_NoScoping
· GetSalesOrderDetail_WhenMissing_Returns404
· GetSalesOrderDetail_WhenOrderOfAnotherSale_Returns403
· GetSalesOrderDetail_WhenServiceThrows_Returns400</t>
        </is>
      </c>
      <c r="D214" s="27" t="inlineStr">
        <is>
          <t>COVERAGE (code-driven)</t>
        </is>
      </c>
      <c r="E214" s="28" t="inlineStr">
        <is>
          <t>P1</t>
        </is>
      </c>
      <c r="F214" s="40" t="inlineStr">
        <is>
          <t>Mock dependency của controller theo tên test</t>
        </is>
      </c>
      <c r="G214" s="27" t="inlineStr">
        <is>
          <t>SePayController · OrderController · DeliveryController.GetSalesOrderDetail()</t>
        </is>
      </c>
      <c r="H214" s="40" t="inlineStr">
        <is>
          <t>Xem assertion trong file test nguồn (tên test tra ngược 1-1)</t>
        </is>
      </c>
      <c r="I214" s="29" t="inlineStr">
        <is>
          <t>Cả hai</t>
        </is>
      </c>
      <c r="J214" s="39" t="inlineStr">
        <is>
          <t>Pass</t>
        </is>
      </c>
      <c r="K214" s="27" t="n"/>
      <c r="L214" s="41" t="inlineStr">
        <is>
          <t>🔒 CHỐNG RÒ RỈ DỮ LIỆU — seed dữ liệu người dùng khác rồi khẳng định không lọt vào kết quả. Cùng lớp lỗ hổng với IDOR L1-ORD-71 đã vá; giữ nguyên khi refactor.  |  Coverage 96–100% · nguồn: StockTransferAndSePayControllerTests.cs · OrderPurchaseOrderControllerTests.cs · DeliveryInventoryAdminControllerTests.cs</t>
        </is>
      </c>
    </row>
    <row r="215" ht="73.5" customHeight="1">
      <c r="A215" s="31" t="inlineStr">
        <is>
          <t>CVG-183</t>
        </is>
      </c>
      <c r="B215" s="37" t="inlineStr">
        <is>
          <t>Coverage (code-driven)</t>
        </is>
      </c>
      <c r="C215" s="32" t="inlineStr">
        <is>
          <t>ConfirmSalesOrder() — 4 test con [L1-ORD-171 → L1-ORD-174]
· ConfirmSalesOrder_Success_ReturnsOk
· ConfirmSalesOrder_WhenMissing_Returns404
· ConfirmSalesOrder_WhenWrongState_Returns400
· ConfirmSalesOrder_WhenServiceThrows_Returns400</t>
        </is>
      </c>
      <c r="D215" s="32" t="inlineStr">
        <is>
          <t>COVERAGE (code-driven)</t>
        </is>
      </c>
      <c r="E215" s="28" t="inlineStr">
        <is>
          <t>P1</t>
        </is>
      </c>
      <c r="F215" s="38" t="inlineStr">
        <is>
          <t>Mock dependency của controller theo tên test</t>
        </is>
      </c>
      <c r="G215" s="32" t="inlineStr">
        <is>
          <t>SePayController · OrderController · DeliveryController.ConfirmSalesOrder()</t>
        </is>
      </c>
      <c r="H215" s="38" t="inlineStr">
        <is>
          <t>Xem assertion trong file test nguồn (tên test tra ngược 1-1)</t>
        </is>
      </c>
      <c r="I215" s="35" t="inlineStr">
        <is>
          <t>Cả hai</t>
        </is>
      </c>
      <c r="J215" s="39" t="inlineStr">
        <is>
          <t>Pass</t>
        </is>
      </c>
      <c r="K215" s="32" t="n"/>
      <c r="L215" s="38" t="inlineStr">
        <is>
          <t>Coverage 96–100% · nguồn: StockTransferAndSePayControllerTests.cs · OrderPurchaseOrderControllerTests.cs · DeliveryInventoryAdminControllerTests.cs</t>
        </is>
      </c>
    </row>
    <row r="216" ht="73.5" customHeight="1">
      <c r="A216" s="26" t="inlineStr">
        <is>
          <t>CVG-184</t>
        </is>
      </c>
      <c r="B216" s="37" t="inlineStr">
        <is>
          <t>Coverage (code-driven)</t>
        </is>
      </c>
      <c r="C216" s="27" t="inlineStr">
        <is>
          <t>RejectSalesOrder() — 4 test con [L1-ORD-175 → L1-ORD-178]
· RejectSalesOrder_WhenModelStateInvalid_Returns400
· RejectSalesOrder_Success_ForwardsReason
· RejectSalesOrder_WhenMissing_Returns404
· RejectSalesOrder_WhenWrongState_Returns400</t>
        </is>
      </c>
      <c r="D216" s="27" t="inlineStr">
        <is>
          <t>COVERAGE (code-driven)</t>
        </is>
      </c>
      <c r="E216" s="28" t="inlineStr">
        <is>
          <t>P1</t>
        </is>
      </c>
      <c r="F216" s="40" t="inlineStr">
        <is>
          <t>Mock dependency của controller theo tên test</t>
        </is>
      </c>
      <c r="G216" s="27" t="inlineStr">
        <is>
          <t>SePayController · OrderController · DeliveryController.RejectSalesOrder()</t>
        </is>
      </c>
      <c r="H216" s="40" t="inlineStr">
        <is>
          <t>Xem assertion trong file test nguồn (tên test tra ngược 1-1)</t>
        </is>
      </c>
      <c r="I216" s="29" t="inlineStr">
        <is>
          <t>Cả hai</t>
        </is>
      </c>
      <c r="J216" s="39" t="inlineStr">
        <is>
          <t>Pass</t>
        </is>
      </c>
      <c r="K216" s="27" t="n"/>
      <c r="L216" s="40" t="inlineStr">
        <is>
          <t>Coverage 96–100% · nguồn: StockTransferAndSePayControllerTests.cs · OrderPurchaseOrderControllerTests.cs · DeliveryInventoryAdminControllerTests.cs</t>
        </is>
      </c>
    </row>
    <row r="217" ht="85.5" customHeight="1">
      <c r="A217" s="31" t="inlineStr">
        <is>
          <t>CVG-185</t>
        </is>
      </c>
      <c r="B217" s="37" t="inlineStr">
        <is>
          <t>Coverage (code-driven)</t>
        </is>
      </c>
      <c r="C217" s="32" t="inlineStr">
        <is>
          <t>RequestCancelOrder() — 5 test con [L1-ORD-179 → L1-ORD-183]
· RequestCancelOrder_WhenModelStateInvalid_Returns400
· RequestCancelOrder_Success_ReturnsOk
· RequestCancelOrder_WhenMissing_Returns404
· RequestCancelOrder_WhenOrderAlreadyShipped_Returns400
· RequestCancelOrder_WhenServiceThrows_Returns400</t>
        </is>
      </c>
      <c r="D217" s="32" t="inlineStr">
        <is>
          <t>COVERAGE (code-driven)</t>
        </is>
      </c>
      <c r="E217" s="28" t="inlineStr">
        <is>
          <t>P1</t>
        </is>
      </c>
      <c r="F217" s="38" t="inlineStr">
        <is>
          <t>Mock dependency của controller theo tên test</t>
        </is>
      </c>
      <c r="G217" s="32" t="inlineStr">
        <is>
          <t>SePayController · OrderController · DeliveryController.RequestCancelOrder()</t>
        </is>
      </c>
      <c r="H217" s="38" t="inlineStr">
        <is>
          <t>Xem assertion trong file test nguồn (tên test tra ngược 1-1)</t>
        </is>
      </c>
      <c r="I217" s="35" t="inlineStr">
        <is>
          <t>Cả hai</t>
        </is>
      </c>
      <c r="J217" s="39" t="inlineStr">
        <is>
          <t>Pass</t>
        </is>
      </c>
      <c r="K217" s="32" t="n"/>
      <c r="L217" s="38" t="inlineStr">
        <is>
          <t>Coverage 96–100% · nguồn: StockTransferAndSePayControllerTests.cs · OrderPurchaseOrderControllerTests.cs · DeliveryInventoryAdminControllerTests.cs</t>
        </is>
      </c>
    </row>
    <row r="218" ht="85.5" customHeight="1">
      <c r="A218" s="26" t="inlineStr">
        <is>
          <t>CVG-186</t>
        </is>
      </c>
      <c r="B218" s="37" t="inlineStr">
        <is>
          <t>Coverage (code-driven)</t>
        </is>
      </c>
      <c r="C218" s="27" t="inlineStr">
        <is>
          <t>ProcessCancelRequest() — 5 test con [L1-ORD-184 → L1-ORD-188]
· ProcessCancelRequest_WhenModelStateInvalid_Returns400
· ProcessCancelRequest_Success_ReturnsOk
· ProcessCancelRequest_WhenMissing_Returns404
· ProcessCancelRequest_WhenNoPendingRequest_Returns400
· ProcessCancelRequest_WhenServiceThrows_Returns400</t>
        </is>
      </c>
      <c r="D218" s="27" t="inlineStr">
        <is>
          <t>COVERAGE (code-driven)</t>
        </is>
      </c>
      <c r="E218" s="28" t="inlineStr">
        <is>
          <t>P1</t>
        </is>
      </c>
      <c r="F218" s="40" t="inlineStr">
        <is>
          <t>Mock dependency của controller theo tên test</t>
        </is>
      </c>
      <c r="G218" s="27" t="inlineStr">
        <is>
          <t>SePayController · OrderController · DeliveryController.ProcessCancelRequest()</t>
        </is>
      </c>
      <c r="H218" s="40" t="inlineStr">
        <is>
          <t>Xem assertion trong file test nguồn (tên test tra ngược 1-1)</t>
        </is>
      </c>
      <c r="I218" s="29" t="inlineStr">
        <is>
          <t>Cả hai</t>
        </is>
      </c>
      <c r="J218" s="39" t="inlineStr">
        <is>
          <t>Pass</t>
        </is>
      </c>
      <c r="K218" s="27" t="n"/>
      <c r="L218" s="40" t="inlineStr">
        <is>
          <t>Coverage 96–100% · nguồn: StockTransferAndSePayControllerTests.cs · OrderPurchaseOrderControllerTests.cs · DeliveryInventoryAdminControllerTests.cs</t>
        </is>
      </c>
    </row>
    <row r="219" ht="85.5" customHeight="1">
      <c r="A219" s="31" t="inlineStr">
        <is>
          <t>CVG-187</t>
        </is>
      </c>
      <c r="B219" s="37" t="inlineStr">
        <is>
          <t>Coverage (code-driven)</t>
        </is>
      </c>
      <c r="C219" s="32" t="inlineStr">
        <is>
          <t>CreateReturnExchangeRequest() — 5 test con [L1-ORD-189 → L1-ORD-193]
· CreateReturnExchangeRequest_WhenModelStateInvalid_Returns400
· CreateReturnExchangeRequest_Success_ReturnsOk
· CreateReturnExchangeRequest_WhenOrderMissing_Returns404
· CreateReturnExchangeRequest_WhenPastReturnWindow_Returns400
· CreateReturnExchangeRequest_WhenServiceThrows_Returns400</t>
        </is>
      </c>
      <c r="D219" s="32" t="inlineStr">
        <is>
          <t>COVERAGE (code-driven)</t>
        </is>
      </c>
      <c r="E219" s="28" t="inlineStr">
        <is>
          <t>P1</t>
        </is>
      </c>
      <c r="F219" s="38" t="inlineStr">
        <is>
          <t>Mock dependency của controller theo tên test</t>
        </is>
      </c>
      <c r="G219" s="32" t="inlineStr">
        <is>
          <t>SePayController · OrderController · DeliveryController.CreateReturnExchangeRequest()</t>
        </is>
      </c>
      <c r="H219" s="38" t="inlineStr">
        <is>
          <t>Xem assertion trong file test nguồn (tên test tra ngược 1-1)</t>
        </is>
      </c>
      <c r="I219" s="35" t="inlineStr">
        <is>
          <t>Cả hai</t>
        </is>
      </c>
      <c r="J219" s="39" t="inlineStr">
        <is>
          <t>Pass</t>
        </is>
      </c>
      <c r="K219" s="32" t="n"/>
      <c r="L219" s="38" t="inlineStr">
        <is>
          <t>Coverage 96–100% · nguồn: StockTransferAndSePayControllerTests.cs · OrderPurchaseOrderControllerTests.cs · DeliveryInventoryAdminControllerTests.cs</t>
        </is>
      </c>
    </row>
    <row r="220" ht="85.5" customHeight="1">
      <c r="A220" s="26" t="inlineStr">
        <is>
          <t>CVG-188</t>
        </is>
      </c>
      <c r="B220" s="37" t="inlineStr">
        <is>
          <t>Coverage (code-driven)</t>
        </is>
      </c>
      <c r="C220" s="27" t="inlineStr">
        <is>
          <t>ProcessReturnExchangeRequest() — 5 test con [L1-ORD-194 → L1-ORD-198]
· ProcessReturnExchangeRequest_WhenModelStateInvalid_Returns400
· ProcessReturnExchangeRequest_Success_ReturnsOk
· ProcessReturnExchangeRequest_WhenMissing_Returns404
· ProcessReturnExchangeRequest_WhenAlreadyProcessed_Returns400
· ProcessReturnExchangeRequest_WhenServiceThrows_Returns400</t>
        </is>
      </c>
      <c r="D220" s="27" t="inlineStr">
        <is>
          <t>COVERAGE (code-driven)</t>
        </is>
      </c>
      <c r="E220" s="28" t="inlineStr">
        <is>
          <t>P1</t>
        </is>
      </c>
      <c r="F220" s="40" t="inlineStr">
        <is>
          <t>Mock dependency của controller theo tên test</t>
        </is>
      </c>
      <c r="G220" s="27" t="inlineStr">
        <is>
          <t>SePayController · OrderController · DeliveryController.ProcessReturnExchangeRequest()</t>
        </is>
      </c>
      <c r="H220" s="40" t="inlineStr">
        <is>
          <t>Xem assertion trong file test nguồn (tên test tra ngược 1-1)</t>
        </is>
      </c>
      <c r="I220" s="29" t="inlineStr">
        <is>
          <t>Cả hai</t>
        </is>
      </c>
      <c r="J220" s="39" t="inlineStr">
        <is>
          <t>Pass</t>
        </is>
      </c>
      <c r="K220" s="27" t="n"/>
      <c r="L220" s="40" t="inlineStr">
        <is>
          <t>Coverage 96–100% · nguồn: StockTransferAndSePayControllerTests.cs · OrderPurchaseOrderControllerTests.cs · DeliveryInventoryAdminControllerTests.cs</t>
        </is>
      </c>
    </row>
    <row r="221" ht="73.5" customHeight="1">
      <c r="A221" s="31" t="inlineStr">
        <is>
          <t>CVG-189</t>
        </is>
      </c>
      <c r="B221" s="37" t="inlineStr">
        <is>
          <t>Coverage (code-driven)</t>
        </is>
      </c>
      <c r="C221" s="32" t="inlineStr">
        <is>
          <t>UploadEvidence() — 4 test con [L1-ORD-199 → L1-ORD-202]
· UploadEvidence_WhenNoFile_Returns400WithoutCallingCloudinary
· UploadEvidence_WhenFileEmpty_Returns400
· UploadEvidence_Success_ReturnsUrl
· UploadEvidence_WhenUploadFails_Returns400</t>
        </is>
      </c>
      <c r="D221" s="32" t="inlineStr">
        <is>
          <t>COVERAGE (code-driven)</t>
        </is>
      </c>
      <c r="E221" s="36" t="inlineStr">
        <is>
          <t>P2</t>
        </is>
      </c>
      <c r="F221" s="38" t="inlineStr">
        <is>
          <t>Mock dependency của controller theo tên test</t>
        </is>
      </c>
      <c r="G221" s="32" t="inlineStr">
        <is>
          <t>SePayController · OrderController · DeliveryController.UploadEvidence()</t>
        </is>
      </c>
      <c r="H221" s="38" t="inlineStr">
        <is>
          <t>Xem assertion trong file test nguồn (tên test tra ngược 1-1)</t>
        </is>
      </c>
      <c r="I221" s="35" t="inlineStr">
        <is>
          <t>Cả hai</t>
        </is>
      </c>
      <c r="J221" s="39" t="inlineStr">
        <is>
          <t>Pass</t>
        </is>
      </c>
      <c r="K221" s="32" t="n"/>
      <c r="L221" s="38" t="inlineStr">
        <is>
          <t>Coverage 96–100% · nguồn: StockTransferAndSePayControllerTests.cs · OrderPurchaseOrderControllerTests.cs · DeliveryInventoryAdminControllerTests.cs</t>
        </is>
      </c>
    </row>
    <row r="222" ht="18" customHeight="1">
      <c r="A222" s="50" t="inlineStr">
        <is>
          <t xml:space="preserve">  ▶  Block: PurchaseOrderService  —  PurchaseOrderController (PO)  ·  coverage 98,6%  ·  OrderPurchaseOrderControllerTests.cs</t>
        </is>
      </c>
    </row>
    <row r="223" ht="49.5" customHeight="1">
      <c r="A223" s="26" t="inlineStr">
        <is>
          <t>CVG-190</t>
        </is>
      </c>
      <c r="B223" s="37" t="inlineStr">
        <is>
          <t>Coverage (code-driven)</t>
        </is>
      </c>
      <c r="C223" s="27" t="inlineStr">
        <is>
          <t>GetWarehouses() — 2 test con [L1-PO-08 → L1-PO-09]
· GetWarehouses_ProjectsIdNameCodeOnly
· GetWarehouses_WhenEmpty_ReturnsEmptyList</t>
        </is>
      </c>
      <c r="D223" s="27" t="inlineStr">
        <is>
          <t>COVERAGE (code-driven)</t>
        </is>
      </c>
      <c r="E223" s="28" t="inlineStr">
        <is>
          <t>P1</t>
        </is>
      </c>
      <c r="F223" s="40" t="inlineStr">
        <is>
          <t>Mock dependency của controller theo tên test</t>
        </is>
      </c>
      <c r="G223" s="27" t="inlineStr">
        <is>
          <t>PurchaseOrderController (PO).GetWarehouses()</t>
        </is>
      </c>
      <c r="H223" s="40" t="inlineStr">
        <is>
          <t>Xem assertion trong file test nguồn (tên test tra ngược 1-1)</t>
        </is>
      </c>
      <c r="I223" s="29" t="inlineStr">
        <is>
          <t>Cả hai</t>
        </is>
      </c>
      <c r="J223" s="39" t="inlineStr">
        <is>
          <t>Pass</t>
        </is>
      </c>
      <c r="K223" s="27" t="n"/>
      <c r="L223" s="40" t="inlineStr">
        <is>
          <t>Coverage 98,6% · nguồn: OrderPurchaseOrderControllerTests.cs</t>
        </is>
      </c>
    </row>
    <row r="224" ht="49.5" customHeight="1">
      <c r="A224" s="31" t="inlineStr">
        <is>
          <t>CVG-191</t>
        </is>
      </c>
      <c r="B224" s="37" t="inlineStr">
        <is>
          <t>Coverage (code-driven)</t>
        </is>
      </c>
      <c r="C224" s="32" t="inlineStr">
        <is>
          <t>GetAll() — 2 test con [L1-PO-10 → L1-PO-11]
· GetAll_ForwardsStatusFilter
· GetAll_WhenServiceThrows_Returns400</t>
        </is>
      </c>
      <c r="D224" s="32" t="inlineStr">
        <is>
          <t>COVERAGE (code-driven)</t>
        </is>
      </c>
      <c r="E224" s="36" t="inlineStr">
        <is>
          <t>P2</t>
        </is>
      </c>
      <c r="F224" s="38" t="inlineStr">
        <is>
          <t>Mock dependency của controller theo tên test</t>
        </is>
      </c>
      <c r="G224" s="32" t="inlineStr">
        <is>
          <t>PurchaseOrderController (PO).GetAll()</t>
        </is>
      </c>
      <c r="H224" s="38" t="inlineStr">
        <is>
          <t>Xem assertion trong file test nguồn (tên test tra ngược 1-1)</t>
        </is>
      </c>
      <c r="I224" s="35" t="inlineStr">
        <is>
          <t>Cả hai</t>
        </is>
      </c>
      <c r="J224" s="39" t="inlineStr">
        <is>
          <t>Pass</t>
        </is>
      </c>
      <c r="K224" s="32" t="n"/>
      <c r="L224" s="38" t="inlineStr">
        <is>
          <t>Coverage 98,6% · nguồn: OrderPurchaseOrderControllerTests.cs</t>
        </is>
      </c>
    </row>
    <row r="225" ht="61.5" customHeight="1">
      <c r="A225" s="26" t="inlineStr">
        <is>
          <t>CVG-192</t>
        </is>
      </c>
      <c r="B225" s="37" t="inlineStr">
        <is>
          <t>Coverage (code-driven)</t>
        </is>
      </c>
      <c r="C225" s="27" t="inlineStr">
        <is>
          <t>GetById() — 3 test con [L1-PO-12 → L1-PO-14]
· GetById_Success_ReturnsOk
· GetById_WhenMissing_Returns404
· GetById_WhenServiceThrows_Returns400</t>
        </is>
      </c>
      <c r="D225" s="27" t="inlineStr">
        <is>
          <t>COVERAGE (code-driven)</t>
        </is>
      </c>
      <c r="E225" s="34" t="inlineStr">
        <is>
          <t>P2</t>
        </is>
      </c>
      <c r="F225" s="40" t="inlineStr">
        <is>
          <t>Mock dependency của controller theo tên test</t>
        </is>
      </c>
      <c r="G225" s="27" t="inlineStr">
        <is>
          <t>PurchaseOrderController (PO).GetById()</t>
        </is>
      </c>
      <c r="H225" s="40" t="inlineStr">
        <is>
          <t>Xem assertion trong file test nguồn (tên test tra ngược 1-1)</t>
        </is>
      </c>
      <c r="I225" s="29" t="inlineStr">
        <is>
          <t>Cả hai</t>
        </is>
      </c>
      <c r="J225" s="39" t="inlineStr">
        <is>
          <t>Pass</t>
        </is>
      </c>
      <c r="K225" s="27" t="n"/>
      <c r="L225" s="40" t="inlineStr">
        <is>
          <t>Coverage 98,6% · nguồn: OrderPurchaseOrderControllerTests.cs</t>
        </is>
      </c>
    </row>
    <row r="226" ht="49.5" customHeight="1">
      <c r="A226" s="31" t="inlineStr">
        <is>
          <t>CVG-193</t>
        </is>
      </c>
      <c r="B226" s="37" t="inlineStr">
        <is>
          <t>Coverage (code-driven)</t>
        </is>
      </c>
      <c r="C226" s="32" t="inlineStr">
        <is>
          <t>Create() — 2 test con [L1-PO-15 → L1-PO-16]
· Create_Success_PassesCeoIdFromToken
· Create_WhenSupplierMissing_Returns400</t>
        </is>
      </c>
      <c r="D226" s="32" t="inlineStr">
        <is>
          <t>COVERAGE (code-driven)</t>
        </is>
      </c>
      <c r="E226" s="28" t="inlineStr">
        <is>
          <t>P1</t>
        </is>
      </c>
      <c r="F226" s="38" t="inlineStr">
        <is>
          <t>Mock dependency của controller theo tên test</t>
        </is>
      </c>
      <c r="G226" s="32" t="inlineStr">
        <is>
          <t>PurchaseOrderController (PO).Create()</t>
        </is>
      </c>
      <c r="H226" s="38" t="inlineStr">
        <is>
          <t>Xem assertion trong file test nguồn (tên test tra ngược 1-1)</t>
        </is>
      </c>
      <c r="I226" s="35" t="inlineStr">
        <is>
          <t>Cả hai</t>
        </is>
      </c>
      <c r="J226" s="39" t="inlineStr">
        <is>
          <t>Pass</t>
        </is>
      </c>
      <c r="K226" s="32" t="n"/>
      <c r="L226" s="38" t="inlineStr">
        <is>
          <t>Coverage 98,6% · nguồn: OrderPurchaseOrderControllerTests.cs</t>
        </is>
      </c>
    </row>
    <row r="227" ht="49.5" customHeight="1">
      <c r="A227" s="26" t="inlineStr">
        <is>
          <t>CVG-194</t>
        </is>
      </c>
      <c r="B227" s="37" t="inlineStr">
        <is>
          <t>Coverage (code-driven)</t>
        </is>
      </c>
      <c r="C227" s="27" t="inlineStr">
        <is>
          <t>ImportFromExcel() — 2 test con [L1-PO-17 → L1-PO-18]
· ImportFromExcel_Success_ReturnsOk
· ImportFromExcel_WhenFileMalformed_Returns400</t>
        </is>
      </c>
      <c r="D227" s="27" t="inlineStr">
        <is>
          <t>COVERAGE (code-driven)</t>
        </is>
      </c>
      <c r="E227" s="34" t="inlineStr">
        <is>
          <t>P2</t>
        </is>
      </c>
      <c r="F227" s="40" t="inlineStr">
        <is>
          <t>Mock dependency của controller theo tên test</t>
        </is>
      </c>
      <c r="G227" s="27" t="inlineStr">
        <is>
          <t>PurchaseOrderController (PO).ImportFromExcel()</t>
        </is>
      </c>
      <c r="H227" s="40" t="inlineStr">
        <is>
          <t>Xem assertion trong file test nguồn (tên test tra ngược 1-1)</t>
        </is>
      </c>
      <c r="I227" s="29" t="inlineStr">
        <is>
          <t>Cả hai</t>
        </is>
      </c>
      <c r="J227" s="39" t="inlineStr">
        <is>
          <t>Pass</t>
        </is>
      </c>
      <c r="K227" s="27" t="n"/>
      <c r="L227" s="40" t="inlineStr">
        <is>
          <t>Coverage 98,6% · nguồn: OrderPurchaseOrderControllerTests.cs</t>
        </is>
      </c>
    </row>
    <row r="228" ht="49.5" customHeight="1">
      <c r="A228" s="31" t="inlineStr">
        <is>
          <t>CVG-195</t>
        </is>
      </c>
      <c r="B228" s="37" t="inlineStr">
        <is>
          <t>Coverage (code-driven)</t>
        </is>
      </c>
      <c r="C228" s="32" t="inlineStr">
        <is>
          <t>ImportFromImage() — 2 test con [L1-PO-19 → L1-PO-20]
· ImportFromImage_Success_ReturnsOk
· ImportFromImage_WhenOcrFails_Returns400</t>
        </is>
      </c>
      <c r="D228" s="32" t="inlineStr">
        <is>
          <t>COVERAGE (code-driven)</t>
        </is>
      </c>
      <c r="E228" s="36" t="inlineStr">
        <is>
          <t>P2</t>
        </is>
      </c>
      <c r="F228" s="38" t="inlineStr">
        <is>
          <t>Mock dependency của controller theo tên test</t>
        </is>
      </c>
      <c r="G228" s="32" t="inlineStr">
        <is>
          <t>PurchaseOrderController (PO).ImportFromImage()</t>
        </is>
      </c>
      <c r="H228" s="38" t="inlineStr">
        <is>
          <t>Xem assertion trong file test nguồn (tên test tra ngược 1-1)</t>
        </is>
      </c>
      <c r="I228" s="35" t="inlineStr">
        <is>
          <t>Cả hai</t>
        </is>
      </c>
      <c r="J228" s="39" t="inlineStr">
        <is>
          <t>Pass</t>
        </is>
      </c>
      <c r="K228" s="32" t="n"/>
      <c r="L228" s="38" t="inlineStr">
        <is>
          <t>Coverage 98,6% · nguồn: OrderPurchaseOrderControllerTests.cs</t>
        </is>
      </c>
    </row>
    <row r="229" ht="85.5" customHeight="1">
      <c r="A229" s="26" t="inlineStr">
        <is>
          <t>CVG-196</t>
        </is>
      </c>
      <c r="B229" s="37" t="inlineStr">
        <is>
          <t>Coverage (code-driven)</t>
        </is>
      </c>
      <c r="C229" s="27" t="inlineStr">
        <is>
          <t>UpdateDraft() — 5 test con [L1-PO-21 → L1-PO-25]
· UpdateDraft_Success_ReturnsOk
· UpdateDraft_WhenMissing_Returns404
· UpdateDraft_WhenAlreadyIssued_Returns409
· UpdateDraft_WhenConcurrent_Returns409
· UpdateDraft_WhenServiceThrows_Returns400</t>
        </is>
      </c>
      <c r="D229" s="27" t="inlineStr">
        <is>
          <t>COVERAGE (code-driven)</t>
        </is>
      </c>
      <c r="E229" s="28" t="inlineStr">
        <is>
          <t>P1</t>
        </is>
      </c>
      <c r="F229" s="40" t="inlineStr">
        <is>
          <t>Mock dependency của controller theo tên test</t>
        </is>
      </c>
      <c r="G229" s="27" t="inlineStr">
        <is>
          <t>PurchaseOrderController (PO).UpdateDraft()</t>
        </is>
      </c>
      <c r="H229" s="40" t="inlineStr">
        <is>
          <t>Xem assertion trong file test nguồn (tên test tra ngược 1-1)</t>
        </is>
      </c>
      <c r="I229" s="29" t="inlineStr">
        <is>
          <t>Cả hai</t>
        </is>
      </c>
      <c r="J229" s="39" t="inlineStr">
        <is>
          <t>Pass</t>
        </is>
      </c>
      <c r="K229" s="27" t="n"/>
      <c r="L229" s="41" t="inlineStr">
        <is>
          <t>⚠ Nhánh DbUpdateConcurrencyException → 409 KHÔNG chạy được qua HTTP thật khi bảng thiếu RowVersion (GH-04) — mock là cách duy nhất chạm tới.  |  Coverage 98,6% · nguồn: OrderPurchaseOrderControllerTests.cs</t>
        </is>
      </c>
    </row>
    <row r="230" ht="85.5" customHeight="1">
      <c r="A230" s="31" t="inlineStr">
        <is>
          <t>CVG-197</t>
        </is>
      </c>
      <c r="B230" s="37" t="inlineStr">
        <is>
          <t>Coverage (code-driven)</t>
        </is>
      </c>
      <c r="C230" s="32" t="inlineStr">
        <is>
          <t>Issue() — 5 test con [L1-PO-26 → L1-PO-30]
· Issue_Success_ReturnsOk
· Issue_WhenMissing_Returns404
· Issue_WhenNotDraft_Returns409
· Issue_WhenConcurrent_Returns409
· Issue_WhenServiceThrows_Returns400</t>
        </is>
      </c>
      <c r="D230" s="32" t="inlineStr">
        <is>
          <t>COVERAGE (code-driven)</t>
        </is>
      </c>
      <c r="E230" s="28" t="inlineStr">
        <is>
          <t>P1</t>
        </is>
      </c>
      <c r="F230" s="38" t="inlineStr">
        <is>
          <t>Mock dependency của controller theo tên test</t>
        </is>
      </c>
      <c r="G230" s="32" t="inlineStr">
        <is>
          <t>PurchaseOrderController (PO).Issue()</t>
        </is>
      </c>
      <c r="H230" s="38" t="inlineStr">
        <is>
          <t>Xem assertion trong file test nguồn (tên test tra ngược 1-1)</t>
        </is>
      </c>
      <c r="I230" s="35" t="inlineStr">
        <is>
          <t>Cả hai</t>
        </is>
      </c>
      <c r="J230" s="39" t="inlineStr">
        <is>
          <t>Pass</t>
        </is>
      </c>
      <c r="K230" s="32" t="n"/>
      <c r="L230" s="42" t="inlineStr">
        <is>
          <t>⚠ Nhánh DbUpdateConcurrencyException → 409 KHÔNG chạy được qua HTTP thật khi bảng thiếu RowVersion (GH-04) — mock là cách duy nhất chạm tới.  |  Coverage 98,6% · nguồn: OrderPurchaseOrderControllerTests.cs</t>
        </is>
      </c>
    </row>
    <row r="231" ht="85.5" customHeight="1">
      <c r="A231" s="26" t="inlineStr">
        <is>
          <t>CVG-198</t>
        </is>
      </c>
      <c r="B231" s="37" t="inlineStr">
        <is>
          <t>Coverage (code-driven)</t>
        </is>
      </c>
      <c r="C231" s="27" t="inlineStr">
        <is>
          <t>SendToWarehouse() — 5 test con [L1-PO-31 → L1-PO-35]
· SendToWarehouse_Success_ReturnsOk
· SendToWarehouse_WhenMissing_Returns404
· SendToWarehouse_WhenNotIssued_Returns409
· SendToWarehouse_WhenConcurrent_Returns409
· SendToWarehouse_WhenServiceThrows_Returns400</t>
        </is>
      </c>
      <c r="D231" s="27" t="inlineStr">
        <is>
          <t>COVERAGE (code-driven)</t>
        </is>
      </c>
      <c r="E231" s="28" t="inlineStr">
        <is>
          <t>P1</t>
        </is>
      </c>
      <c r="F231" s="40" t="inlineStr">
        <is>
          <t>Mock dependency của controller theo tên test</t>
        </is>
      </c>
      <c r="G231" s="27" t="inlineStr">
        <is>
          <t>PurchaseOrderController (PO).SendToWarehouse()</t>
        </is>
      </c>
      <c r="H231" s="40" t="inlineStr">
        <is>
          <t>Xem assertion trong file test nguồn (tên test tra ngược 1-1)</t>
        </is>
      </c>
      <c r="I231" s="29" t="inlineStr">
        <is>
          <t>Cả hai</t>
        </is>
      </c>
      <c r="J231" s="39" t="inlineStr">
        <is>
          <t>Pass</t>
        </is>
      </c>
      <c r="K231" s="27" t="n"/>
      <c r="L231" s="41" t="inlineStr">
        <is>
          <t>⚠ Nhánh DbUpdateConcurrencyException → 409 KHÔNG chạy được qua HTTP thật khi bảng thiếu RowVersion (GH-04) — mock là cách duy nhất chạm tới.  |  Coverage 98,6% · nguồn: OrderPurchaseOrderControllerTests.cs</t>
        </is>
      </c>
    </row>
    <row r="232" ht="85.5" customHeight="1">
      <c r="A232" s="31" t="inlineStr">
        <is>
          <t>CVG-199</t>
        </is>
      </c>
      <c r="B232" s="37" t="inlineStr">
        <is>
          <t>Coverage (code-driven)</t>
        </is>
      </c>
      <c r="C232" s="32" t="inlineStr">
        <is>
          <t>Cancel() — 5 test con [L1-PO-36 → L1-PO-40]
· Cancel_Success_ReturnsOk
· Cancel_WhenMissing_Returns404
· Cancel_WhenGoodsAlreadyReceived_Returns409
· Cancel_WhenConcurrent_Returns409
· Cancel_WhenServiceThrows_Returns400</t>
        </is>
      </c>
      <c r="D232" s="32" t="inlineStr">
        <is>
          <t>COVERAGE (code-driven)</t>
        </is>
      </c>
      <c r="E232" s="28" t="inlineStr">
        <is>
          <t>P1</t>
        </is>
      </c>
      <c r="F232" s="38" t="inlineStr">
        <is>
          <t>Mock dependency của controller theo tên test</t>
        </is>
      </c>
      <c r="G232" s="32" t="inlineStr">
        <is>
          <t>PurchaseOrderController (PO).Cancel()</t>
        </is>
      </c>
      <c r="H232" s="38" t="inlineStr">
        <is>
          <t>Xem assertion trong file test nguồn (tên test tra ngược 1-1)</t>
        </is>
      </c>
      <c r="I232" s="35" t="inlineStr">
        <is>
          <t>Cả hai</t>
        </is>
      </c>
      <c r="J232" s="39" t="inlineStr">
        <is>
          <t>Pass</t>
        </is>
      </c>
      <c r="K232" s="32" t="n"/>
      <c r="L232" s="42" t="inlineStr">
        <is>
          <t>⚠ Nhánh DbUpdateConcurrencyException → 409 KHÔNG chạy được qua HTTP thật khi bảng thiếu RowVersion (GH-04) — mock là cách duy nhất chạm tới.  |  Coverage 98,6% · nguồn: OrderPurchaseOrderControllerTests.cs</t>
        </is>
      </c>
    </row>
    <row r="233" ht="85.5" customHeight="1">
      <c r="A233" s="26" t="inlineStr">
        <is>
          <t>CVG-200</t>
        </is>
      </c>
      <c r="B233" s="37" t="inlineStr">
        <is>
          <t>Coverage (code-driven)</t>
        </is>
      </c>
      <c r="C233" s="27" t="inlineStr">
        <is>
          <t>ResolveDiscrepancy() — 5 test con [L1-PO-41 → L1-PO-45]
· ResolveDiscrepancy_Success_ReturnsOk
· ResolveDiscrepancy_WhenMissing_Returns404
· ResolveDiscrepancy_WhenNoDiscrepancy_Returns409
· ResolveDiscrepancy_WhenConcurrent_Returns409
· ResolveDiscrepancy_WhenServiceThrows_Returns400</t>
        </is>
      </c>
      <c r="D233" s="27" t="inlineStr">
        <is>
          <t>COVERAGE (code-driven)</t>
        </is>
      </c>
      <c r="E233" s="28" t="inlineStr">
        <is>
          <t>P1</t>
        </is>
      </c>
      <c r="F233" s="40" t="inlineStr">
        <is>
          <t>Mock dependency của controller theo tên test</t>
        </is>
      </c>
      <c r="G233" s="27" t="inlineStr">
        <is>
          <t>PurchaseOrderController (PO).ResolveDiscrepancy()</t>
        </is>
      </c>
      <c r="H233" s="40" t="inlineStr">
        <is>
          <t>Xem assertion trong file test nguồn (tên test tra ngược 1-1)</t>
        </is>
      </c>
      <c r="I233" s="29" t="inlineStr">
        <is>
          <t>Cả hai</t>
        </is>
      </c>
      <c r="J233" s="39" t="inlineStr">
        <is>
          <t>Pass</t>
        </is>
      </c>
      <c r="K233" s="27" t="n"/>
      <c r="L233" s="41" t="inlineStr">
        <is>
          <t>⚠ Nhánh DbUpdateConcurrencyException → 409 KHÔNG chạy được qua HTTP thật khi bảng thiếu RowVersion (GH-04) — mock là cách duy nhất chạm tới.  |  Coverage 98,6% · nguồn: OrderPurchaseOrderControllerTests.cs</t>
        </is>
      </c>
    </row>
    <row r="234" ht="85.5" customHeight="1">
      <c r="A234" s="31" t="inlineStr">
        <is>
          <t>CVG-201</t>
        </is>
      </c>
      <c r="B234" s="37" t="inlineStr">
        <is>
          <t>Coverage (code-driven)</t>
        </is>
      </c>
      <c r="C234" s="32" t="inlineStr">
        <is>
          <t>Close() — 5 test con [L1-PO-46 → L1-PO-50]
· Close_Success_ReturnsOk
· Close_WhenMissing_Returns404
· Close_WhenStillHasOpenLines_Returns409
· Close_WhenConcurrent_Returns409
· Close_WhenServiceThrows_Returns400</t>
        </is>
      </c>
      <c r="D234" s="32" t="inlineStr">
        <is>
          <t>COVERAGE (code-driven)</t>
        </is>
      </c>
      <c r="E234" s="28" t="inlineStr">
        <is>
          <t>P1</t>
        </is>
      </c>
      <c r="F234" s="38" t="inlineStr">
        <is>
          <t>Mock dependency của controller theo tên test</t>
        </is>
      </c>
      <c r="G234" s="32" t="inlineStr">
        <is>
          <t>PurchaseOrderController (PO).Close()</t>
        </is>
      </c>
      <c r="H234" s="38" t="inlineStr">
        <is>
          <t>Xem assertion trong file test nguồn (tên test tra ngược 1-1)</t>
        </is>
      </c>
      <c r="I234" s="35" t="inlineStr">
        <is>
          <t>Cả hai</t>
        </is>
      </c>
      <c r="J234" s="39" t="inlineStr">
        <is>
          <t>Pass</t>
        </is>
      </c>
      <c r="K234" s="32" t="n"/>
      <c r="L234" s="42" t="inlineStr">
        <is>
          <t>⚠ Nhánh DbUpdateConcurrencyException → 409 KHÔNG chạy được qua HTTP thật khi bảng thiếu RowVersion (GH-04) — mock là cách duy nhất chạm tới.  |  Coverage 98,6% · nguồn: OrderPurchaseOrderControllerTests.cs</t>
        </is>
      </c>
    </row>
    <row r="235" ht="18" customHeight="1">
      <c r="A235" s="50" t="inlineStr">
        <is>
          <t xml:space="preserve">  ▶  Block: GoodsReceiptService  —  PurchaseOrderController (phiếu nhận)  ·  coverage 98,6%  ·  OrderPurchaseOrderControllerTests.cs</t>
        </is>
      </c>
    </row>
    <row r="236" ht="49.5" customHeight="1">
      <c r="A236" s="26" t="inlineStr">
        <is>
          <t>CVG-202</t>
        </is>
      </c>
      <c r="B236" s="37" t="inlineStr">
        <is>
          <t>Coverage (code-driven)</t>
        </is>
      </c>
      <c r="C236" s="27" t="inlineStr">
        <is>
          <t>GetAllReceipts() — 2 test con [L1-GR-08 → L1-GR-09]
· GetAllReceipts_ForwardsStatusFilter
· GetAllReceipts_WhenServiceThrows_Returns400</t>
        </is>
      </c>
      <c r="D236" s="27" t="inlineStr">
        <is>
          <t>COVERAGE (code-driven)</t>
        </is>
      </c>
      <c r="E236" s="34" t="inlineStr">
        <is>
          <t>P2</t>
        </is>
      </c>
      <c r="F236" s="40" t="inlineStr">
        <is>
          <t>Mock dependency của controller theo tên test</t>
        </is>
      </c>
      <c r="G236" s="27" t="inlineStr">
        <is>
          <t>PurchaseOrderController (phiếu nhận).GetAllReceipts()</t>
        </is>
      </c>
      <c r="H236" s="40" t="inlineStr">
        <is>
          <t>Xem assertion trong file test nguồn (tên test tra ngược 1-1)</t>
        </is>
      </c>
      <c r="I236" s="29" t="inlineStr">
        <is>
          <t>Cả hai</t>
        </is>
      </c>
      <c r="J236" s="39" t="inlineStr">
        <is>
          <t>Pass</t>
        </is>
      </c>
      <c r="K236" s="27" t="n"/>
      <c r="L236" s="40" t="inlineStr">
        <is>
          <t>Coverage 98,6% · nguồn: OrderPurchaseOrderControllerTests.cs</t>
        </is>
      </c>
    </row>
    <row r="237" ht="61.5" customHeight="1">
      <c r="A237" s="31" t="inlineStr">
        <is>
          <t>CVG-203</t>
        </is>
      </c>
      <c r="B237" s="37" t="inlineStr">
        <is>
          <t>Coverage (code-driven)</t>
        </is>
      </c>
      <c r="C237" s="32" t="inlineStr">
        <is>
          <t>GetReceipts() — 3 test con [L1-GR-10 → L1-GR-12]
· GetReceipts_Success_ReturnsOk
· GetReceipts_WhenPurchaseOrderMissing_Returns404
· GetReceipts_WhenServiceThrows_Returns400</t>
        </is>
      </c>
      <c r="D237" s="32" t="inlineStr">
        <is>
          <t>COVERAGE (code-driven)</t>
        </is>
      </c>
      <c r="E237" s="36" t="inlineStr">
        <is>
          <t>P2</t>
        </is>
      </c>
      <c r="F237" s="38" t="inlineStr">
        <is>
          <t>Mock dependency của controller theo tên test</t>
        </is>
      </c>
      <c r="G237" s="32" t="inlineStr">
        <is>
          <t>PurchaseOrderController (phiếu nhận).GetReceipts()</t>
        </is>
      </c>
      <c r="H237" s="38" t="inlineStr">
        <is>
          <t>Xem assertion trong file test nguồn (tên test tra ngược 1-1)</t>
        </is>
      </c>
      <c r="I237" s="35" t="inlineStr">
        <is>
          <t>Cả hai</t>
        </is>
      </c>
      <c r="J237" s="39" t="inlineStr">
        <is>
          <t>Pass</t>
        </is>
      </c>
      <c r="K237" s="32" t="n"/>
      <c r="L237" s="38" t="inlineStr">
        <is>
          <t>Coverage 98,6% · nguồn: OrderPurchaseOrderControllerTests.cs</t>
        </is>
      </c>
    </row>
    <row r="238" ht="85.5" customHeight="1">
      <c r="A238" s="26" t="inlineStr">
        <is>
          <t>CVG-204</t>
        </is>
      </c>
      <c r="B238" s="37" t="inlineStr">
        <is>
          <t>Coverage (code-driven)</t>
        </is>
      </c>
      <c r="C238" s="27" t="inlineStr">
        <is>
          <t>CreateReceipt() — 5 test con [L1-GR-13 → L1-GR-17]
· CreateReceipt_Success_PassesStaffIdFromToken
· CreateReceipt_WhenPurchaseOrderMissing_Returns404
· CreateReceipt_WhenPurchaseOrderNotSentToWarehouse_Returns409
· CreateReceipt_WhenConcurrent_Returns409
· CreateReceipt_WhenServiceThrows_Returns400</t>
        </is>
      </c>
      <c r="D238" s="27" t="inlineStr">
        <is>
          <t>COVERAGE (code-driven)</t>
        </is>
      </c>
      <c r="E238" s="28" t="inlineStr">
        <is>
          <t>P1</t>
        </is>
      </c>
      <c r="F238" s="40" t="inlineStr">
        <is>
          <t>Mock dependency của controller theo tên test</t>
        </is>
      </c>
      <c r="G238" s="27" t="inlineStr">
        <is>
          <t>PurchaseOrderController (phiếu nhận).CreateReceipt()</t>
        </is>
      </c>
      <c r="H238" s="40" t="inlineStr">
        <is>
          <t>Xem assertion trong file test nguồn (tên test tra ngược 1-1)</t>
        </is>
      </c>
      <c r="I238" s="29" t="inlineStr">
        <is>
          <t>Cả hai</t>
        </is>
      </c>
      <c r="J238" s="39" t="inlineStr">
        <is>
          <t>Pass</t>
        </is>
      </c>
      <c r="K238" s="27" t="n"/>
      <c r="L238" s="41" t="inlineStr">
        <is>
          <t>⚠ Nhánh DbUpdateConcurrencyException → 409 KHÔNG chạy được qua HTTP thật khi bảng thiếu RowVersion (GH-04) — mock là cách duy nhất chạm tới.  |  Coverage 98,6% · nguồn: OrderPurchaseOrderControllerTests.cs</t>
        </is>
      </c>
    </row>
    <row r="239" ht="85.5" customHeight="1">
      <c r="A239" s="31" t="inlineStr">
        <is>
          <t>CVG-205</t>
        </is>
      </c>
      <c r="B239" s="37" t="inlineStr">
        <is>
          <t>Coverage (code-driven)</t>
        </is>
      </c>
      <c r="C239" s="32" t="inlineStr">
        <is>
          <t>UploadReceiptProof() — 5 test con [L1-GR-18 → L1-GR-22]
· UploadReceiptProof_Success_ReturnsOk
· UploadReceiptProof_WhenReceiptMissing_Returns404
· UploadReceiptProof_WhenReceiptAlreadyPosted_Returns409
· UploadReceiptProof_WhenConcurrent_Returns409
· UploadReceiptProof_WhenServiceThrows_Returns400</t>
        </is>
      </c>
      <c r="D239" s="32" t="inlineStr">
        <is>
          <t>COVERAGE (code-driven)</t>
        </is>
      </c>
      <c r="E239" s="28" t="inlineStr">
        <is>
          <t>P1</t>
        </is>
      </c>
      <c r="F239" s="38" t="inlineStr">
        <is>
          <t>Mock dependency của controller theo tên test</t>
        </is>
      </c>
      <c r="G239" s="32" t="inlineStr">
        <is>
          <t>PurchaseOrderController (phiếu nhận).UploadReceiptProof()</t>
        </is>
      </c>
      <c r="H239" s="38" t="inlineStr">
        <is>
          <t>Xem assertion trong file test nguồn (tên test tra ngược 1-1)</t>
        </is>
      </c>
      <c r="I239" s="35" t="inlineStr">
        <is>
          <t>Cả hai</t>
        </is>
      </c>
      <c r="J239" s="39" t="inlineStr">
        <is>
          <t>Pass</t>
        </is>
      </c>
      <c r="K239" s="32" t="n"/>
      <c r="L239" s="42" t="inlineStr">
        <is>
          <t>⚠ Nhánh DbUpdateConcurrencyException → 409 KHÔNG chạy được qua HTTP thật khi bảng thiếu RowVersion (GH-04) — mock là cách duy nhất chạm tới.  |  Coverage 98,6% · nguồn: OrderPurchaseOrderControllerTests.cs</t>
        </is>
      </c>
    </row>
    <row r="240" ht="85.5" customHeight="1">
      <c r="A240" s="26" t="inlineStr">
        <is>
          <t>CVG-206</t>
        </is>
      </c>
      <c r="B240" s="37" t="inlineStr">
        <is>
          <t>Coverage (code-driven)</t>
        </is>
      </c>
      <c r="C240" s="27" t="inlineStr">
        <is>
          <t>PostReceipt() — 5 test con [L1-GR-23 → L1-GR-27]
· PostReceipt_Success_ReturnsOk
· PostReceipt_WhenMissing_Returns404
· PostReceipt_WhenAlreadyPosted_Returns409
· PostReceipt_WhenConcurrent_Returns409
· PostReceipt_WhenServiceThrows_Returns400</t>
        </is>
      </c>
      <c r="D240" s="27" t="inlineStr">
        <is>
          <t>COVERAGE (code-driven)</t>
        </is>
      </c>
      <c r="E240" s="28" t="inlineStr">
        <is>
          <t>P1</t>
        </is>
      </c>
      <c r="F240" s="40" t="inlineStr">
        <is>
          <t>Mock dependency của controller theo tên test</t>
        </is>
      </c>
      <c r="G240" s="27" t="inlineStr">
        <is>
          <t>PurchaseOrderController (phiếu nhận).PostReceipt()</t>
        </is>
      </c>
      <c r="H240" s="40" t="inlineStr">
        <is>
          <t>Xem assertion trong file test nguồn (tên test tra ngược 1-1)</t>
        </is>
      </c>
      <c r="I240" s="29" t="inlineStr">
        <is>
          <t>Cả hai</t>
        </is>
      </c>
      <c r="J240" s="39" t="inlineStr">
        <is>
          <t>Pass</t>
        </is>
      </c>
      <c r="K240" s="27" t="n"/>
      <c r="L240" s="41" t="inlineStr">
        <is>
          <t>⚠ Nhánh DbUpdateConcurrencyException → 409 KHÔNG chạy được qua HTTP thật khi bảng thiếu RowVersion (GH-04) — mock là cách duy nhất chạm tới.  |  Coverage 98,6% · nguồn: OrderPurchaseOrderControllerTests.cs</t>
        </is>
      </c>
    </row>
    <row r="241" ht="18" customHeight="1">
      <c r="A241" s="50" t="inlineStr">
        <is>
          <t xml:space="preserve">  ▶  Block: Infrastructure  —  ExceptionHandlingMiddleware · 4 SignalR Hub  ·  coverage 100%  ·  InfrastructureAndHubTests.cs</t>
        </is>
      </c>
    </row>
    <row r="242" ht="37.5" customHeight="1">
      <c r="A242" s="31" t="inlineStr">
        <is>
          <t>CVG-207</t>
        </is>
      </c>
      <c r="B242" s="37" t="inlineStr">
        <is>
          <t>Coverage (code-driven)</t>
        </is>
      </c>
      <c r="C242" s="32" t="inlineStr">
        <is>
          <t>WhenNoException() — 1 test con [L1-INF-01]
· WhenNoException_PassesThroughUntouched</t>
        </is>
      </c>
      <c r="D242" s="32" t="inlineStr">
        <is>
          <t>COVERAGE (code-driven)</t>
        </is>
      </c>
      <c r="E242" s="36" t="inlineStr">
        <is>
          <t>P2</t>
        </is>
      </c>
      <c r="F242" s="38" t="inlineStr">
        <is>
          <t>Mock dependency của controller theo tên test</t>
        </is>
      </c>
      <c r="G242" s="32" t="inlineStr">
        <is>
          <t>ExceptionHandlingMiddleware · 4 SignalR Hub.WhenNoException()</t>
        </is>
      </c>
      <c r="H242" s="38" t="inlineStr">
        <is>
          <t>Xem assertion trong file test nguồn (tên test tra ngược 1-1)</t>
        </is>
      </c>
      <c r="I242" s="32" t="inlineStr">
        <is>
          <t>No</t>
        </is>
      </c>
      <c r="J242" s="39" t="inlineStr">
        <is>
          <t>Pass</t>
        </is>
      </c>
      <c r="K242" s="32" t="n"/>
      <c r="L242" s="42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43" ht="37.5" customHeight="1">
      <c r="A243" s="26" t="inlineStr">
        <is>
          <t>CVG-208</t>
        </is>
      </c>
      <c r="B243" s="37" t="inlineStr">
        <is>
          <t>Coverage (code-driven)</t>
        </is>
      </c>
      <c r="C243" s="27" t="inlineStr">
        <is>
          <t>ProfileIncompleteException() — 1 test con [L1-INF-02]
· ProfileIncompleteException_Maps409WithCode</t>
        </is>
      </c>
      <c r="D243" s="27" t="inlineStr">
        <is>
          <t>COVERAGE (code-driven)</t>
        </is>
      </c>
      <c r="E243" s="28" t="inlineStr">
        <is>
          <t>P1</t>
        </is>
      </c>
      <c r="F243" s="40" t="inlineStr">
        <is>
          <t>Mock dependency của controller theo tên test</t>
        </is>
      </c>
      <c r="G243" s="27" t="inlineStr">
        <is>
          <t>ExceptionHandlingMiddleware · 4 SignalR Hub.ProfileIncompleteException()</t>
        </is>
      </c>
      <c r="H243" s="40" t="inlineStr">
        <is>
          <t>Xem assertion trong file test nguồn (tên test tra ngược 1-1)</t>
        </is>
      </c>
      <c r="I243" s="29" t="inlineStr">
        <is>
          <t>Yes</t>
        </is>
      </c>
      <c r="J243" s="39" t="inlineStr">
        <is>
          <t>Pass</t>
        </is>
      </c>
      <c r="K243" s="27" t="n"/>
      <c r="L243" s="41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44" ht="37.5" customHeight="1">
      <c r="A244" s="31" t="inlineStr">
        <is>
          <t>CVG-209</t>
        </is>
      </c>
      <c r="B244" s="37" t="inlineStr">
        <is>
          <t>Coverage (code-driven)</t>
        </is>
      </c>
      <c r="C244" s="32" t="inlineStr">
        <is>
          <t>KeyNotFoundException() — 1 test con [L1-INF-03]
· KeyNotFoundException_Maps404</t>
        </is>
      </c>
      <c r="D244" s="32" t="inlineStr">
        <is>
          <t>COVERAGE (code-driven)</t>
        </is>
      </c>
      <c r="E244" s="36" t="inlineStr">
        <is>
          <t>P2</t>
        </is>
      </c>
      <c r="F244" s="38" t="inlineStr">
        <is>
          <t>Mock dependency của controller theo tên test</t>
        </is>
      </c>
      <c r="G244" s="32" t="inlineStr">
        <is>
          <t>ExceptionHandlingMiddleware · 4 SignalR Hub.KeyNotFoundException()</t>
        </is>
      </c>
      <c r="H244" s="38" t="inlineStr">
        <is>
          <t>Xem assertion trong file test nguồn (tên test tra ngược 1-1)</t>
        </is>
      </c>
      <c r="I244" s="35" t="inlineStr">
        <is>
          <t>Yes</t>
        </is>
      </c>
      <c r="J244" s="39" t="inlineStr">
        <is>
          <t>Pass</t>
        </is>
      </c>
      <c r="K244" s="32" t="n"/>
      <c r="L244" s="42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45" ht="37.5" customHeight="1">
      <c r="A245" s="26" t="inlineStr">
        <is>
          <t>CVG-210</t>
        </is>
      </c>
      <c r="B245" s="37" t="inlineStr">
        <is>
          <t>Coverage (code-driven)</t>
        </is>
      </c>
      <c r="C245" s="27" t="inlineStr">
        <is>
          <t>UnauthorizedAccessException() — 1 test con [L1-INF-04]
· UnauthorizedAccessException_Maps403</t>
        </is>
      </c>
      <c r="D245" s="27" t="inlineStr">
        <is>
          <t>COVERAGE (code-driven)</t>
        </is>
      </c>
      <c r="E245" s="28" t="inlineStr">
        <is>
          <t>P1</t>
        </is>
      </c>
      <c r="F245" s="40" t="inlineStr">
        <is>
          <t>Mock dependency của controller theo tên test</t>
        </is>
      </c>
      <c r="G245" s="27" t="inlineStr">
        <is>
          <t>ExceptionHandlingMiddleware · 4 SignalR Hub.UnauthorizedAccessException()</t>
        </is>
      </c>
      <c r="H245" s="40" t="inlineStr">
        <is>
          <t>Xem assertion trong file test nguồn (tên test tra ngược 1-1)</t>
        </is>
      </c>
      <c r="I245" s="29" t="inlineStr">
        <is>
          <t>Yes</t>
        </is>
      </c>
      <c r="J245" s="39" t="inlineStr">
        <is>
          <t>Pass</t>
        </is>
      </c>
      <c r="K245" s="27" t="n"/>
      <c r="L245" s="41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46" ht="37.5" customHeight="1">
      <c r="A246" s="31" t="inlineStr">
        <is>
          <t>CVG-211</t>
        </is>
      </c>
      <c r="B246" s="37" t="inlineStr">
        <is>
          <t>Coverage (code-driven)</t>
        </is>
      </c>
      <c r="C246" s="32" t="inlineStr">
        <is>
          <t>InvalidOperationException() — 1 test con [L1-INF-05]
· InvalidOperationException_Maps409</t>
        </is>
      </c>
      <c r="D246" s="32" t="inlineStr">
        <is>
          <t>COVERAGE (code-driven)</t>
        </is>
      </c>
      <c r="E246" s="28" t="inlineStr">
        <is>
          <t>P1</t>
        </is>
      </c>
      <c r="F246" s="38" t="inlineStr">
        <is>
          <t>Mock dependency của controller theo tên test</t>
        </is>
      </c>
      <c r="G246" s="32" t="inlineStr">
        <is>
          <t>ExceptionHandlingMiddleware · 4 SignalR Hub.InvalidOperationException()</t>
        </is>
      </c>
      <c r="H246" s="38" t="inlineStr">
        <is>
          <t>Xem assertion trong file test nguồn (tên test tra ngược 1-1)</t>
        </is>
      </c>
      <c r="I246" s="35" t="inlineStr">
        <is>
          <t>Yes</t>
        </is>
      </c>
      <c r="J246" s="39" t="inlineStr">
        <is>
          <t>Pass</t>
        </is>
      </c>
      <c r="K246" s="32" t="n"/>
      <c r="L246" s="42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47" ht="37.5" customHeight="1">
      <c r="A247" s="26" t="inlineStr">
        <is>
          <t>CVG-212</t>
        </is>
      </c>
      <c r="B247" s="37" t="inlineStr">
        <is>
          <t>Coverage (code-driven)</t>
        </is>
      </c>
      <c r="C247" s="27" t="inlineStr">
        <is>
          <t>DbUpdateConcurrencyException() — 1 test con [L1-INF-06]
· DbUpdateConcurrencyException_Maps409WithGenericMessage</t>
        </is>
      </c>
      <c r="D247" s="27" t="inlineStr">
        <is>
          <t>COVERAGE (code-driven)</t>
        </is>
      </c>
      <c r="E247" s="28" t="inlineStr">
        <is>
          <t>P1</t>
        </is>
      </c>
      <c r="F247" s="40" t="inlineStr">
        <is>
          <t>Mock dependency của controller theo tên test</t>
        </is>
      </c>
      <c r="G247" s="27" t="inlineStr">
        <is>
          <t>ExceptionHandlingMiddleware · 4 SignalR Hub.DbUpdateConcurrencyException()</t>
        </is>
      </c>
      <c r="H247" s="40" t="inlineStr">
        <is>
          <t>Xem assertion trong file test nguồn (tên test tra ngược 1-1)</t>
        </is>
      </c>
      <c r="I247" s="29" t="inlineStr">
        <is>
          <t>Yes</t>
        </is>
      </c>
      <c r="J247" s="39" t="inlineStr">
        <is>
          <t>Pass</t>
        </is>
      </c>
      <c r="K247" s="27" t="n"/>
      <c r="L247" s="41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48" ht="37.5" customHeight="1">
      <c r="A248" s="31" t="inlineStr">
        <is>
          <t>CVG-213</t>
        </is>
      </c>
      <c r="B248" s="37" t="inlineStr">
        <is>
          <t>Coverage (code-driven)</t>
        </is>
      </c>
      <c r="C248" s="32" t="inlineStr">
        <is>
          <t>ArgumentException() — 1 test con [L1-INF-07]
· ArgumentException_Maps400</t>
        </is>
      </c>
      <c r="D248" s="32" t="inlineStr">
        <is>
          <t>COVERAGE (code-driven)</t>
        </is>
      </c>
      <c r="E248" s="36" t="inlineStr">
        <is>
          <t>P2</t>
        </is>
      </c>
      <c r="F248" s="38" t="inlineStr">
        <is>
          <t>Mock dependency của controller theo tên test</t>
        </is>
      </c>
      <c r="G248" s="32" t="inlineStr">
        <is>
          <t>ExceptionHandlingMiddleware · 4 SignalR Hub.ArgumentException()</t>
        </is>
      </c>
      <c r="H248" s="38" t="inlineStr">
        <is>
          <t>Xem assertion trong file test nguồn (tên test tra ngược 1-1)</t>
        </is>
      </c>
      <c r="I248" s="35" t="inlineStr">
        <is>
          <t>Yes</t>
        </is>
      </c>
      <c r="J248" s="39" t="inlineStr">
        <is>
          <t>Pass</t>
        </is>
      </c>
      <c r="K248" s="32" t="n"/>
      <c r="L248" s="42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49" ht="37.5" customHeight="1">
      <c r="A249" s="26" t="inlineStr">
        <is>
          <t>CVG-214</t>
        </is>
      </c>
      <c r="B249" s="37" t="inlineStr">
        <is>
          <t>Coverage (code-driven)</t>
        </is>
      </c>
      <c r="C249" s="27" t="inlineStr">
        <is>
          <t>FormatException() — 1 test con [L1-INF-08]
· FormatException_Maps400</t>
        </is>
      </c>
      <c r="D249" s="27" t="inlineStr">
        <is>
          <t>COVERAGE (code-driven)</t>
        </is>
      </c>
      <c r="E249" s="34" t="inlineStr">
        <is>
          <t>P2</t>
        </is>
      </c>
      <c r="F249" s="40" t="inlineStr">
        <is>
          <t>Mock dependency của controller theo tên test</t>
        </is>
      </c>
      <c r="G249" s="27" t="inlineStr">
        <is>
          <t>ExceptionHandlingMiddleware · 4 SignalR Hub.FormatException()</t>
        </is>
      </c>
      <c r="H249" s="40" t="inlineStr">
        <is>
          <t>Xem assertion trong file test nguồn (tên test tra ngược 1-1)</t>
        </is>
      </c>
      <c r="I249" s="29" t="inlineStr">
        <is>
          <t>Yes</t>
        </is>
      </c>
      <c r="J249" s="39" t="inlineStr">
        <is>
          <t>Pass</t>
        </is>
      </c>
      <c r="K249" s="27" t="n"/>
      <c r="L249" s="41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50" ht="37.5" customHeight="1">
      <c r="A250" s="31" t="inlineStr">
        <is>
          <t>CVG-215</t>
        </is>
      </c>
      <c r="B250" s="37" t="inlineStr">
        <is>
          <t>Coverage (code-driven)</t>
        </is>
      </c>
      <c r="C250" s="32" t="inlineStr">
        <is>
          <t>PlainException() — 1 test con [L1-INF-09]
· PlainException_Maps400BecauseCodebaseUsesItForBusinessErrors</t>
        </is>
      </c>
      <c r="D250" s="32" t="inlineStr">
        <is>
          <t>COVERAGE (code-driven)</t>
        </is>
      </c>
      <c r="E250" s="36" t="inlineStr">
        <is>
          <t>P2</t>
        </is>
      </c>
      <c r="F250" s="38" t="inlineStr">
        <is>
          <t>Mock dependency của controller theo tên test</t>
        </is>
      </c>
      <c r="G250" s="32" t="inlineStr">
        <is>
          <t>ExceptionHandlingMiddleware · 4 SignalR Hub.PlainException()</t>
        </is>
      </c>
      <c r="H250" s="38" t="inlineStr">
        <is>
          <t>Xem assertion trong file test nguồn (tên test tra ngược 1-1)</t>
        </is>
      </c>
      <c r="I250" s="35" t="inlineStr">
        <is>
          <t>Yes</t>
        </is>
      </c>
      <c r="J250" s="39" t="inlineStr">
        <is>
          <t>Pass</t>
        </is>
      </c>
      <c r="K250" s="32" t="n"/>
      <c r="L250" s="42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51" ht="37.5" customHeight="1">
      <c r="A251" s="26" t="inlineStr">
        <is>
          <t>CVG-216</t>
        </is>
      </c>
      <c r="B251" s="37" t="inlineStr">
        <is>
          <t>Coverage (code-driven)</t>
        </is>
      </c>
      <c r="C251" s="27" t="inlineStr">
        <is>
          <t>UnexpectedSubclass() — 1 test con [L1-INF-10]
· UnexpectedSubclass_Maps500AndHidesDetail</t>
        </is>
      </c>
      <c r="D251" s="27" t="inlineStr">
        <is>
          <t>COVERAGE (code-driven)</t>
        </is>
      </c>
      <c r="E251" s="34" t="inlineStr">
        <is>
          <t>P2</t>
        </is>
      </c>
      <c r="F251" s="40" t="inlineStr">
        <is>
          <t>Mock dependency của controller theo tên test</t>
        </is>
      </c>
      <c r="G251" s="27" t="inlineStr">
        <is>
          <t>ExceptionHandlingMiddleware · 4 SignalR Hub.UnexpectedSubclass()</t>
        </is>
      </c>
      <c r="H251" s="40" t="inlineStr">
        <is>
          <t>Xem assertion trong file test nguồn (tên test tra ngược 1-1)</t>
        </is>
      </c>
      <c r="I251" s="29" t="inlineStr">
        <is>
          <t>Yes</t>
        </is>
      </c>
      <c r="J251" s="39" t="inlineStr">
        <is>
          <t>Pass</t>
        </is>
      </c>
      <c r="K251" s="27" t="n"/>
      <c r="L251" s="41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52" ht="37.5" customHeight="1">
      <c r="A252" s="31" t="inlineStr">
        <is>
          <t>CVG-217</t>
        </is>
      </c>
      <c r="B252" s="37" t="inlineStr">
        <is>
          <t>Coverage (code-driven)</t>
        </is>
      </c>
      <c r="C252" s="32" t="inlineStr">
        <is>
          <t>ResponseIsAlwaysValidJson() — 1 test con [L1-INF-11]
· ResponseIsAlwaysValidJson</t>
        </is>
      </c>
      <c r="D252" s="32" t="inlineStr">
        <is>
          <t>COVERAGE (code-driven)</t>
        </is>
      </c>
      <c r="E252" s="36" t="inlineStr">
        <is>
          <t>P2</t>
        </is>
      </c>
      <c r="F252" s="38" t="inlineStr">
        <is>
          <t>Mock dependency của controller theo tên test</t>
        </is>
      </c>
      <c r="G252" s="32" t="inlineStr">
        <is>
          <t>ExceptionHandlingMiddleware · 4 SignalR Hub.ResponseIsAlwaysValidJson()</t>
        </is>
      </c>
      <c r="H252" s="38" t="inlineStr">
        <is>
          <t>Xem assertion trong file test nguồn (tên test tra ngược 1-1)</t>
        </is>
      </c>
      <c r="I252" s="32" t="inlineStr">
        <is>
          <t>No</t>
        </is>
      </c>
      <c r="J252" s="39" t="inlineStr">
        <is>
          <t>Pass</t>
        </is>
      </c>
      <c r="K252" s="32" t="n"/>
      <c r="L252" s="42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53" ht="37.5" customHeight="1">
      <c r="A253" s="26" t="inlineStr">
        <is>
          <t>CVG-218</t>
        </is>
      </c>
      <c r="B253" s="37" t="inlineStr">
        <is>
          <t>Coverage (code-driven)</t>
        </is>
      </c>
      <c r="C253" s="27" t="inlineStr">
        <is>
          <t>WhenResponseAlreadyStarted() — 1 test con [L1-INF-12]
· WhenResponseAlreadyStarted_RethrowsInsteadOfCorruptingIt</t>
        </is>
      </c>
      <c r="D253" s="27" t="inlineStr">
        <is>
          <t>COVERAGE (code-driven)</t>
        </is>
      </c>
      <c r="E253" s="34" t="inlineStr">
        <is>
          <t>P2</t>
        </is>
      </c>
      <c r="F253" s="40" t="inlineStr">
        <is>
          <t>Mock dependency của controller theo tên test</t>
        </is>
      </c>
      <c r="G253" s="27" t="inlineStr">
        <is>
          <t>ExceptionHandlingMiddleware · 4 SignalR Hub.WhenResponseAlreadyStarted()</t>
        </is>
      </c>
      <c r="H253" s="40" t="inlineStr">
        <is>
          <t>Xem assertion trong file test nguồn (tên test tra ngược 1-1)</t>
        </is>
      </c>
      <c r="I253" s="27" t="inlineStr">
        <is>
          <t>No</t>
        </is>
      </c>
      <c r="J253" s="39" t="inlineStr">
        <is>
          <t>Pass</t>
        </is>
      </c>
      <c r="K253" s="27" t="n"/>
      <c r="L253" s="41" t="inlineStr">
        <is>
          <t>Phủ trọn bảng ánh xạ exception → status (409 PROFILE_INCOMPLETE / 404 / 403 / 409 / 409 concurrency / 400 / 400 cho Exception gốc / 500 che chi tiết) + nhánh "response đã bắt đầu ghi thì ném lại".  |  Coverage 100% · nguồn: InfrastructureAndHubTests.cs</t>
        </is>
      </c>
    </row>
    <row r="254" ht="18" customHeight="1">
      <c r="A254" s="50" t="inlineStr">
        <is>
          <t xml:space="preserve">  ▶  Block: ScheduledJobs  —  ScheduledJobRunnerBackgroundService  ·  coverage 94,4%  ·  InfrastructureAndHubTests.cs</t>
        </is>
      </c>
    </row>
    <row r="255" ht="37.5" customHeight="1">
      <c r="A255" s="31" t="inlineStr">
        <is>
          <t>CVG-219</t>
        </is>
      </c>
      <c r="B255" s="37" t="inlineStr">
        <is>
          <t>Coverage (code-driven)</t>
        </is>
      </c>
      <c r="C255" s="32" t="inlineStr">
        <is>
          <t>WhenJobNeverRan() — 1 test con [L1-SJOB-17]
· WhenJobNeverRan_RunsItTaggedAsScheduledWithNoActor</t>
        </is>
      </c>
      <c r="D255" s="32" t="inlineStr">
        <is>
          <t>COVERAGE (code-driven)</t>
        </is>
      </c>
      <c r="E255" s="36" t="inlineStr">
        <is>
          <t>P2</t>
        </is>
      </c>
      <c r="F255" s="38" t="inlineStr">
        <is>
          <t>Mock dependency của controller theo tên test</t>
        </is>
      </c>
      <c r="G255" s="32" t="inlineStr">
        <is>
          <t>ScheduledJobRunnerBackgroundService.WhenJobNeverRan()</t>
        </is>
      </c>
      <c r="H255" s="38" t="inlineStr">
        <is>
          <t>Xem assertion trong file test nguồn (tên test tra ngược 1-1)</t>
        </is>
      </c>
      <c r="I255" s="35" t="inlineStr">
        <is>
          <t>Yes</t>
        </is>
      </c>
      <c r="J255" s="39" t="inlineStr">
        <is>
          <t>Pass</t>
        </is>
      </c>
      <c r="K255" s="32" t="n"/>
      <c r="L255" s="42" t="inlineStr">
        <is>
          <t>Phủ đủ 4 nhánh "đến hạn chưa": chưa chạy lần nào · chưa đủ Interval · đủ Interval · job treo quá 3× Interval thì cho chạy lại. Cộng nhánh "một job lỗi không làm sập vòng lặp nền".  |  Coverage 94,4% · nguồn: InfrastructureAndHubTests.cs</t>
        </is>
      </c>
    </row>
    <row r="256" ht="37.5" customHeight="1">
      <c r="A256" s="26" t="inlineStr">
        <is>
          <t>CVG-220</t>
        </is>
      </c>
      <c r="B256" s="37" t="inlineStr">
        <is>
          <t>Coverage (code-driven)</t>
        </is>
      </c>
      <c r="C256" s="27" t="inlineStr">
        <is>
          <t>WhenIntervalNotElapsed() — 1 test con [L1-SJOB-18]
· WhenIntervalNotElapsed_SkipsJob</t>
        </is>
      </c>
      <c r="D256" s="27" t="inlineStr">
        <is>
          <t>COVERAGE (code-driven)</t>
        </is>
      </c>
      <c r="E256" s="34" t="inlineStr">
        <is>
          <t>P2</t>
        </is>
      </c>
      <c r="F256" s="40" t="inlineStr">
        <is>
          <t>Mock dependency của controller theo tên test</t>
        </is>
      </c>
      <c r="G256" s="27" t="inlineStr">
        <is>
          <t>ScheduledJobRunnerBackgroundService.WhenIntervalNotElapsed()</t>
        </is>
      </c>
      <c r="H256" s="40" t="inlineStr">
        <is>
          <t>Xem assertion trong file test nguồn (tên test tra ngược 1-1)</t>
        </is>
      </c>
      <c r="I256" s="29" t="inlineStr">
        <is>
          <t>Yes</t>
        </is>
      </c>
      <c r="J256" s="39" t="inlineStr">
        <is>
          <t>Pass</t>
        </is>
      </c>
      <c r="K256" s="27" t="n"/>
      <c r="L256" s="41" t="inlineStr">
        <is>
          <t>Phủ đủ 4 nhánh "đến hạn chưa": chưa chạy lần nào · chưa đủ Interval · đủ Interval · job treo quá 3× Interval thì cho chạy lại. Cộng nhánh "một job lỗi không làm sập vòng lặp nền".  |  Coverage 94,4% · nguồn: InfrastructureAndHubTests.cs</t>
        </is>
      </c>
    </row>
    <row r="257" ht="37.5" customHeight="1">
      <c r="A257" s="31" t="inlineStr">
        <is>
          <t>CVG-221</t>
        </is>
      </c>
      <c r="B257" s="37" t="inlineStr">
        <is>
          <t>Coverage (code-driven)</t>
        </is>
      </c>
      <c r="C257" s="32" t="inlineStr">
        <is>
          <t>WhenIntervalElapsed() — 1 test con [L1-SJOB-19]
· WhenIntervalElapsed_RunsJob</t>
        </is>
      </c>
      <c r="D257" s="32" t="inlineStr">
        <is>
          <t>COVERAGE (code-driven)</t>
        </is>
      </c>
      <c r="E257" s="36" t="inlineStr">
        <is>
          <t>P2</t>
        </is>
      </c>
      <c r="F257" s="38" t="inlineStr">
        <is>
          <t>Mock dependency của controller theo tên test</t>
        </is>
      </c>
      <c r="G257" s="32" t="inlineStr">
        <is>
          <t>ScheduledJobRunnerBackgroundService.WhenIntervalElapsed()</t>
        </is>
      </c>
      <c r="H257" s="38" t="inlineStr">
        <is>
          <t>Xem assertion trong file test nguồn (tên test tra ngược 1-1)</t>
        </is>
      </c>
      <c r="I257" s="32" t="inlineStr">
        <is>
          <t>No</t>
        </is>
      </c>
      <c r="J257" s="39" t="inlineStr">
        <is>
          <t>Pass</t>
        </is>
      </c>
      <c r="K257" s="32" t="n"/>
      <c r="L257" s="42" t="inlineStr">
        <is>
          <t>Phủ đủ 4 nhánh "đến hạn chưa": chưa chạy lần nào · chưa đủ Interval · đủ Interval · job treo quá 3× Interval thì cho chạy lại. Cộng nhánh "một job lỗi không làm sập vòng lặp nền".  |  Coverage 94,4% · nguồn: InfrastructureAndHubTests.cs</t>
        </is>
      </c>
    </row>
    <row r="258" ht="37.5" customHeight="1">
      <c r="A258" s="26" t="inlineStr">
        <is>
          <t>CVG-222</t>
        </is>
      </c>
      <c r="B258" s="37" t="inlineStr">
        <is>
          <t>Coverage (code-driven)</t>
        </is>
      </c>
      <c r="C258" s="27" t="inlineStr">
        <is>
          <t>WhenPreviousRunStillRunningWithinGracePeriod() — 1 test con [L1-SJOB-20]
· WhenPreviousRunStillRunningWithinGracePeriod_SkipsToAvoidDoubleRun</t>
        </is>
      </c>
      <c r="D258" s="27" t="inlineStr">
        <is>
          <t>COVERAGE (code-driven)</t>
        </is>
      </c>
      <c r="E258" s="34" t="inlineStr">
        <is>
          <t>P2</t>
        </is>
      </c>
      <c r="F258" s="40" t="inlineStr">
        <is>
          <t>Mock dependency của controller theo tên test</t>
        </is>
      </c>
      <c r="G258" s="27" t="inlineStr">
        <is>
          <t>ScheduledJobRunnerBackgroundService.WhenPreviousRunStillRunningWithinGracePeriod()</t>
        </is>
      </c>
      <c r="H258" s="40" t="inlineStr">
        <is>
          <t>Xem assertion trong file test nguồn (tên test tra ngược 1-1)</t>
        </is>
      </c>
      <c r="I258" s="29" t="inlineStr">
        <is>
          <t>Yes</t>
        </is>
      </c>
      <c r="J258" s="39" t="inlineStr">
        <is>
          <t>Pass</t>
        </is>
      </c>
      <c r="K258" s="27" t="n"/>
      <c r="L258" s="41" t="inlineStr">
        <is>
          <t>Phủ đủ 4 nhánh "đến hạn chưa": chưa chạy lần nào · chưa đủ Interval · đủ Interval · job treo quá 3× Interval thì cho chạy lại. Cộng nhánh "một job lỗi không làm sập vòng lặp nền".  |  Coverage 94,4% · nguồn: InfrastructureAndHubTests.cs</t>
        </is>
      </c>
    </row>
    <row r="259" ht="37.5" customHeight="1">
      <c r="A259" s="31" t="inlineStr">
        <is>
          <t>CVG-223</t>
        </is>
      </c>
      <c r="B259" s="37" t="inlineStr">
        <is>
          <t>Coverage (code-driven)</t>
        </is>
      </c>
      <c r="C259" s="32" t="inlineStr">
        <is>
          <t>WhenPreviousRunStuckBeyondGracePeriod() — 1 test con [L1-SJOB-21]
· WhenPreviousRunStuckBeyondGracePeriod_RunsAgain</t>
        </is>
      </c>
      <c r="D259" s="32" t="inlineStr">
        <is>
          <t>COVERAGE (code-driven)</t>
        </is>
      </c>
      <c r="E259" s="36" t="inlineStr">
        <is>
          <t>P2</t>
        </is>
      </c>
      <c r="F259" s="38" t="inlineStr">
        <is>
          <t>Mock dependency của controller theo tên test</t>
        </is>
      </c>
      <c r="G259" s="32" t="inlineStr">
        <is>
          <t>ScheduledJobRunnerBackgroundService.WhenPreviousRunStuckBeyondGracePeriod()</t>
        </is>
      </c>
      <c r="H259" s="38" t="inlineStr">
        <is>
          <t>Xem assertion trong file test nguồn (tên test tra ngược 1-1)</t>
        </is>
      </c>
      <c r="I259" s="35" t="inlineStr">
        <is>
          <t>Yes</t>
        </is>
      </c>
      <c r="J259" s="39" t="inlineStr">
        <is>
          <t>Pass</t>
        </is>
      </c>
      <c r="K259" s="32" t="n"/>
      <c r="L259" s="42" t="inlineStr">
        <is>
          <t>Phủ đủ 4 nhánh "đến hạn chưa": chưa chạy lần nào · chưa đủ Interval · đủ Interval · job treo quá 3× Interval thì cho chạy lại. Cộng nhánh "một job lỗi không làm sập vòng lặp nền".  |  Coverage 94,4% · nguồn: InfrastructureAndHubTests.cs</t>
        </is>
      </c>
    </row>
    <row r="260" ht="37.5" customHeight="1">
      <c r="A260" s="26" t="inlineStr">
        <is>
          <t>CVG-224</t>
        </is>
      </c>
      <c r="B260" s="37" t="inlineStr">
        <is>
          <t>Coverage (code-driven)</t>
        </is>
      </c>
      <c r="C260" s="27" t="inlineStr">
        <is>
          <t>WhenJobRunServiceThrows() — 1 test con [L1-SJOB-22]
· WhenJobRunServiceThrows_LoopSurvivesInsteadOfCrashing</t>
        </is>
      </c>
      <c r="D260" s="27" t="inlineStr">
        <is>
          <t>COVERAGE (code-driven)</t>
        </is>
      </c>
      <c r="E260" s="34" t="inlineStr">
        <is>
          <t>P2</t>
        </is>
      </c>
      <c r="F260" s="40" t="inlineStr">
        <is>
          <t>Mock dependency của controller theo tên test</t>
        </is>
      </c>
      <c r="G260" s="27" t="inlineStr">
        <is>
          <t>ScheduledJobRunnerBackgroundService.WhenJobRunServiceThrows()</t>
        </is>
      </c>
      <c r="H260" s="40" t="inlineStr">
        <is>
          <t>Xem assertion trong file test nguồn (tên test tra ngược 1-1)</t>
        </is>
      </c>
      <c r="I260" s="29" t="inlineStr">
        <is>
          <t>Yes</t>
        </is>
      </c>
      <c r="J260" s="39" t="inlineStr">
        <is>
          <t>Pass</t>
        </is>
      </c>
      <c r="K260" s="27" t="n"/>
      <c r="L260" s="41" t="inlineStr">
        <is>
          <t>Phủ đủ 4 nhánh "đến hạn chưa": chưa chạy lần nào · chưa đủ Interval · đủ Interval · job treo quá 3× Interval thì cho chạy lại. Cộng nhánh "một job lỗi không làm sập vòng lặp nền".  |  Coverage 94,4% · nguồn: InfrastructureAndHubTests.cs</t>
        </is>
      </c>
    </row>
    <row r="261" ht="18" customHeight="1">
      <c r="A261" s="50" t="inlineStr">
        <is>
          <t xml:space="preserve">  ▶  Block: Infrastructure  —  ExceptionHandlingMiddleware · 4 SignalR Hub  ·  coverage 100%  ·  InfrastructureAndHubTests.cs</t>
        </is>
      </c>
    </row>
    <row r="262" ht="73.5" customHeight="1">
      <c r="A262" s="31" t="inlineStr">
        <is>
          <t>CVG-225</t>
        </is>
      </c>
      <c r="B262" s="37" t="inlineStr">
        <is>
          <t>Coverage (code-driven)</t>
        </is>
      </c>
      <c r="C262" s="32" t="inlineStr">
        <is>
          <t>NotificationHub() — 4 test con [L1-INF-13 → L1-INF-16]
· NotificationHub_OnConnected_JoinsBothUserAndRoleGroups
· NotificationHub_OnConnected_WithoutClaims_JoinsNothing
· NotificationHub_OnDisconnected_LeavesBothGroups
· NotificationHub_OnDisconnected_WithoutClaims_LeavesNothing</t>
        </is>
      </c>
      <c r="D262" s="32" t="inlineStr">
        <is>
          <t>COVERAGE (code-driven)</t>
        </is>
      </c>
      <c r="E262" s="36" t="inlineStr">
        <is>
          <t>P2</t>
        </is>
      </c>
      <c r="F262" s="38" t="inlineStr">
        <is>
          <t>Mock dependency của controller theo tên test</t>
        </is>
      </c>
      <c r="G262" s="32" t="inlineStr">
        <is>
          <t>ExceptionHandlingMiddleware · 4 SignalR Hub.NotificationHub()</t>
        </is>
      </c>
      <c r="H262" s="38" t="inlineStr">
        <is>
          <t>Xem assertion trong file test nguồn (tên test tra ngược 1-1)</t>
        </is>
      </c>
      <c r="I262" s="32" t="inlineStr">
        <is>
          <t>No</t>
        </is>
      </c>
      <c r="J262" s="39" t="inlineStr">
        <is>
          <t>Pass</t>
        </is>
      </c>
      <c r="K262" s="32" t="n"/>
      <c r="L262" s="38" t="inlineStr">
        <is>
          <t>Coverage 100% · nguồn: InfrastructureAndHubTests.cs</t>
        </is>
      </c>
    </row>
    <row r="263" ht="37.5" customHeight="1">
      <c r="A263" s="26" t="inlineStr">
        <is>
          <t>CVG-226</t>
        </is>
      </c>
      <c r="B263" s="37" t="inlineStr">
        <is>
          <t>Coverage (code-driven)</t>
        </is>
      </c>
      <c r="C263" s="27" t="inlineStr">
        <is>
          <t>SalesHub() — 1 test con [L1-INF-17]
· SalesHub_JoinsAndLeavesSalesStaffGroup</t>
        </is>
      </c>
      <c r="D263" s="27" t="inlineStr">
        <is>
          <t>COVERAGE (code-driven)</t>
        </is>
      </c>
      <c r="E263" s="34" t="inlineStr">
        <is>
          <t>P2</t>
        </is>
      </c>
      <c r="F263" s="40" t="inlineStr">
        <is>
          <t>Mock dependency của controller theo tên test</t>
        </is>
      </c>
      <c r="G263" s="27" t="inlineStr">
        <is>
          <t>ExceptionHandlingMiddleware · 4 SignalR Hub.SalesHub()</t>
        </is>
      </c>
      <c r="H263" s="40" t="inlineStr">
        <is>
          <t>Xem assertion trong file test nguồn (tên test tra ngược 1-1)</t>
        </is>
      </c>
      <c r="I263" s="27" t="inlineStr">
        <is>
          <t>No</t>
        </is>
      </c>
      <c r="J263" s="39" t="inlineStr">
        <is>
          <t>Pass</t>
        </is>
      </c>
      <c r="K263" s="27" t="n"/>
      <c r="L263" s="40" t="inlineStr">
        <is>
          <t>Coverage 100% · nguồn: InfrastructureAndHubTests.cs</t>
        </is>
      </c>
    </row>
    <row r="264" ht="37.5" customHeight="1">
      <c r="A264" s="31" t="inlineStr">
        <is>
          <t>CVG-227</t>
        </is>
      </c>
      <c r="B264" s="37" t="inlineStr">
        <is>
          <t>Coverage (code-driven)</t>
        </is>
      </c>
      <c r="C264" s="32" t="inlineStr">
        <is>
          <t>WarehouseHub() — 1 test con [L1-INF-18]
· WarehouseHub_JoinsAndLeavesWarehouseStaffGroup</t>
        </is>
      </c>
      <c r="D264" s="32" t="inlineStr">
        <is>
          <t>COVERAGE (code-driven)</t>
        </is>
      </c>
      <c r="E264" s="36" t="inlineStr">
        <is>
          <t>P2</t>
        </is>
      </c>
      <c r="F264" s="38" t="inlineStr">
        <is>
          <t>Mock dependency của controller theo tên test</t>
        </is>
      </c>
      <c r="G264" s="32" t="inlineStr">
        <is>
          <t>ExceptionHandlingMiddleware · 4 SignalR Hub.WarehouseHub()</t>
        </is>
      </c>
      <c r="H264" s="38" t="inlineStr">
        <is>
          <t>Xem assertion trong file test nguồn (tên test tra ngược 1-1)</t>
        </is>
      </c>
      <c r="I264" s="32" t="inlineStr">
        <is>
          <t>No</t>
        </is>
      </c>
      <c r="J264" s="39" t="inlineStr">
        <is>
          <t>Pass</t>
        </is>
      </c>
      <c r="K264" s="32" t="n"/>
      <c r="L264" s="38" t="inlineStr">
        <is>
          <t>Coverage 100% · nguồn: InfrastructureAndHubTests.cs</t>
        </is>
      </c>
    </row>
    <row r="265" ht="73.5" customHeight="1">
      <c r="A265" s="26" t="inlineStr">
        <is>
          <t>CVG-228</t>
        </is>
      </c>
      <c r="B265" s="37" t="inlineStr">
        <is>
          <t>Coverage (code-driven)</t>
        </is>
      </c>
      <c r="C265" s="27" t="inlineStr">
        <is>
          <t>ChatHub() — 4 test con [L1-INF-19 → L1-INF-22]
· ChatHub_JoinQuotationChat_ChecksPermissionBeforeJoiningGroup
· ChatHub_JoinQuotationChat_WhenNotParticipant_DoesNotJoinGroup
· ChatHub_LeaveQuotationChat_RemovesFromGroup
· ChatHub_SendMessage_PersistsThenBroadcastsToGroup</t>
        </is>
      </c>
      <c r="D265" s="27" t="inlineStr">
        <is>
          <t>COVERAGE (code-driven)</t>
        </is>
      </c>
      <c r="E265" s="34" t="inlineStr">
        <is>
          <t>P2</t>
        </is>
      </c>
      <c r="F265" s="40" t="inlineStr">
        <is>
          <t>Mock dependency của controller theo tên test</t>
        </is>
      </c>
      <c r="G265" s="27" t="inlineStr">
        <is>
          <t>ExceptionHandlingMiddleware · 4 SignalR Hub.ChatHub()</t>
        </is>
      </c>
      <c r="H265" s="40" t="inlineStr">
        <is>
          <t>Xem assertion trong file test nguồn (tên test tra ngược 1-1)</t>
        </is>
      </c>
      <c r="I265" s="29" t="inlineStr">
        <is>
          <t>Cả hai</t>
        </is>
      </c>
      <c r="J265" s="39" t="inlineStr">
        <is>
          <t>Pass</t>
        </is>
      </c>
      <c r="K265" s="27" t="n"/>
      <c r="L265" s="41" t="inlineStr">
        <is>
          <t>🔒 CHỐNG RÒ RỈ DỮ LIỆU — seed dữ liệu người dùng khác rồi khẳng định không lọt vào kết quả. Cùng lớp lỗ hổng với IDOR L1-ORD-71 đã vá; giữ nguyên khi refactor.  |  Coverage 100% · nguồn: InfrastructureAndHubTests.cs</t>
        </is>
      </c>
    </row>
    <row r="266" ht="18" customHeight="1">
      <c r="A266" s="50" t="inlineStr">
        <is>
          <t xml:space="preserve">  ▶  Block: SystemConfigService  —  AdminSystemConfigController  ·  coverage 100%  ·  AdminDashboardStockTransferTests.cs</t>
        </is>
      </c>
    </row>
    <row r="267" ht="37.5" customHeight="1">
      <c r="A267" s="31" t="inlineStr">
        <is>
          <t>CVG-229</t>
        </is>
      </c>
      <c r="B267" s="37" t="inlineStr">
        <is>
          <t>Coverage (code-driven)</t>
        </is>
      </c>
      <c r="C267" s="32" t="inlineStr">
        <is>
          <t>GetAll() — 1 test con [L1-CFG-07]
· GetAll_ReturnsOk</t>
        </is>
      </c>
      <c r="D267" s="32" t="inlineStr">
        <is>
          <t>COVERAGE (code-driven)</t>
        </is>
      </c>
      <c r="E267" s="36" t="inlineStr">
        <is>
          <t>P2</t>
        </is>
      </c>
      <c r="F267" s="38" t="inlineStr">
        <is>
          <t>Mock dependency của controller theo tên test</t>
        </is>
      </c>
      <c r="G267" s="32" t="inlineStr">
        <is>
          <t>AdminSystemConfigController.GetAll()</t>
        </is>
      </c>
      <c r="H267" s="38" t="inlineStr">
        <is>
          <t>Xem assertion trong file test nguồn (tên test tra ngược 1-1)</t>
        </is>
      </c>
      <c r="I267" s="32" t="inlineStr">
        <is>
          <t>No</t>
        </is>
      </c>
      <c r="J267" s="39" t="inlineStr">
        <is>
          <t>Pass</t>
        </is>
      </c>
      <c r="K267" s="32" t="n"/>
      <c r="L267" s="38" t="inlineStr">
        <is>
          <t>Coverage 100% · nguồn: AdminDashboardStockTransferTests.cs</t>
        </is>
      </c>
    </row>
    <row r="268" ht="61.5" customHeight="1">
      <c r="A268" s="26" t="inlineStr">
        <is>
          <t>CVG-230</t>
        </is>
      </c>
      <c r="B268" s="37" t="inlineStr">
        <is>
          <t>Coverage (code-driven)</t>
        </is>
      </c>
      <c r="C268" s="27" t="inlineStr">
        <is>
          <t>GetHistory() — 3 test con [L1-CFG-08 → L1-CFG-10]
· GetHistory_Success_ForwardsKey
· GetHistory_WhenKeyUnknown_Returns404
· GetHistory_WhenServiceThrows_Returns400</t>
        </is>
      </c>
      <c r="D268" s="27" t="inlineStr">
        <is>
          <t>COVERAGE (code-driven)</t>
        </is>
      </c>
      <c r="E268" s="34" t="inlineStr">
        <is>
          <t>P2</t>
        </is>
      </c>
      <c r="F268" s="40" t="inlineStr">
        <is>
          <t>Mock dependency của controller theo tên test</t>
        </is>
      </c>
      <c r="G268" s="27" t="inlineStr">
        <is>
          <t>AdminSystemConfigController.GetHistory()</t>
        </is>
      </c>
      <c r="H268" s="40" t="inlineStr">
        <is>
          <t>Xem assertion trong file test nguồn (tên test tra ngược 1-1)</t>
        </is>
      </c>
      <c r="I268" s="29" t="inlineStr">
        <is>
          <t>Cả hai</t>
        </is>
      </c>
      <c r="J268" s="39" t="inlineStr">
        <is>
          <t>Pass</t>
        </is>
      </c>
      <c r="K268" s="27" t="n"/>
      <c r="L268" s="40" t="inlineStr">
        <is>
          <t>Coverage 100% · nguồn: AdminDashboardStockTransferTests.cs</t>
        </is>
      </c>
    </row>
    <row r="269" ht="73.5" customHeight="1">
      <c r="A269" s="31" t="inlineStr">
        <is>
          <t>CVG-231</t>
        </is>
      </c>
      <c r="B269" s="37" t="inlineStr">
        <is>
          <t>Coverage (code-driven)</t>
        </is>
      </c>
      <c r="C269" s="32" t="inlineStr">
        <is>
          <t>Update() — 4 test con [L1-CFG-11 → L1-CFG-14]
· Update_Success_PassesActorIdentityForAuditTrail
· Update_WhenKeyUnknown_Returns404
· Update_WhenValueOutOfRange_Returns400
· Update_WithoutUserClaim_Returns400</t>
        </is>
      </c>
      <c r="D269" s="32" t="inlineStr">
        <is>
          <t>COVERAGE (code-driven)</t>
        </is>
      </c>
      <c r="E269" s="28" t="inlineStr">
        <is>
          <t>P1</t>
        </is>
      </c>
      <c r="F269" s="38" t="inlineStr">
        <is>
          <t>Mock dependency của controller theo tên test</t>
        </is>
      </c>
      <c r="G269" s="32" t="inlineStr">
        <is>
          <t>AdminSystemConfigController.Update()</t>
        </is>
      </c>
      <c r="H269" s="38" t="inlineStr">
        <is>
          <t>Xem assertion trong file test nguồn (tên test tra ngược 1-1)</t>
        </is>
      </c>
      <c r="I269" s="35" t="inlineStr">
        <is>
          <t>Cả hai</t>
        </is>
      </c>
      <c r="J269" s="39" t="inlineStr">
        <is>
          <t>Pass</t>
        </is>
      </c>
      <c r="K269" s="32" t="n"/>
      <c r="L269" s="38" t="inlineStr">
        <is>
          <t>Coverage 100% · nguồn: AdminDashboardStockTransferTests.cs</t>
        </is>
      </c>
    </row>
    <row r="270" ht="18" customHeight="1">
      <c r="A270" s="50" t="inlineStr">
        <is>
          <t xml:space="preserve">  ▶  Block: AuditLogService  —  AuditLogController  ·  coverage 100%  ·  AdminDashboardStockTransferTests.cs</t>
        </is>
      </c>
    </row>
    <row r="271" ht="37.5" customHeight="1">
      <c r="A271" s="26" t="inlineStr">
        <is>
          <t>CVG-232</t>
        </is>
      </c>
      <c r="B271" s="37" t="inlineStr">
        <is>
          <t>Coverage (code-driven)</t>
        </is>
      </c>
      <c r="C271" s="27" t="inlineStr">
        <is>
          <t>Search() — 1 test con [L1-AUD-08]
· Search_ForwardsQuery</t>
        </is>
      </c>
      <c r="D271" s="27" t="inlineStr">
        <is>
          <t>COVERAGE (code-driven)</t>
        </is>
      </c>
      <c r="E271" s="34" t="inlineStr">
        <is>
          <t>P2</t>
        </is>
      </c>
      <c r="F271" s="40" t="inlineStr">
        <is>
          <t>Mock dependency của controller theo tên test</t>
        </is>
      </c>
      <c r="G271" s="27" t="inlineStr">
        <is>
          <t>AuditLogController.Search()</t>
        </is>
      </c>
      <c r="H271" s="40" t="inlineStr">
        <is>
          <t>Xem assertion trong file test nguồn (tên test tra ngược 1-1)</t>
        </is>
      </c>
      <c r="I271" s="27" t="inlineStr">
        <is>
          <t>No</t>
        </is>
      </c>
      <c r="J271" s="39" t="inlineStr">
        <is>
          <t>Pass</t>
        </is>
      </c>
      <c r="K271" s="27" t="n"/>
      <c r="L271" s="40" t="inlineStr">
        <is>
          <t>Coverage 100% · nguồn: AdminDashboardStockTransferTests.cs</t>
        </is>
      </c>
    </row>
    <row r="272" ht="37.5" customHeight="1">
      <c r="A272" s="31" t="inlineStr">
        <is>
          <t>CVG-233</t>
        </is>
      </c>
      <c r="B272" s="37" t="inlineStr">
        <is>
          <t>Coverage (code-driven)</t>
        </is>
      </c>
      <c r="C272" s="32" t="inlineStr">
        <is>
          <t>Export() — 1 test con [L1-AUD-09]
· Export_ReturnsCsvFileWithTimestampedName</t>
        </is>
      </c>
      <c r="D272" s="32" t="inlineStr">
        <is>
          <t>COVERAGE (code-driven)</t>
        </is>
      </c>
      <c r="E272" s="36" t="inlineStr">
        <is>
          <t>P2</t>
        </is>
      </c>
      <c r="F272" s="38" t="inlineStr">
        <is>
          <t>Mock dependency của controller theo tên test</t>
        </is>
      </c>
      <c r="G272" s="32" t="inlineStr">
        <is>
          <t>AuditLogController.Export()</t>
        </is>
      </c>
      <c r="H272" s="38" t="inlineStr">
        <is>
          <t>Xem assertion trong file test nguồn (tên test tra ngược 1-1)</t>
        </is>
      </c>
      <c r="I272" s="32" t="inlineStr">
        <is>
          <t>No</t>
        </is>
      </c>
      <c r="J272" s="39" t="inlineStr">
        <is>
          <t>Pass</t>
        </is>
      </c>
      <c r="K272" s="32" t="n"/>
      <c r="L272" s="38" t="inlineStr">
        <is>
          <t>Coverage 100% · nguồn: AdminDashboardStockTransferTests.cs</t>
        </is>
      </c>
    </row>
    <row r="273" ht="18" customHeight="1">
      <c r="A273" s="50" t="inlineStr">
        <is>
          <t xml:space="preserve">  ▶  Block: DashboardKpiServices  —  DashboardsController  ·  coverage 97,9%  ·  AdminDashboardStockTransferTests.cs</t>
        </is>
      </c>
    </row>
    <row r="274" ht="61.5" customHeight="1">
      <c r="A274" s="26" t="inlineStr">
        <is>
          <t>CVG-234</t>
        </is>
      </c>
      <c r="B274" s="37" t="inlineStr">
        <is>
          <t>Coverage (code-driven)</t>
        </is>
      </c>
      <c r="C274" s="27" t="inlineStr">
        <is>
          <t>GetSalesStaffDashboard() — 3 test con [L1-DASH-09 → L1-DASH-11]
· GetSalesStaffDashboard_WhenNoRange_DefaultsToLast30Days
· GetSalesStaffDashboard_ScopesToCallerId
· GetSalesStaffDashboard_WhenRangeReversed_Returns400</t>
        </is>
      </c>
      <c r="D274" s="27" t="inlineStr">
        <is>
          <t>COVERAGE (code-driven)</t>
        </is>
      </c>
      <c r="E274" s="28" t="inlineStr">
        <is>
          <t>P1</t>
        </is>
      </c>
      <c r="F274" s="40" t="inlineStr">
        <is>
          <t>Mock dependency của controller theo tên test</t>
        </is>
      </c>
      <c r="G274" s="27" t="inlineStr">
        <is>
          <t>DashboardsController.GetSalesStaffDashboard()</t>
        </is>
      </c>
      <c r="H274" s="40" t="inlineStr">
        <is>
          <t>Xem assertion trong file test nguồn (tên test tra ngược 1-1)</t>
        </is>
      </c>
      <c r="I274" s="29" t="inlineStr">
        <is>
          <t>Cả hai</t>
        </is>
      </c>
      <c r="J274" s="39" t="inlineStr">
        <is>
          <t>Pass</t>
        </is>
      </c>
      <c r="K274" s="27" t="n"/>
      <c r="L274" s="40" t="inlineStr">
        <is>
          <t>Coverage 97,9% · nguồn: AdminDashboardStockTransferTests.cs</t>
        </is>
      </c>
    </row>
    <row r="275" ht="49.5" customHeight="1">
      <c r="A275" s="31" t="inlineStr">
        <is>
          <t>CVG-235</t>
        </is>
      </c>
      <c r="B275" s="37" t="inlineStr">
        <is>
          <t>Coverage (code-driven)</t>
        </is>
      </c>
      <c r="C275" s="32" t="inlineStr">
        <is>
          <t>GetSalesManagerDashboard() — 2 test con [L1-DASH-12 → L1-DASH-13]
· GetSalesManagerDashboard_Success_NoUserScoping
· GetSalesManagerDashboard_WhenRangeReversed_Returns400</t>
        </is>
      </c>
      <c r="D275" s="32" t="inlineStr">
        <is>
          <t>COVERAGE (code-driven)</t>
        </is>
      </c>
      <c r="E275" s="36" t="inlineStr">
        <is>
          <t>P2</t>
        </is>
      </c>
      <c r="F275" s="38" t="inlineStr">
        <is>
          <t>Mock dependency của controller theo tên test</t>
        </is>
      </c>
      <c r="G275" s="32" t="inlineStr">
        <is>
          <t>DashboardsController.GetSalesManagerDashboard()</t>
        </is>
      </c>
      <c r="H275" s="38" t="inlineStr">
        <is>
          <t>Xem assertion trong file test nguồn (tên test tra ngược 1-1)</t>
        </is>
      </c>
      <c r="I275" s="35" t="inlineStr">
        <is>
          <t>Cả hai</t>
        </is>
      </c>
      <c r="J275" s="39" t="inlineStr">
        <is>
          <t>Pass</t>
        </is>
      </c>
      <c r="K275" s="32" t="n"/>
      <c r="L275" s="38" t="inlineStr">
        <is>
          <t>Coverage 97,9% · nguồn: AdminDashboardStockTransferTests.cs</t>
        </is>
      </c>
    </row>
    <row r="276" ht="49.5" customHeight="1">
      <c r="A276" s="26" t="inlineStr">
        <is>
          <t>CVG-236</t>
        </is>
      </c>
      <c r="B276" s="37" t="inlineStr">
        <is>
          <t>Coverage (code-driven)</t>
        </is>
      </c>
      <c r="C276" s="27" t="inlineStr">
        <is>
          <t>GetCeoDashboard() — 2 test con [L1-DASH-14 → L1-DASH-15]
· GetCeoDashboard_Success_ReturnsOk
· GetCeoDashboard_WhenRangeReversed_Returns400</t>
        </is>
      </c>
      <c r="D276" s="27" t="inlineStr">
        <is>
          <t>COVERAGE (code-driven)</t>
        </is>
      </c>
      <c r="E276" s="34" t="inlineStr">
        <is>
          <t>P2</t>
        </is>
      </c>
      <c r="F276" s="40" t="inlineStr">
        <is>
          <t>Mock dependency của controller theo tên test</t>
        </is>
      </c>
      <c r="G276" s="27" t="inlineStr">
        <is>
          <t>DashboardsController.GetCeoDashboard()</t>
        </is>
      </c>
      <c r="H276" s="40" t="inlineStr">
        <is>
          <t>Xem assertion trong file test nguồn (tên test tra ngược 1-1)</t>
        </is>
      </c>
      <c r="I276" s="29" t="inlineStr">
        <is>
          <t>Cả hai</t>
        </is>
      </c>
      <c r="J276" s="39" t="inlineStr">
        <is>
          <t>Pass</t>
        </is>
      </c>
      <c r="K276" s="27" t="n"/>
      <c r="L276" s="40" t="inlineStr">
        <is>
          <t>Coverage 97,9% · nguồn: AdminDashboardStockTransferTests.cs</t>
        </is>
      </c>
    </row>
    <row r="277" ht="18" customHeight="1">
      <c r="A277" s="50" t="inlineStr">
        <is>
          <t xml:space="preserve">  ▶  Block: StockTransferService  —  StockTransferController  ·  coverage 98,2%  ·  StockTransferAndSePayControllerTests.cs · AdminDashboardStockTransferTests.cs</t>
        </is>
      </c>
    </row>
    <row r="278" ht="97.5" customHeight="1">
      <c r="A278" s="31" t="inlineStr">
        <is>
          <t>CVG-237</t>
        </is>
      </c>
      <c r="B278" s="37" t="inlineStr">
        <is>
          <t>Coverage (code-driven)</t>
        </is>
      </c>
      <c r="C278" s="32" t="inlineStr">
        <is>
          <t>ReceiveTransfer() — 6 test con [L1-ST-20 → L1-ST-25]
· ReceiveTransfer_Success_PassesReceiverIdFromToken
· ReceiveTransfer_WhenTransferMissing_Returns404
· ReceiveTransfer_WhenStaffOfAnotherWarehouse_Returns403
· ReceiveTransfer_WhenConcurrent_Returns409
· ReceiveTransfer_WhenServiceThrows_Returns400
· ReceiveTransfer_WithoutUserClaim_Returns400</t>
        </is>
      </c>
      <c r="D278" s="32" t="inlineStr">
        <is>
          <t>COVERAGE (code-driven)</t>
        </is>
      </c>
      <c r="E278" s="28" t="inlineStr">
        <is>
          <t>P1</t>
        </is>
      </c>
      <c r="F278" s="38" t="inlineStr">
        <is>
          <t>Mock dependency của controller theo tên test</t>
        </is>
      </c>
      <c r="G278" s="32" t="inlineStr">
        <is>
          <t>StockTransferController.ReceiveTransfer()</t>
        </is>
      </c>
      <c r="H278" s="38" t="inlineStr">
        <is>
          <t>Xem assertion trong file test nguồn (tên test tra ngược 1-1)</t>
        </is>
      </c>
      <c r="I278" s="35" t="inlineStr">
        <is>
          <t>Cả hai</t>
        </is>
      </c>
      <c r="J278" s="39" t="inlineStr">
        <is>
          <t>Pass</t>
        </is>
      </c>
      <c r="K278" s="32" t="n"/>
      <c r="L278" s="42" t="inlineStr">
        <is>
          <t>⚠ Nhánh DbUpdateConcurrencyException → 409 KHÔNG chạy được qua HTTP thật khi bảng thiếu RowVersion (GH-04) — mock là cách duy nhất chạm tới.  |  Coverage 98,2% · nguồn: StockTransferAndSePayControllerTests.cs · AdminDashboardStockTransferTests.cs</t>
        </is>
      </c>
    </row>
    <row r="279" ht="37.5" customHeight="1">
      <c r="A279" s="26" t="inlineStr">
        <is>
          <t>CVG-238</t>
        </is>
      </c>
      <c r="B279" s="37" t="inlineStr">
        <is>
          <t>Coverage (code-driven)</t>
        </is>
      </c>
      <c r="C279" s="27" t="inlineStr">
        <is>
          <t>DispatchTransfer() — 1 test con [L1-ST-29]
· DispatchTransfer_WhenConcurrent_Returns409</t>
        </is>
      </c>
      <c r="D279" s="27" t="inlineStr">
        <is>
          <t>COVERAGE (code-driven)</t>
        </is>
      </c>
      <c r="E279" s="28" t="inlineStr">
        <is>
          <t>P1</t>
        </is>
      </c>
      <c r="F279" s="40" t="inlineStr">
        <is>
          <t>Mock dependency của controller theo tên test</t>
        </is>
      </c>
      <c r="G279" s="27" t="inlineStr">
        <is>
          <t>StockTransferController.DispatchTransfer()</t>
        </is>
      </c>
      <c r="H279" s="40" t="inlineStr">
        <is>
          <t>Xem assertion trong file test nguồn (tên test tra ngược 1-1)</t>
        </is>
      </c>
      <c r="I279" s="29" t="inlineStr">
        <is>
          <t>Yes</t>
        </is>
      </c>
      <c r="J279" s="39" t="inlineStr">
        <is>
          <t>Pass</t>
        </is>
      </c>
      <c r="K279" s="27" t="n"/>
      <c r="L279" s="41" t="inlineStr">
        <is>
          <t>⚠ Nhánh DbUpdateConcurrencyException → 409 KHÔNG chạy được qua HTTP thật khi bảng thiếu RowVersion (GH-04) — mock là cách duy nhất chạm tới.  |  Coverage 98,2% · nguồn: StockTransferAndSePayControllerTests.cs · AdminDashboardStockTransferTests.cs</t>
        </is>
      </c>
    </row>
    <row r="280" ht="37.5" customHeight="1">
      <c r="A280" s="31" t="inlineStr">
        <is>
          <t>CVG-239</t>
        </is>
      </c>
      <c r="B280" s="37" t="inlineStr">
        <is>
          <t>Coverage (code-driven)</t>
        </is>
      </c>
      <c r="C280" s="32" t="inlineStr">
        <is>
          <t>CancelTransfer() — 1 test con [L1-ST-30]
· CancelTransfer_WhenConcurrent_Returns409</t>
        </is>
      </c>
      <c r="D280" s="32" t="inlineStr">
        <is>
          <t>COVERAGE (code-driven)</t>
        </is>
      </c>
      <c r="E280" s="28" t="inlineStr">
        <is>
          <t>P1</t>
        </is>
      </c>
      <c r="F280" s="38" t="inlineStr">
        <is>
          <t>Mock dependency của controller theo tên test</t>
        </is>
      </c>
      <c r="G280" s="32" t="inlineStr">
        <is>
          <t>StockTransferController.CancelTransfer()</t>
        </is>
      </c>
      <c r="H280" s="38" t="inlineStr">
        <is>
          <t>Xem assertion trong file test nguồn (tên test tra ngược 1-1)</t>
        </is>
      </c>
      <c r="I280" s="35" t="inlineStr">
        <is>
          <t>Yes</t>
        </is>
      </c>
      <c r="J280" s="39" t="inlineStr">
        <is>
          <t>Pass</t>
        </is>
      </c>
      <c r="K280" s="32" t="n"/>
      <c r="L280" s="42" t="inlineStr">
        <is>
          <t>⚠ Nhánh DbUpdateConcurrencyException → 409 KHÔNG chạy được qua HTTP thật khi bảng thiếu RowVersion (GH-04) — mock là cách duy nhất chạm tới.  |  Coverage 98,2% · nguồn: StockTransferAndSePayControllerTests.cs · AdminDashboardStockTransferTests.cs</t>
        </is>
      </c>
    </row>
  </sheetData>
  <mergeCells count="39">
    <mergeCell ref="A187:L187"/>
    <mergeCell ref="A174:L174"/>
    <mergeCell ref="A277:L277"/>
    <mergeCell ref="A164:L164"/>
    <mergeCell ref="A273:L273"/>
    <mergeCell ref="A46:L46"/>
    <mergeCell ref="A158:L158"/>
    <mergeCell ref="A2:L2"/>
    <mergeCell ref="A235:L235"/>
    <mergeCell ref="A151:L151"/>
    <mergeCell ref="A71:L71"/>
    <mergeCell ref="A5:L5"/>
    <mergeCell ref="A254:L254"/>
    <mergeCell ref="A141:L141"/>
    <mergeCell ref="A14:L14"/>
    <mergeCell ref="A131:L131"/>
    <mergeCell ref="A38:L38"/>
    <mergeCell ref="A199:L199"/>
    <mergeCell ref="A19:L19"/>
    <mergeCell ref="A63:L63"/>
    <mergeCell ref="A58:L58"/>
    <mergeCell ref="A40:L40"/>
    <mergeCell ref="A9:L9"/>
    <mergeCell ref="A77:L77"/>
    <mergeCell ref="A83:L83"/>
    <mergeCell ref="A261:L261"/>
    <mergeCell ref="A270:L270"/>
    <mergeCell ref="A24:L24"/>
    <mergeCell ref="A266:L266"/>
    <mergeCell ref="A30:L30"/>
    <mergeCell ref="A222:L222"/>
    <mergeCell ref="A51:L51"/>
    <mergeCell ref="A94:L94"/>
    <mergeCell ref="A1:L1"/>
    <mergeCell ref="A123:L123"/>
    <mergeCell ref="A241:L241"/>
    <mergeCell ref="A110:L110"/>
    <mergeCell ref="A69:L69"/>
    <mergeCell ref="A87:L87"/>
  </mergeCells>
  <dataValidations count="2">
    <dataValidation sqref="J6:J8 J10:J13 J15:J18 J20:J23 J25:J29 J31:J37 J39 J41:J45 J47:J50 J52:J57 J59:J62 J64:J68 J70 J72:J76 J78:J82 J84:J86 J88:J93 J95:J109 J111:J122 J124:J130 J132:J140 J142:J150 J152:J157 J159:J163 J165:J173 J175:J186 J188:J198 J200:J221 J223:J234 J236:J240 J242:J253 J255:J260 J262:J265 J267:J269 J271:J272 J274:J276 J278:J280" showDropDown="0" showInputMessage="0" showErrorMessage="0" allowBlank="1" type="list">
      <formula1>"Not Run,Pass,Fail,Blocked,Skip,N/A"</formula1>
      <formula2>0</formula2>
    </dataValidation>
    <dataValidation sqref="E6:E8 E10:E13 E15:E18 E20:E23 E25:E29 E31:E37 E39 E41:E45 E47:E50 E52:E57 E59:E62 E64:E68 E70 E72:E76 E78:E82 E84:E86 E88:E93 E95:E109 E111:E122 E124:E130 E132:E140 E142:E150 E152:E157 E159:E163 E165:E173 E175:E186 E188:E198 E200:E221 E223:E234 E236:E240 E242:E253 E255:E260 E262:E265 E267:E269 E271:E272 E274:E276 E278:E280" showDropDown="0" showInputMessage="0" showErrorMessage="0" allowBlank="1" type="list">
      <formula1>"P1,P2,P3"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tabSelected="1" topLeftCell="F1" zoomScaleNormal="100" workbookViewId="0">
      <pane ySplit="4" topLeftCell="A62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AuthService  |  methods: RegisterAsync, VerifyOtpAsync, LoginAsync, LoginWithGoogleAsync, ForgotPasswordAsync, ResetPasswordAsync, RefreshTokenAsync, LogoutAsync, VerifyPhoneOtpAsync  |  Mock: IUnitOfWork, IJwtService, IEmailService, ISmsService, ISalesAllocationService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RegisterAsync()  |  FT-01 SB-2 (account creation for cart flow); NFR-SEC03</t>
        </is>
      </c>
    </row>
    <row r="6" ht="57.75" customHeight="1">
      <c r="A6" s="26" t="inlineStr">
        <is>
          <t>L1-AUTH-01</t>
        </is>
      </c>
      <c r="B6" s="37" t="inlineStr">
        <is>
          <t>EP-Invalid</t>
        </is>
      </c>
      <c r="C6" s="27" t="inlineStr">
        <is>
          <t>Email already exists -&gt; registration rejected</t>
        </is>
      </c>
      <c r="D6" s="27" t="inlineStr">
        <is>
          <t>FT-01 NAC-01; BR-023</t>
        </is>
      </c>
      <c r="E6" s="28" t="inlineStr">
        <is>
          <t>P1</t>
        </is>
      </c>
      <c r="F6" s="27" t="inlineStr">
        <is>
          <t>Mock: userRepo.EmailExistsAsync('a@x.com') -&gt; true</t>
        </is>
      </c>
      <c r="G6" s="27" t="inlineStr">
        <is>
          <t>authService.RegisterAsync(dto{email='a@x.com'})</t>
        </is>
      </c>
      <c r="H6" s="27" t="inlineStr">
        <is>
          <t>Success = false; Message indicates email in use
userRepo.AddAsync() NEVER called
emailService.SendOtpEmailAsync() NEVER called</t>
        </is>
      </c>
      <c r="I6" s="29" t="inlineStr">
        <is>
          <t>Yes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61.5" customHeight="1">
      <c r="A7" s="31" t="inlineStr">
        <is>
          <t>L1-AUTH-02</t>
        </is>
      </c>
      <c r="B7" s="37" t="inlineStr">
        <is>
          <t>EP-Valid</t>
        </is>
      </c>
      <c r="C7" s="32" t="inlineStr">
        <is>
          <t>Valid registration -&gt; user created, OTP email sent, password hashed</t>
        </is>
      </c>
      <c r="D7" s="32" t="inlineStr">
        <is>
          <t>FT-01 AC-02; BR-023; NFR-SEC02</t>
        </is>
      </c>
      <c r="E7" s="28" t="inlineStr">
        <is>
          <t>P1</t>
        </is>
      </c>
      <c r="F7" s="32" t="inlineStr">
        <is>
          <t>Mock: EmailExistsAsync -&gt; false; PhoneExistsAsync -&gt; false</t>
        </is>
      </c>
      <c r="G7" s="32" t="inlineStr">
        <is>
          <t>authService.RegisterAsync(validDto{password='P@ss123'})</t>
        </is>
      </c>
      <c r="H7" s="32" t="inlineStr">
        <is>
          <t>Success = true
userRepo.AddAsync() called once; saved PasswordHash != 'P@ss123' (BCrypt)
emailService.SendOtpEmailAsync() called once with correct email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43.5" customHeight="1">
      <c r="A8" s="26" t="inlineStr">
        <is>
          <t>L1-AUTH-03</t>
        </is>
      </c>
      <c r="B8" s="37" t="inlineStr">
        <is>
          <t>EP-Invalid</t>
        </is>
      </c>
      <c r="C8" s="27" t="inlineStr">
        <is>
          <t>Phone number already exists -&gt; rejected</t>
        </is>
      </c>
      <c r="D8" s="27" t="inlineStr">
        <is>
          <t>FT-01 NAC-01; BR-023</t>
        </is>
      </c>
      <c r="E8" s="34" t="inlineStr">
        <is>
          <t>P2</t>
        </is>
      </c>
      <c r="F8" s="27" t="inlineStr">
        <is>
          <t>Mock: EmailExistsAsync -&gt; false; PhoneExistsAsync('0912345678') -&gt; true</t>
        </is>
      </c>
      <c r="G8" s="27" t="inlineStr">
        <is>
          <t>authService.RegisterAsync(dto{phone='0912345678'})</t>
        </is>
      </c>
      <c r="H8" s="27" t="inlineStr">
        <is>
          <t>Success = false
userRepo.AddAsync() NEVER called</t>
        </is>
      </c>
      <c r="I8" s="29" t="inlineStr">
        <is>
          <t>Yes</t>
        </is>
      </c>
      <c r="J8" s="43" t="inlineStr">
        <is>
          <t>Pass</t>
        </is>
      </c>
      <c r="K8" s="27" t="n"/>
      <c r="L8" s="27" t="n"/>
      <c r="M8" s="43" t="inlineStr">
        <is>
          <t>✅ Pass (không đổi)</t>
        </is>
      </c>
    </row>
    <row r="9" ht="18" customHeight="1">
      <c r="A9" s="50" t="inlineStr">
        <is>
          <t xml:space="preserve">  ▶  Block: VerifyOtpAsync()</t>
        </is>
      </c>
    </row>
    <row r="10" ht="43.5" customHeight="1">
      <c r="A10" s="26" t="inlineStr">
        <is>
          <t>L1-AUTH-04</t>
        </is>
      </c>
      <c r="B10" s="37" t="inlineStr">
        <is>
          <t>EP-Invalid</t>
        </is>
      </c>
      <c r="C10" s="27" t="inlineStr">
        <is>
          <t>Wrong OTP code -&gt; verification rejected</t>
        </is>
      </c>
      <c r="D10" s="27" t="inlineStr">
        <is>
          <t>FT-01 NAC-02; BV-02; BR-024</t>
        </is>
      </c>
      <c r="E10" s="28" t="inlineStr">
        <is>
          <t>P1</t>
        </is>
      </c>
      <c r="F10" s="27" t="inlineStr">
        <is>
          <t>User exists with stored OTP '123456' (not expired)</t>
        </is>
      </c>
      <c r="G10" s="27" t="inlineStr">
        <is>
          <t>authService.VerifyOtpAsync(dto{otp='999999'})</t>
        </is>
      </c>
      <c r="H10" s="27" t="inlineStr">
        <is>
          <t>Success = false
User.IsVerified remains false; no state change saved</t>
        </is>
      </c>
      <c r="I10" s="29" t="inlineStr">
        <is>
          <t>Yes</t>
        </is>
      </c>
      <c r="J10" s="43" t="inlineStr">
        <is>
          <t>Pass</t>
        </is>
      </c>
      <c r="K10" s="27" t="n"/>
      <c r="L10" s="27" t="n"/>
      <c r="M10" s="43" t="inlineStr">
        <is>
          <t>✅ Pass (không đổi)</t>
        </is>
      </c>
    </row>
    <row r="11" ht="43.5" customHeight="1">
      <c r="A11" s="31" t="inlineStr">
        <is>
          <t>L1-AUTH-05</t>
        </is>
      </c>
      <c r="B11" s="37" t="inlineStr">
        <is>
          <t>EP-Invalid</t>
        </is>
      </c>
      <c r="C11" s="32" t="inlineStr">
        <is>
          <t>Expired OTP -&gt; verification rejected</t>
        </is>
      </c>
      <c r="D11" s="32" t="inlineStr">
        <is>
          <t>FT-01 NAC-02; BV-02; BR-024</t>
        </is>
      </c>
      <c r="E11" s="36" t="inlineStr">
        <is>
          <t>P2</t>
        </is>
      </c>
      <c r="F11" s="32" t="inlineStr">
        <is>
          <t>User exists; OTP created beyond configured expiry (mock IClock/time source)</t>
        </is>
      </c>
      <c r="G11" s="32" t="inlineStr">
        <is>
          <t>authService.VerifyOtpAsync(dto{otp='123456'})</t>
        </is>
      </c>
      <c r="H11" s="32" t="inlineStr">
        <is>
          <t>Success = false; Message indicates expiry
User.IsVerified remains false</t>
        </is>
      </c>
      <c r="I11" s="35" t="inlineStr">
        <is>
          <t>Yes</t>
        </is>
      </c>
      <c r="J11" s="43" t="inlineStr">
        <is>
          <t>Pass</t>
        </is>
      </c>
      <c r="K11" s="32" t="n"/>
      <c r="L11" s="32" t="n"/>
      <c r="M11" s="43" t="inlineStr">
        <is>
          <t>✅ Pass (không đổi)</t>
        </is>
      </c>
    </row>
    <row r="12" ht="43.5" customHeight="1">
      <c r="A12" s="26" t="inlineStr">
        <is>
          <t>L1-AUTH-06</t>
        </is>
      </c>
      <c r="B12" s="37" t="inlineStr">
        <is>
          <t>EP-Valid</t>
        </is>
      </c>
      <c r="C12" s="27" t="inlineStr">
        <is>
          <t>Correct OTP within window -&gt; account verified</t>
        </is>
      </c>
      <c r="D12" s="27" t="inlineStr">
        <is>
          <t>FT-01 AC-04; BV-02; BR-024</t>
        </is>
      </c>
      <c r="E12" s="28" t="inlineStr">
        <is>
          <t>P1</t>
        </is>
      </c>
      <c r="F12" s="27" t="inlineStr">
        <is>
          <t>User exists with valid stored OTP '123456'</t>
        </is>
      </c>
      <c r="G12" s="27" t="inlineStr">
        <is>
          <t>authService.VerifyOtpAsync(dto{otp='123456'})</t>
        </is>
      </c>
      <c r="H12" s="27" t="inlineStr">
        <is>
          <t>Success = true
User.IsVerified = true; unitOfWork.SaveChangesAsync() called</t>
        </is>
      </c>
      <c r="I12" s="27" t="inlineStr">
        <is>
          <t>No</t>
        </is>
      </c>
      <c r="J12" s="43" t="inlineStr">
        <is>
          <t>Pass</t>
        </is>
      </c>
      <c r="K12" s="27" t="n"/>
      <c r="L12" s="27" t="n"/>
      <c r="M12" s="43" t="inlineStr">
        <is>
          <t>✅ Pass (không đổi)</t>
        </is>
      </c>
    </row>
    <row r="13" ht="18" customHeight="1">
      <c r="A13" s="50" t="inlineStr">
        <is>
          <t xml:space="preserve">  ▶  Block: LoginAsync()  |  NFR-SEC03, NFR-SEC04</t>
        </is>
      </c>
    </row>
    <row r="14" ht="57.75" customHeight="1">
      <c r="A14" s="26" t="inlineStr">
        <is>
          <t>L1-AUTH-07</t>
        </is>
      </c>
      <c r="B14" s="37" t="inlineStr">
        <is>
          <t>EP-Valid</t>
        </is>
      </c>
      <c r="C14" s="27" t="inlineStr">
        <is>
          <t>Valid credentials -&gt; tokens issued</t>
        </is>
      </c>
      <c r="D14" s="27" t="inlineStr">
        <is>
          <t>NFR-SEC02; NFR-SEC03</t>
        </is>
      </c>
      <c r="E14" s="28" t="inlineStr">
        <is>
          <t>P1</t>
        </is>
      </c>
      <c r="F14" s="27" t="inlineStr">
        <is>
          <t>Mock: GetByEmailAsync -&gt; verified user (BCrypt hash of 'P@ss123')
jwtService.GenerateAccessToken -&gt; 'jwt'; GenerateRefreshToken -&gt; 'rt'</t>
        </is>
      </c>
      <c r="G14" s="27" t="inlineStr">
        <is>
          <t>authService.LoginAsync(dto{email, password='P@ss123'})</t>
        </is>
      </c>
      <c r="H14" s="27" t="inlineStr">
        <is>
          <t>Success = true; Data.AccessToken = 'jwt'; Data.RefreshToken = 'rt'
jwtService.GenerateAccessToken(user) called once
Refresh token persisted on user record</t>
        </is>
      </c>
      <c r="I14" s="27" t="inlineStr">
        <is>
          <t>No</t>
        </is>
      </c>
      <c r="J14" s="43" t="inlineStr">
        <is>
          <t>Pass</t>
        </is>
      </c>
      <c r="K14" s="27" t="n"/>
      <c r="L14" s="27" t="n"/>
      <c r="M14" s="43" t="inlineStr">
        <is>
          <t>✅ Pass (không đổi)</t>
        </is>
      </c>
    </row>
    <row r="15" ht="57.75" customHeight="1">
      <c r="A15" s="31" t="inlineStr">
        <is>
          <t>L1-AUTH-08</t>
        </is>
      </c>
      <c r="B15" s="37" t="inlineStr">
        <is>
          <t>EP-Invalid</t>
        </is>
      </c>
      <c r="C15" s="32" t="inlineStr">
        <is>
          <t>Wrong password -&gt; login rejected, no token</t>
        </is>
      </c>
      <c r="D15" s="32" t="inlineStr">
        <is>
          <t>NFR-SEC02</t>
        </is>
      </c>
      <c r="E15" s="28" t="inlineStr">
        <is>
          <t>P1</t>
        </is>
      </c>
      <c r="F15" s="32" t="inlineStr">
        <is>
          <t>Mock: GetByEmailAsync -&gt; user with hash of 'P@ss123'</t>
        </is>
      </c>
      <c r="G15" s="32" t="inlineStr">
        <is>
          <t>authService.LoginAsync(dto{password='WRONG'})</t>
        </is>
      </c>
      <c r="H15" s="32" t="inlineStr">
        <is>
          <t>Success = false
jwtService.GenerateAccessToken() NEVER called
Generic failure message (does not reveal which field is wrong)</t>
        </is>
      </c>
      <c r="I15" s="35" t="inlineStr">
        <is>
          <t>Yes</t>
        </is>
      </c>
      <c r="J15" s="43" t="inlineStr">
        <is>
          <t>Pass</t>
        </is>
      </c>
      <c r="K15" s="32" t="n"/>
      <c r="L15" s="32" t="n"/>
      <c r="M15" s="43" t="inlineStr">
        <is>
          <t>✅ Pass (không đổi)</t>
        </is>
      </c>
    </row>
    <row r="16" ht="43.5" customHeight="1">
      <c r="A16" s="26" t="inlineStr">
        <is>
          <t>L1-AUTH-09</t>
        </is>
      </c>
      <c r="B16" s="37" t="inlineStr">
        <is>
          <t>EP-Invalid</t>
        </is>
      </c>
      <c r="C16" s="27" t="inlineStr">
        <is>
          <t>Unknown email -&gt; login rejected with generic message</t>
        </is>
      </c>
      <c r="D16" s="27" t="inlineStr">
        <is>
          <t>NFR-SEC02</t>
        </is>
      </c>
      <c r="E16" s="34" t="inlineStr">
        <is>
          <t>P2</t>
        </is>
      </c>
      <c r="F16" s="27" t="inlineStr">
        <is>
          <t>Mock: GetByEmailAsync -&gt; null</t>
        </is>
      </c>
      <c r="G16" s="27" t="inlineStr">
        <is>
          <t>authService.LoginAsync(dto{email='ghost@x.com'})</t>
        </is>
      </c>
      <c r="H16" s="27" t="inlineStr">
        <is>
          <t>Success = false; message identical wording to wrong-password case
No token generated</t>
        </is>
      </c>
      <c r="I16" s="29" t="inlineStr">
        <is>
          <t>Yes</t>
        </is>
      </c>
      <c r="J16" s="43" t="inlineStr">
        <is>
          <t>Pass</t>
        </is>
      </c>
      <c r="K16" s="27" t="n"/>
      <c r="L16" s="27" t="n"/>
      <c r="M16" s="43" t="inlineStr">
        <is>
          <t>✅ Pass (không đổi)</t>
        </is>
      </c>
    </row>
    <row r="17" ht="18" customHeight="1">
      <c r="A17" s="50" t="inlineStr">
        <is>
          <t xml:space="preserve">  ▶  Block: LoginWithGoogleAsync()</t>
        </is>
      </c>
    </row>
    <row r="18" ht="43.5" customHeight="1">
      <c r="A18" s="26" t="inlineStr">
        <is>
          <t>L1-AUTH-10</t>
        </is>
      </c>
      <c r="B18" s="37" t="inlineStr">
        <is>
          <t>EP-Valid</t>
        </is>
      </c>
      <c r="C18" s="27" t="inlineStr">
        <is>
          <t>New Google account -&gt; user auto-created and auto-assigned to Sales staff</t>
        </is>
      </c>
      <c r="D18" s="27" t="inlineStr">
        <is>
          <t>FT-01 AC-02; FT-04 AC-02; BR-002; BR-023</t>
        </is>
      </c>
      <c r="E18" s="34" t="inlineStr">
        <is>
          <t>P2</t>
        </is>
      </c>
      <c r="F18" s="27" t="inlineStr">
        <is>
          <t>Mock: GetByGoogleIdAsync -&gt; null; GetByEmailAsync -&gt; null</t>
        </is>
      </c>
      <c r="G18" s="27" t="inlineStr">
        <is>
          <t>authService.LoginWithGoogleAsync(dto{googleId,email})</t>
        </is>
      </c>
      <c r="H18" s="27" t="inlineStr">
        <is>
          <t>Success = true; new user persisted
salesAllocationService.AutoAssignCustomerAsync(userId) called once</t>
        </is>
      </c>
      <c r="I18" s="27" t="inlineStr">
        <is>
          <t>No</t>
        </is>
      </c>
      <c r="J18" s="43" t="inlineStr">
        <is>
          <t>Blocked</t>
        </is>
      </c>
      <c r="K18" s="27" t="n"/>
      <c r="L18" s="44" t="inlineStr">
        <is>
          <t>GoogleJsonWebSignature.ValidateAsync là static call ra Google — không mock được ở unit level, cần integration test (L2).</t>
        </is>
      </c>
      <c r="M18" s="43" t="inlineStr">
        <is>
          <t>✅ ĐÃ FIX
AuthService.cs:278 dùng IGoogleTokenValidator (DI) thay vì static call nên mock được; logic auto-create + AutoAssignCustomerAsync đúng (278-320).</t>
        </is>
      </c>
    </row>
    <row r="19" ht="43.5" customHeight="1">
      <c r="A19" s="31" t="inlineStr">
        <is>
          <t>L1-AUTH-11</t>
        </is>
      </c>
      <c r="B19" s="37" t="inlineStr">
        <is>
          <t>EP-Valid</t>
        </is>
      </c>
      <c r="C19" s="32" t="inlineStr">
        <is>
          <t>Existing Google account -&gt; login without creating duplicate</t>
        </is>
      </c>
      <c r="D19" s="32" t="inlineStr">
        <is>
          <t>FT-01 AC-02; NAC-01; BR-023</t>
        </is>
      </c>
      <c r="E19" s="36" t="inlineStr">
        <is>
          <t>P2</t>
        </is>
      </c>
      <c r="F19" s="32" t="inlineStr">
        <is>
          <t>Mock: GetByGoogleIdAsync -&gt; existing user</t>
        </is>
      </c>
      <c r="G19" s="32" t="inlineStr">
        <is>
          <t>authService.LoginWithGoogleAsync(dto)</t>
        </is>
      </c>
      <c r="H19" s="32" t="inlineStr">
        <is>
          <t>Success = true
userRepo.AddAsync() NEVER called</t>
        </is>
      </c>
      <c r="I19" s="32" t="inlineStr">
        <is>
          <t>No</t>
        </is>
      </c>
      <c r="J19" s="43" t="inlineStr">
        <is>
          <t>Blocked</t>
        </is>
      </c>
      <c r="K19" s="32" t="n"/>
      <c r="L19" s="32" t="inlineStr">
        <is>
          <t>Google token validation không isolate được ở unit level.</t>
        </is>
      </c>
      <c r="M19" s="43" t="inlineStr">
        <is>
          <t>✅ ĐÃ FIX
Cùng cơ chế DI ở trên; nhánh user đã tồn tại (286-299) không gọi AddAsync.</t>
        </is>
      </c>
    </row>
    <row r="20" ht="18" customHeight="1">
      <c r="A20" s="50" t="inlineStr">
        <is>
          <t xml:space="preserve">  ▶  Block: RefreshTokenAsync()  |  NFR-SEC04</t>
        </is>
      </c>
    </row>
    <row r="21" ht="43.5" customHeight="1">
      <c r="A21" s="26" t="inlineStr">
        <is>
          <t>L1-AUTH-12</t>
        </is>
      </c>
      <c r="B21" s="37" t="inlineStr">
        <is>
          <t>EP-Valid</t>
        </is>
      </c>
      <c r="C21" s="27" t="inlineStr">
        <is>
          <t>Valid refresh token -&gt; new access token, token rotated</t>
        </is>
      </c>
      <c r="D21" s="27" t="inlineStr">
        <is>
          <t>NFR-SEC02</t>
        </is>
      </c>
      <c r="E21" s="28" t="inlineStr">
        <is>
          <t>P1</t>
        </is>
      </c>
      <c r="F21" s="27" t="inlineStr">
        <is>
          <t>Mock: GetByRefreshTokenAsync('rt-old') -&gt; user (token not expired)</t>
        </is>
      </c>
      <c r="G21" s="27" t="inlineStr">
        <is>
          <t>authService.RefreshTokenAsync(dto{refreshToken='rt-old'})</t>
        </is>
      </c>
      <c r="H21" s="27" t="inlineStr">
        <is>
          <t>Success = true; new AccessToken returned
User.RefreshToken updated to a NEW value != 'rt-old' (rotation)</t>
        </is>
      </c>
      <c r="I21" s="27" t="inlineStr">
        <is>
          <t>No</t>
        </is>
      </c>
      <c r="J21" s="43" t="inlineStr">
        <is>
          <t>Pass</t>
        </is>
      </c>
      <c r="K21" s="27" t="n"/>
      <c r="L21" s="27" t="n"/>
      <c r="M21" s="43" t="inlineStr">
        <is>
          <t>✅ Pass (không đổi)</t>
        </is>
      </c>
    </row>
    <row r="22" ht="43.5" customHeight="1">
      <c r="A22" s="31" t="inlineStr">
        <is>
          <t>L1-AUTH-13</t>
        </is>
      </c>
      <c r="B22" s="37" t="inlineStr">
        <is>
          <t>EP-Invalid</t>
        </is>
      </c>
      <c r="C22" s="32" t="inlineStr">
        <is>
          <t>Unknown/revoked refresh token -&gt; rejected</t>
        </is>
      </c>
      <c r="D22" s="32" t="inlineStr">
        <is>
          <t>NFR-SEC02</t>
        </is>
      </c>
      <c r="E22" s="28" t="inlineStr">
        <is>
          <t>P1</t>
        </is>
      </c>
      <c r="F22" s="32" t="inlineStr">
        <is>
          <t>Mock: GetByRefreshTokenAsync('rt-x') -&gt; null</t>
        </is>
      </c>
      <c r="G22" s="32" t="inlineStr">
        <is>
          <t>authService.RefreshTokenAsync(dto{refreshToken='rt-x'})</t>
        </is>
      </c>
      <c r="H22" s="32" t="inlineStr">
        <is>
          <t>Success = false
jwtService.GenerateAccessToken() NEVER called</t>
        </is>
      </c>
      <c r="I22" s="35" t="inlineStr">
        <is>
          <t>Yes</t>
        </is>
      </c>
      <c r="J22" s="43" t="inlineStr">
        <is>
          <t>Pass</t>
        </is>
      </c>
      <c r="K22" s="32" t="n"/>
      <c r="L22" s="32" t="n"/>
      <c r="M22" s="43" t="inlineStr">
        <is>
          <t>✅ Pass (không đổi)</t>
        </is>
      </c>
    </row>
    <row r="23" ht="18" customHeight="1">
      <c r="A23" s="50" t="inlineStr">
        <is>
          <t xml:space="preserve">  ▶  Block: ResetPasswordAsync() / LogoutAsync()</t>
        </is>
      </c>
    </row>
    <row r="24" ht="43.5" customHeight="1">
      <c r="A24" s="26" t="inlineStr">
        <is>
          <t>L1-AUTH-14</t>
        </is>
      </c>
      <c r="B24" s="37" t="inlineStr">
        <is>
          <t>EP-Invalid</t>
        </is>
      </c>
      <c r="C24" s="27" t="inlineStr">
        <is>
          <t>Invalid reset token -&gt; password unchanged</t>
        </is>
      </c>
      <c r="D24" s="27" t="inlineStr">
        <is>
          <t>NFR-SEC02</t>
        </is>
      </c>
      <c r="E24" s="28" t="inlineStr">
        <is>
          <t>P1</t>
        </is>
      </c>
      <c r="F24" s="27" t="inlineStr">
        <is>
          <t>Mock: GetByResetTokenAsync('bad') -&gt; null</t>
        </is>
      </c>
      <c r="G24" s="27" t="inlineStr">
        <is>
          <t>authService.ResetPasswordAsync(dto{token='bad', newPassword})</t>
        </is>
      </c>
      <c r="H24" s="27" t="inlineStr">
        <is>
          <t>Success = false
No user updated; SaveChangesAsync NEVER called</t>
        </is>
      </c>
      <c r="I24" s="29" t="inlineStr">
        <is>
          <t>Yes</t>
        </is>
      </c>
      <c r="J24" s="43" t="inlineStr">
        <is>
          <t>Pass</t>
        </is>
      </c>
      <c r="K24" s="27" t="n"/>
      <c r="L24" s="27" t="n"/>
      <c r="M24" s="43" t="inlineStr">
        <is>
          <t>✅ Pass (không đổi)</t>
        </is>
      </c>
    </row>
    <row r="25" ht="43.5" customHeight="1">
      <c r="A25" s="31" t="inlineStr">
        <is>
          <t>L1-AUTH-15</t>
        </is>
      </c>
      <c r="B25" s="37" t="inlineStr">
        <is>
          <t>EP-Valid</t>
        </is>
      </c>
      <c r="C25" s="32" t="inlineStr">
        <is>
          <t>Valid reset token -&gt; new password stored as hash, token cleared</t>
        </is>
      </c>
      <c r="D25" s="32" t="inlineStr">
        <is>
          <t>NFR-SEC02</t>
        </is>
      </c>
      <c r="E25" s="28" t="inlineStr">
        <is>
          <t>P1</t>
        </is>
      </c>
      <c r="F25" s="32" t="inlineStr">
        <is>
          <t>Mock: GetByResetTokenAsync('tok') -&gt; user</t>
        </is>
      </c>
      <c r="G25" s="32" t="inlineStr">
        <is>
          <t>authService.ResetPasswordAsync(dto{token='tok', newPassword='N3w!'})</t>
        </is>
      </c>
      <c r="H25" s="32" t="inlineStr">
        <is>
          <t>Success = true
PasswordHash != 'N3w!'; reset token cleared so it cannot be reused</t>
        </is>
      </c>
      <c r="I25" s="32" t="inlineStr">
        <is>
          <t>No</t>
        </is>
      </c>
      <c r="J25" s="43" t="inlineStr">
        <is>
          <t>Pass</t>
        </is>
      </c>
      <c r="K25" s="32" t="n"/>
      <c r="L25" s="32" t="n"/>
      <c r="M25" s="43" t="inlineStr">
        <is>
          <t>✅ Pass (không đổi)</t>
        </is>
      </c>
    </row>
    <row r="26" ht="43.5" customHeight="1">
      <c r="A26" s="26" t="inlineStr">
        <is>
          <t>L1-AUTH-16</t>
        </is>
      </c>
      <c r="B26" s="37" t="inlineStr">
        <is>
          <t>EP-Valid</t>
        </is>
      </c>
      <c r="C26" s="27" t="inlineStr">
        <is>
          <t>Logout -&gt; refresh token revoked</t>
        </is>
      </c>
      <c r="D26" s="27" t="inlineStr">
        <is>
          <t>NFR-SEC02</t>
        </is>
      </c>
      <c r="E26" s="34" t="inlineStr">
        <is>
          <t>P2</t>
        </is>
      </c>
      <c r="F26" s="27" t="inlineStr">
        <is>
          <t>User exists with RefreshToken = 'rt'</t>
        </is>
      </c>
      <c r="G26" s="27" t="inlineStr">
        <is>
          <t>authService.LogoutAsync(userId)</t>
        </is>
      </c>
      <c r="H26" s="27" t="inlineStr">
        <is>
          <t>Success = true; User.RefreshToken cleared/null
Subsequent RefreshTokenAsync('rt') would fail</t>
        </is>
      </c>
      <c r="I26" s="27" t="inlineStr">
        <is>
          <t>No</t>
        </is>
      </c>
      <c r="J26" s="43" t="inlineStr">
        <is>
          <t>Pass</t>
        </is>
      </c>
      <c r="K26" s="27" t="n"/>
      <c r="L26" s="27" t="n"/>
      <c r="M26" s="43" t="inlineStr">
        <is>
          <t>✅ Pass (không đổi)</t>
        </is>
      </c>
    </row>
    <row r="27" ht="18" customHeight="1">
      <c r="A27" s="50" t="inlineStr">
        <is>
          <t xml:space="preserve">  ▶  Block: ⊕ v2.1 — Xác thực SĐT qua SMS  |  RequestPhoneVerificationAsync, VerifyPhoneOtpAsync, CompleteProfileAsync  |  FT-01 AC-04; BV-02; BR-024</t>
        </is>
      </c>
    </row>
    <row r="28" ht="57.75" customHeight="1">
      <c r="A28" s="26" t="inlineStr">
        <is>
          <t>L1-AUTH-17</t>
        </is>
      </c>
      <c r="B28" s="37" t="inlineStr">
        <is>
          <t>EP-Valid</t>
        </is>
      </c>
      <c r="C28" s="27" t="inlineStr">
        <is>
          <t>Gửi OTP xác thực SĐT -&gt; lưu HASH, gọi SMS 1 lần</t>
        </is>
      </c>
      <c r="D28" s="27" t="inlineStr">
        <is>
          <t>FT-01 AC-04; BR-024; NFR-SEC04</t>
        </is>
      </c>
      <c r="E28" s="28" t="inlineStr">
        <is>
          <t>P1</t>
        </is>
      </c>
      <c r="F28" s="27" t="inlineStr">
        <is>
          <t>User U1 đã verify email; mock ISmsService</t>
        </is>
      </c>
      <c r="G28" s="27" t="inlineStr">
        <is>
          <t>authService.RequestPhoneVerificationAsync(U1, dto{phone, purpose:'FIRST_ORDER'})</t>
        </is>
      </c>
      <c r="H28" s="27" t="inlineStr">
        <is>
          <t>smsService.SendAsync gọi đúng 1 lần
Giá trị lưu trong DB là HASH, không phải OTP thô
OTP không xuất hiện trong log</t>
        </is>
      </c>
      <c r="I28" s="27" t="inlineStr">
        <is>
          <t>No</t>
        </is>
      </c>
      <c r="J28" s="43" t="inlineStr">
        <is>
          <t>Fail</t>
        </is>
      </c>
      <c r="K28" s="27" t="n"/>
      <c r="L28" s="45" t="n"/>
      <c r="M28" s="43" t="inlineStr">
        <is>
          <t>✅ ĐÃ FIX
AuthService.cs:504-505 lưu HASH (BCrypt) thay vì OTP thô; SendSmsAsync gọi đúng 1 lần (517).</t>
        </is>
      </c>
    </row>
    <row r="29" ht="30" customHeight="1">
      <c r="A29" s="31" t="inlineStr">
        <is>
          <t>L1-AUTH-18</t>
        </is>
      </c>
      <c r="B29" s="37" t="inlineStr">
        <is>
          <t>BVA-Min-1</t>
        </is>
      </c>
      <c r="C29" s="32" t="inlineStr">
        <is>
          <t>Resend trước 60 giây -&gt; từ chối</t>
        </is>
      </c>
      <c r="D29" s="32" t="inlineStr">
        <is>
          <t>FT-01 BV-02; NAC-02</t>
        </is>
      </c>
      <c r="E29" s="28" t="inlineStr">
        <is>
          <t>P1</t>
        </is>
      </c>
      <c r="F29" s="32" t="inlineStr">
        <is>
          <t>Lần gửi trước cách đây 59 giây (mock clock)</t>
        </is>
      </c>
      <c r="G29" s="32" t="inlineStr">
        <is>
          <t>authService.RequestPhoneVerificationAsync(U1, dto{phone})</t>
        </is>
      </c>
      <c r="H29" s="32" t="inlineStr">
        <is>
          <t>Từ chối (OTP_RESEND_TOO_SOON); smsService KHÔNG được gọi</t>
        </is>
      </c>
      <c r="I29" s="35" t="inlineStr">
        <is>
          <t>Yes</t>
        </is>
      </c>
      <c r="J29" s="43" t="inlineStr">
        <is>
          <t>Fail</t>
        </is>
      </c>
      <c r="K29" s="32" t="n"/>
      <c r="L29" s="46" t="n"/>
      <c r="M29" s="43" t="inlineStr">
        <is>
          <t>✅ ĐÃ FIX
AuthService.cs:486-493 chặn resend trước 60s, SMS không được gọi.</t>
        </is>
      </c>
    </row>
    <row r="30" ht="30" customHeight="1">
      <c r="A30" s="26" t="inlineStr">
        <is>
          <t>L1-AUTH-19</t>
        </is>
      </c>
      <c r="B30" s="37" t="inlineStr">
        <is>
          <t>BVA-Min</t>
        </is>
      </c>
      <c r="C30" s="27" t="inlineStr">
        <is>
          <t>Resend đúng 60 giây -&gt; cho phép</t>
        </is>
      </c>
      <c r="D30" s="27" t="inlineStr">
        <is>
          <t>FT-01 BV-02</t>
        </is>
      </c>
      <c r="E30" s="28" t="inlineStr">
        <is>
          <t>P1</t>
        </is>
      </c>
      <c r="F30" s="27" t="inlineStr">
        <is>
          <t>Lần gửi trước cách đây đúng 60 giây</t>
        </is>
      </c>
      <c r="G30" s="27" t="inlineStr">
        <is>
          <t>authService.RequestPhoneVerificationAsync(U1, dto{phone})</t>
        </is>
      </c>
      <c r="H30" s="27" t="inlineStr">
        <is>
          <t>Gửi thành công; smsService gọi 1 lần</t>
        </is>
      </c>
      <c r="I30" s="27" t="inlineStr">
        <is>
          <t>No</t>
        </is>
      </c>
      <c r="J30" s="43" t="inlineStr">
        <is>
          <t>Pass</t>
        </is>
      </c>
      <c r="K30" s="27" t="n"/>
      <c r="L30" s="45" t="n"/>
      <c r="M30" s="43" t="inlineStr">
        <is>
          <t>✅ Pass (không đổi)</t>
        </is>
      </c>
    </row>
    <row r="31" ht="30" customHeight="1">
      <c r="A31" s="31" t="inlineStr">
        <is>
          <t>L1-AUTH-20</t>
        </is>
      </c>
      <c r="B31" s="37" t="inlineStr">
        <is>
          <t>BVA-Max+1</t>
        </is>
      </c>
      <c r="C31" s="32" t="inlineStr">
        <is>
          <t>Gửi lần thứ 6 trong 30 phút / lần thứ 11 trong ngày -&gt; chặn</t>
        </is>
      </c>
      <c r="D31" s="32" t="inlineStr">
        <is>
          <t>FT-01 BV-02; NAC-02; BR-024</t>
        </is>
      </c>
      <c r="E31" s="28" t="inlineStr">
        <is>
          <t>P1</t>
        </is>
      </c>
      <c r="F31" s="32" t="inlineStr">
        <is>
          <t>[Theory] đã gửi 5 lần/30 phút và 10 lần/ngày</t>
        </is>
      </c>
      <c r="G31" s="32" t="inlineStr">
        <is>
          <t>authService.RequestPhoneVerificationAsync(U1, dto{phone})</t>
        </is>
      </c>
      <c r="H31" s="32" t="inlineStr">
        <is>
          <t>Từ chối theo rate limit; smsService KHÔNG được gọi</t>
        </is>
      </c>
      <c r="I31" s="35" t="inlineStr">
        <is>
          <t>Yes</t>
        </is>
      </c>
      <c r="J31" s="43" t="inlineStr">
        <is>
          <t>Fail</t>
        </is>
      </c>
      <c r="K31" s="32" t="n"/>
      <c r="L31" s="46" t="n"/>
      <c r="M31" s="43" t="inlineStr">
        <is>
          <t>⚠ FIX MỘT PHẦN
Giới hạn 5 lần/30 phút đã có (495-502) nhưng KHÔNG có giới hạn 10 lần/ngày cho OTP điện thoại (User.cs thiếu field ngày cho Phone OTP).</t>
        </is>
      </c>
    </row>
    <row r="32" ht="43.5" customHeight="1">
      <c r="A32" s="26" t="inlineStr">
        <is>
          <t>L1-AUTH-21</t>
        </is>
      </c>
      <c r="B32" s="37" t="inlineStr">
        <is>
          <t>BVA</t>
        </is>
      </c>
      <c r="C32" s="27" t="inlineStr">
        <is>
          <t>OTP đúng 6 chữ số trong 5 phút -&gt; xác thực thành công, single-use</t>
        </is>
      </c>
      <c r="D32" s="27" t="inlineStr">
        <is>
          <t>FT-01 AC-04; BV-02</t>
        </is>
      </c>
      <c r="E32" s="28" t="inlineStr">
        <is>
          <t>P1</t>
        </is>
      </c>
      <c r="F32" s="27" t="inlineStr">
        <is>
          <t>OTP hợp lệ tạo cách đây 4 phút 59 giây</t>
        </is>
      </c>
      <c r="G32" s="27" t="inlineStr">
        <is>
          <t>authService.VerifyPhoneOtpAsync(U1, dto{otp:'123456'})</t>
        </is>
      </c>
      <c r="H32" s="27" t="inlineStr">
        <is>
          <t>Thành công; PhoneVerifiedAt được set
Gọi lại cùng OTP lần 2 -&gt; bị từ chối (single-use)</t>
        </is>
      </c>
      <c r="I32" s="27" t="inlineStr">
        <is>
          <t>No</t>
        </is>
      </c>
      <c r="J32" s="43" t="inlineStr">
        <is>
          <t>Pass</t>
        </is>
      </c>
      <c r="K32" s="27" t="n"/>
      <c r="L32" s="45" t="n"/>
      <c r="M32" s="43" t="inlineStr">
        <is>
          <t>✅ Pass (không đổi)</t>
        </is>
      </c>
    </row>
    <row r="33" ht="30" customHeight="1">
      <c r="A33" s="31" t="inlineStr">
        <is>
          <t>L1-AUTH-22</t>
        </is>
      </c>
      <c r="B33" s="37" t="inlineStr">
        <is>
          <t>BVA-Max+1</t>
        </is>
      </c>
      <c r="C33" s="32" t="inlineStr">
        <is>
          <t>OTP tại đúng mốc 5 phút -&gt; hết hạn</t>
        </is>
      </c>
      <c r="D33" s="32" t="inlineStr">
        <is>
          <t>FT-01 BV-02; NAC-02</t>
        </is>
      </c>
      <c r="E33" s="28" t="inlineStr">
        <is>
          <t>P1</t>
        </is>
      </c>
      <c r="F33" s="32" t="inlineStr">
        <is>
          <t>OTP tạo cách đây đúng 5:00 (mock clock)</t>
        </is>
      </c>
      <c r="G33" s="32" t="inlineStr">
        <is>
          <t>authService.VerifyPhoneOtpAsync(U1, dto{otp:'123456'})</t>
        </is>
      </c>
      <c r="H33" s="32" t="inlineStr">
        <is>
          <t>Từ chối OTP_EXPIRED; số điện thoại KHÔNG đổi</t>
        </is>
      </c>
      <c r="I33" s="35" t="inlineStr">
        <is>
          <t>Yes</t>
        </is>
      </c>
      <c r="J33" s="43" t="inlineStr">
        <is>
          <t>Pass</t>
        </is>
      </c>
      <c r="K33" s="32" t="n"/>
      <c r="L33" s="46" t="n"/>
      <c r="M33" s="43" t="inlineStr">
        <is>
          <t>✅ Pass (không đổi)</t>
        </is>
      </c>
    </row>
    <row r="34" ht="43.5" customHeight="1">
      <c r="A34" s="26" t="inlineStr">
        <is>
          <t>L1-AUTH-23</t>
        </is>
      </c>
      <c r="B34" s="37" t="inlineStr">
        <is>
          <t>BVA-Max+1</t>
        </is>
      </c>
      <c r="C34" s="27" t="inlineStr">
        <is>
          <t>Sai OTP lần thứ 6 -&gt; khoá theo giới hạn số lần</t>
        </is>
      </c>
      <c r="D34" s="27" t="inlineStr">
        <is>
          <t>FT-01 BV-02; NAC-02</t>
        </is>
      </c>
      <c r="E34" s="28" t="inlineStr">
        <is>
          <t>P1</t>
        </is>
      </c>
      <c r="F34" s="27" t="inlineStr">
        <is>
          <t>[Theory] số lần sai trước đó = 4, 5</t>
        </is>
      </c>
      <c r="G34" s="27" t="inlineStr">
        <is>
          <t>authService.VerifyPhoneOtpAsync(U1, dto{otp:'999999'})</t>
        </is>
      </c>
      <c r="H34" s="27" t="inlineStr">
        <is>
          <t>Lần 5 vẫn báo sai; lần 6 trả OTP_ATTEMPT_LIMIT_REACHED
Số điện thoại không đổi</t>
        </is>
      </c>
      <c r="I34" s="29" t="inlineStr">
        <is>
          <t>Yes</t>
        </is>
      </c>
      <c r="J34" s="43" t="inlineStr">
        <is>
          <t>Fail</t>
        </is>
      </c>
      <c r="K34" s="27" t="n"/>
      <c r="L34" s="45" t="n"/>
      <c r="M34" s="43" t="inlineStr">
        <is>
          <t>✅ ĐÃ FIX
AuthService.cs:530-539 khoá sau 5 lần sai, trả OTP_ATTEMPT_LIMIT_REACHED ở lần 6.</t>
        </is>
      </c>
    </row>
    <row r="35" ht="43.5" customHeight="1">
      <c r="A35" s="31" t="inlineStr">
        <is>
          <t>L1-AUTH-24</t>
        </is>
      </c>
      <c r="B35" s="37" t="inlineStr">
        <is>
          <t>EP-Valid</t>
        </is>
      </c>
      <c r="C35" s="32" t="inlineStr">
        <is>
          <t>Đổi SĐT chỉ có hiệu lực SAU khi xác thực thành công</t>
        </is>
      </c>
      <c r="D35" s="32" t="inlineStr">
        <is>
          <t>FT-01 AC-04; BR-024</t>
        </is>
      </c>
      <c r="E35" s="28" t="inlineStr">
        <is>
          <t>P1</t>
        </is>
      </c>
      <c r="F35" s="32" t="inlineStr">
        <is>
          <t>U1 đang có SĐT cũ; yêu cầu đổi purpose='CHANGE_PHONE'</t>
        </is>
      </c>
      <c r="G35" s="32" t="inlineStr">
        <is>
          <t>Gửi OTP -&gt; chưa xác thực -&gt; đọc lại profile</t>
        </is>
      </c>
      <c r="H35" s="32" t="inlineStr">
        <is>
          <t>Trước khi xác thực: SĐT vẫn là số CŨ
Sau khi xác thực đúng: SĐT mới thay thế</t>
        </is>
      </c>
      <c r="I35" s="32" t="inlineStr">
        <is>
          <t>No</t>
        </is>
      </c>
      <c r="J35" s="43" t="inlineStr">
        <is>
          <t>Pass</t>
        </is>
      </c>
      <c r="K35" s="32" t="n"/>
      <c r="L35" s="46" t="n"/>
      <c r="M35" s="43" t="inlineStr">
        <is>
          <t>✅ Pass (không đổi)</t>
        </is>
      </c>
    </row>
    <row r="36" ht="30" customHeight="1">
      <c r="A36" s="26" t="inlineStr">
        <is>
          <t>L1-AUTH-25</t>
        </is>
      </c>
      <c r="B36" s="37" t="inlineStr">
        <is>
          <t>EP-Valid</t>
        </is>
      </c>
      <c r="C36" s="27" t="inlineStr">
        <is>
          <t>CompleteProfile sau Google login -&gt; bổ sung thông tin còn thiếu</t>
        </is>
      </c>
      <c r="D36" s="27" t="inlineStr">
        <is>
          <t>FT-01 AC-02</t>
        </is>
      </c>
      <c r="E36" s="34" t="inlineStr">
        <is>
          <t>P2</t>
        </is>
      </c>
      <c r="F36" s="27" t="inlineStr">
        <is>
          <t>User tạo qua Google, thiếu SĐT/tên</t>
        </is>
      </c>
      <c r="G36" s="27" t="inlineStr">
        <is>
          <t>authService.CompleteProfileAsync(U1, dto)</t>
        </is>
      </c>
      <c r="H36" s="27" t="inlineStr">
        <is>
          <t>Thông tin được lưu; không tạo tài khoản thứ 2</t>
        </is>
      </c>
      <c r="I36" s="27" t="inlineStr">
        <is>
          <t>No</t>
        </is>
      </c>
      <c r="J36" s="43" t="inlineStr">
        <is>
          <t>Pass</t>
        </is>
      </c>
      <c r="K36" s="27" t="n"/>
      <c r="L36" s="45" t="n"/>
      <c r="M36" s="43" t="inlineStr">
        <is>
          <t>✅ Pass (không đổi)</t>
        </is>
      </c>
    </row>
    <row r="37" ht="15" customHeight="1">
      <c r="A37" s="52" t="inlineStr">
        <is>
          <t xml:space="preserve">  ▶  Template Row — copy khi thêm case mới</t>
        </is>
      </c>
    </row>
    <row r="38" ht="53.25" customHeight="1">
      <c r="A38" s="43" t="inlineStr">
        <is>
          <t>L1-XX-[NN]</t>
        </is>
      </c>
      <c r="B38" s="43" t="inlineStr">
        <is>
          <t>[BC-TRUE | BC-FALSE | CC | EP-Valid | EP-Invalid | BVA-* | State-* | Guard-* | Concurrency | Idempotency | Atomicity]</t>
        </is>
      </c>
      <c r="C38" s="43" t="inlineStr">
        <is>
          <t>[Branch / condition / partition]</t>
        </is>
      </c>
      <c r="D38" s="43" t="inlineStr">
        <is>
          <t>[FT-xx AC/NAC/BV-xx; BR-xxx; NFR-xxx]</t>
        </is>
      </c>
      <c r="E38" s="43" t="inlineStr">
        <is>
          <t>P2</t>
        </is>
      </c>
      <c r="F38" s="43" t="inlineStr">
        <is>
          <t>[Arrange: state + _mock.Setup(...)]</t>
        </is>
      </c>
      <c r="G38" s="43" t="inlineStr">
        <is>
          <t>service.Method(params)</t>
        </is>
      </c>
      <c r="H38" s="43" t="inlineStr">
        <is>
          <t>[result.Should().Be(...) / Throws / _mock.Verify(..., Times.Never)]</t>
        </is>
      </c>
      <c r="I38" s="43" t="inlineStr">
        <is>
          <t>No</t>
        </is>
      </c>
      <c r="J38" s="43" t="inlineStr">
        <is>
          <t>Not Run</t>
        </is>
      </c>
      <c r="K38" s="43" t="n"/>
      <c r="L38" s="43" t="n"/>
    </row>
    <row r="39" ht="15.75" customHeight="1"/>
    <row r="40" ht="15.75" customHeight="1">
      <c r="A40" s="50" t="inlineStr">
        <is>
          <t xml:space="preserve">  ▶  Block: ⊕ v2.3 — Gửi lại OTP qua email  |  ResendEmailOtpAsync (commit ec8f6cd)  |  FT-01 AC-04; BV-02; BR-024</t>
        </is>
      </c>
    </row>
    <row r="41" ht="46.5" customHeight="1">
      <c r="A41" s="26" t="inlineStr">
        <is>
          <t>L1-AUTH-26</t>
        </is>
      </c>
      <c r="B41" s="37" t="inlineStr">
        <is>
          <t>EP-Invalid</t>
        </is>
      </c>
      <c r="C41" s="27" t="inlineStr">
        <is>
          <t>Email không tồn tại -&gt; từ chối, không gửi mail</t>
        </is>
      </c>
      <c r="D41" s="27" t="inlineStr">
        <is>
          <t>FT-01 NAC-02; BR-024</t>
        </is>
      </c>
      <c r="E41" s="28" t="inlineStr">
        <is>
          <t>P1</t>
        </is>
      </c>
      <c r="F41" s="27" t="inlineStr">
        <is>
          <t>Mock: userRepo.GetByEmailAsync('ghost@x.com') -&gt; null</t>
        </is>
      </c>
      <c r="G41" s="27" t="inlineStr">
        <is>
          <t>authService.ResendEmailOtpAsync('ghost@x.com')</t>
        </is>
      </c>
      <c r="H41" s="27" t="inlineStr">
        <is>
          <t>Trả thất bại với thông điệp CHUNG (không tiết lộ email có tồn tại hay không)
emailService.SendOtpEmailAsync NEVER called</t>
        </is>
      </c>
      <c r="I41" s="29" t="inlineStr">
        <is>
          <t>Yes</t>
        </is>
      </c>
      <c r="J41" s="43" t="inlineStr">
        <is>
          <t>Fail</t>
        </is>
      </c>
      <c r="K41" s="27" t="n"/>
      <c r="L41" s="45" t="n"/>
      <c r="M41" s="43" t="inlineStr">
        <is>
          <t>✅ ĐÃ FIX
ResendEmailOtpAsync (169-170) trả thông điệp CHUNG cho email không tồn tại, không gọi emailService.</t>
        </is>
      </c>
    </row>
    <row r="42" ht="46.5" customHeight="1">
      <c r="A42" s="31" t="inlineStr">
        <is>
          <t>L1-AUTH-27</t>
        </is>
      </c>
      <c r="B42" s="37" t="inlineStr">
        <is>
          <t>EP-Invalid</t>
        </is>
      </c>
      <c r="C42" s="32" t="inlineStr">
        <is>
          <t>User đã verify rồi -&gt; từ chối, không gửi mail</t>
        </is>
      </c>
      <c r="D42" s="32" t="inlineStr">
        <is>
          <t>FT-01 AC-04; NAC-02</t>
        </is>
      </c>
      <c r="E42" s="28" t="inlineStr">
        <is>
          <t>P1</t>
        </is>
      </c>
      <c r="F42" s="32" t="inlineStr">
        <is>
          <t>User U1 tồn tại, IsVerified = true</t>
        </is>
      </c>
      <c r="G42" s="32" t="inlineStr">
        <is>
          <t>authService.ResendEmailOtpAsync(U1.Email)</t>
        </is>
      </c>
      <c r="H42" s="32" t="inlineStr">
        <is>
          <t>Trả thất bại (đã xác thực)
emailService.SendOtpEmailAsync NEVER called; OTP cũ không bị ghi đè</t>
        </is>
      </c>
      <c r="I42" s="35" t="inlineStr">
        <is>
          <t>Yes</t>
        </is>
      </c>
      <c r="J42" s="43" t="inlineStr">
        <is>
          <t>Pass</t>
        </is>
      </c>
      <c r="K42" s="32" t="n"/>
      <c r="L42" s="46" t="n"/>
      <c r="M42" s="43" t="inlineStr">
        <is>
          <t>✅ Pass (không đổi)</t>
        </is>
      </c>
    </row>
    <row r="43" ht="60" customHeight="1">
      <c r="A43" s="26" t="inlineStr">
        <is>
          <t>L1-AUTH-28</t>
        </is>
      </c>
      <c r="B43" s="37" t="inlineStr">
        <is>
          <t>EP-Valid</t>
        </is>
      </c>
      <c r="C43" s="27" t="inlineStr">
        <is>
          <t>Hợp lệ -&gt; sinh OTP mới, hạn theo OTP_EXPIRE_MINUTES, gửi đúng 1 lần</t>
        </is>
      </c>
      <c r="D43" s="27" t="inlineStr">
        <is>
          <t>FT-01 AC-04; BV-02; BR-024</t>
        </is>
      </c>
      <c r="E43" s="28" t="inlineStr">
        <is>
          <t>P1</t>
        </is>
      </c>
      <c r="F43" s="27" t="inlineStr">
        <is>
          <t>User U1 tồn tại, IsVerified = false
SystemConfig 'OTP_EXPIRE_MINUTES' = 5 (mock clock)</t>
        </is>
      </c>
      <c r="G43" s="27" t="inlineStr">
        <is>
          <t>authService.ResendEmailOtpAsync(U1.Email)</t>
        </is>
      </c>
      <c r="H43" s="27" t="inlineStr">
        <is>
          <t>OTP mới KHÁC OTP cũ; giá trị lưu là HASH (không phải OTP thô)
Hạn = NOW + 5 phút, đọc từ config chứ không hard-code
emailService.SendOtpEmailAsync gọi đúng 1 lần</t>
        </is>
      </c>
      <c r="I43" s="27" t="inlineStr">
        <is>
          <t>No</t>
        </is>
      </c>
      <c r="J43" s="43" t="inlineStr">
        <is>
          <t>Fail</t>
        </is>
      </c>
      <c r="K43" s="27" t="n"/>
      <c r="L43" s="45" t="n"/>
      <c r="M43" s="43" t="inlineStr">
        <is>
          <t>⚠ FIX MỘT PHẦN
OTP mới + hash + gửi đúng 1 lần OK, nhưng hạn dùng const cứng EmailOtpValidityMinutes=5 (dòng 155), KHÔNG đọc từ SystemConfig OTP_EXPIRE_MINUTES.</t>
        </is>
      </c>
    </row>
    <row r="44" ht="46.5" customHeight="1">
      <c r="A44" s="31" t="inlineStr">
        <is>
          <t>L1-AUTH-29</t>
        </is>
      </c>
      <c r="B44" s="37" t="inlineStr">
        <is>
          <t>BVA</t>
        </is>
      </c>
      <c r="C44" s="32" t="inlineStr">
        <is>
          <t>Resend tại 59s / 60s / 61s so với lần gửi trước</t>
        </is>
      </c>
      <c r="D44" s="32" t="inlineStr">
        <is>
          <t>FT-01 BV-02; BR-024</t>
        </is>
      </c>
      <c r="E44" s="28" t="inlineStr">
        <is>
          <t>P1</t>
        </is>
      </c>
      <c r="F44" s="32" t="inlineStr">
        <is>
          <t>SystemConfig 'OTP_RESEND_SECONDS' = 60
[Theory] lần gửi trước cách đây 59s / 60s / 61s</t>
        </is>
      </c>
      <c r="G44" s="32" t="inlineStr">
        <is>
          <t>authService.ResendEmailOtpAsync(U1.Email)</t>
        </is>
      </c>
      <c r="H44" s="32" t="inlineStr">
        <is>
          <t>59s: từ chối (OTP_RESEND_TOO_SOON), KHÔNG gửi mail
60s và 61s: gửi thành công</t>
        </is>
      </c>
      <c r="I44" s="35" t="inlineStr">
        <is>
          <t>Yes</t>
        </is>
      </c>
      <c r="J44" s="43" t="inlineStr">
        <is>
          <t>Fail</t>
        </is>
      </c>
      <c r="K44" s="32" t="n"/>
      <c r="L44" s="46" t="n"/>
      <c r="M44" s="43" t="inlineStr">
        <is>
          <t>⚠ FIX MỘT PHẦN
Hành vi throttle 59/60/61s đúng nhưng ngưỡng là const cứng EmailOtpResendCooldownSeconds=60 (156), không đọc SystemConfig OTP_RESEND_SECONDS.</t>
        </is>
      </c>
    </row>
    <row r="45" ht="46.5" customHeight="1">
      <c r="A45" s="26" t="inlineStr">
        <is>
          <t>L1-AUTH-30</t>
        </is>
      </c>
      <c r="B45" s="37" t="inlineStr">
        <is>
          <t>BVA-Max+1</t>
        </is>
      </c>
      <c r="C45" s="27" t="inlineStr">
        <is>
          <t>Lần gửi thứ 6 trong 30 phút -&gt; chặn</t>
        </is>
      </c>
      <c r="D45" s="27" t="inlineStr">
        <is>
          <t>FT-01 BV-02; BR-024</t>
        </is>
      </c>
      <c r="E45" s="28" t="inlineStr">
        <is>
          <t>P1</t>
        </is>
      </c>
      <c r="F45" s="27" t="inlineStr">
        <is>
          <t>SystemConfig 'OTP_MAX_ATTEMPTS' = 5
[Theory] đã gửi 4 / 5 lần trong 30 phút</t>
        </is>
      </c>
      <c r="G45" s="27" t="inlineStr">
        <is>
          <t>authService.ResendEmailOtpAsync(U1.Email)</t>
        </is>
      </c>
      <c r="H45" s="27" t="inlineStr">
        <is>
          <t>Lần 5: vẫn gửi được
Lần 6: từ chối theo rate limit; emailService NEVER called</t>
        </is>
      </c>
      <c r="I45" s="29" t="inlineStr">
        <is>
          <t>Yes</t>
        </is>
      </c>
      <c r="J45" s="43" t="inlineStr">
        <is>
          <t>Fail</t>
        </is>
      </c>
      <c r="K45" s="27" t="n"/>
      <c r="L45" s="45" t="n"/>
      <c r="M45" s="43" t="inlineStr">
        <is>
          <t>⚠ FIX MỘT PHẦN
Chặn đúng ở lần 6/30 phút nhưng giới hạn là const cứng EmailOtpMaxSendsPerWindow=5 (157), không đọc SystemConfig OTP_MAX_ATTEMPTS.</t>
        </is>
      </c>
    </row>
    <row r="46" ht="46.5" customHeight="1">
      <c r="A46" s="31" t="inlineStr">
        <is>
          <t>L1-AUTH-31</t>
        </is>
      </c>
      <c r="B46" s="37" t="inlineStr">
        <is>
          <t>BVA-Max+1</t>
        </is>
      </c>
      <c r="C46" s="32" t="inlineStr">
        <is>
          <t>Lần gửi thứ 11 trong ngày -&gt; chặn</t>
        </is>
      </c>
      <c r="D46" s="32" t="inlineStr">
        <is>
          <t>FT-01 BV-02; BR-024</t>
        </is>
      </c>
      <c r="E46" s="28" t="inlineStr">
        <is>
          <t>P1</t>
        </is>
      </c>
      <c r="F46" s="32" t="inlineStr">
        <is>
          <t>[Theory] đã gửi 9 / 10 lần trong 24 giờ</t>
        </is>
      </c>
      <c r="G46" s="32" t="inlineStr">
        <is>
          <t>authService.ResendEmailOtpAsync(U1.Email)</t>
        </is>
      </c>
      <c r="H46" s="32" t="inlineStr">
        <is>
          <t>Lần 10: vẫn gửi được
Lần 11: từ chối; emailService NEVER called</t>
        </is>
      </c>
      <c r="I46" s="35" t="inlineStr">
        <is>
          <t>Yes</t>
        </is>
      </c>
      <c r="J46" s="43" t="inlineStr">
        <is>
          <t>Fail</t>
        </is>
      </c>
      <c r="K46" s="32" t="n"/>
      <c r="L46" s="46" t="n"/>
      <c r="M46" s="43" t="inlineStr">
        <is>
          <t>⚠ FIX MỘT PHẦN
Chặn đúng ở lần 11/ngày nhưng giới hạn là const cứng EmailOtpMaxSendsPerDay=10 (159), không đọc SystemConfig.</t>
        </is>
      </c>
    </row>
    <row r="47" ht="46.5" customHeight="1">
      <c r="A47" s="26" t="inlineStr">
        <is>
          <t>L1-AUTH-32</t>
        </is>
      </c>
      <c r="B47" s="37" t="inlineStr">
        <is>
          <t>EP-Invalid</t>
        </is>
      </c>
      <c r="C47" s="27" t="inlineStr">
        <is>
          <t>ForgotPasswordAsync với email không tồn tại -&gt; không lộ thông tin</t>
        </is>
      </c>
      <c r="D47" s="27" t="inlineStr">
        <is>
          <t>NFR-SEC02; FT-01 NAC-02</t>
        </is>
      </c>
      <c r="E47" s="28" t="inlineStr">
        <is>
          <t>P1</t>
        </is>
      </c>
      <c r="F47" s="27" t="inlineStr">
        <is>
          <t>Mock: GetByEmailAsync -&gt; null</t>
        </is>
      </c>
      <c r="G47" s="27" t="inlineStr">
        <is>
          <t>authService.ForgotPasswordAsync('ghost@x.com')</t>
        </is>
      </c>
      <c r="H47" s="27" t="inlineStr">
        <is>
          <t>Response giống hệt case email tồn tại (chống enumeration)
emailService NEVER called; không tạo reset token</t>
        </is>
      </c>
      <c r="I47" s="29" t="inlineStr">
        <is>
          <t>Yes</t>
        </is>
      </c>
      <c r="J47" s="43" t="inlineStr">
        <is>
          <t>Pass</t>
        </is>
      </c>
      <c r="K47" s="27" t="n"/>
      <c r="L47" s="45" t="n"/>
      <c r="M47" s="43" t="inlineStr">
        <is>
          <t>✅ Pass (không đổi)</t>
        </is>
      </c>
    </row>
    <row r="48" ht="60" customHeight="1">
      <c r="A48" s="31" t="inlineStr">
        <is>
          <t>L1-AUTH-33</t>
        </is>
      </c>
      <c r="B48" s="37" t="inlineStr">
        <is>
          <t>EP-Valid</t>
        </is>
      </c>
      <c r="C48" s="32" t="inlineStr">
        <is>
          <t>ForgotPasswordAsync hợp lệ -&gt; sinh reset token single-use, gửi 1 mail</t>
        </is>
      </c>
      <c r="D48" s="32" t="inlineStr">
        <is>
          <t>NFR-SEC02</t>
        </is>
      </c>
      <c r="E48" s="28" t="inlineStr">
        <is>
          <t>P1</t>
        </is>
      </c>
      <c r="F48" s="32" t="inlineStr">
        <is>
          <t>User U1 tồn tại, đã verify</t>
        </is>
      </c>
      <c r="G48" s="32" t="inlineStr">
        <is>
          <t>authService.ForgotPasswordAsync(U1.Email)</t>
        </is>
      </c>
      <c r="H48" s="32" t="inlineStr">
        <is>
          <t>Reset token được sinh và lưu dạng không đoán được
emailService.SendResetPasswordEmailAsync gọi đúng 1 lần
Token chỉ dùng được 1 lần (kiểm bằng L1-AUTH-15)</t>
        </is>
      </c>
      <c r="I48" s="32" t="inlineStr">
        <is>
          <t>No</t>
        </is>
      </c>
      <c r="J48" s="43" t="inlineStr">
        <is>
          <t>Pass</t>
        </is>
      </c>
      <c r="K48" s="32" t="n"/>
      <c r="L48" s="46" t="n"/>
      <c r="M48" s="43" t="inlineStr">
        <is>
          <t>✅ Pass (không đổi)</t>
        </is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0:L20"/>
    <mergeCell ref="A2:L2"/>
    <mergeCell ref="A1:L1"/>
    <mergeCell ref="A23:L23"/>
    <mergeCell ref="A37:L37"/>
    <mergeCell ref="A5:L5"/>
    <mergeCell ref="A13:L13"/>
    <mergeCell ref="A40:L40"/>
    <mergeCell ref="A17:L17"/>
    <mergeCell ref="A27:L27"/>
    <mergeCell ref="A9:L9"/>
  </mergeCells>
  <dataValidations count="2">
    <dataValidation sqref="E6:E8 E10:E12 E14:E16 E18:E19 E21:E22 E24:E26 E28:E36 E38 E41:E48" showDropDown="0" showInputMessage="0" showErrorMessage="0" allowBlank="1" type="list">
      <formula1>"P1,P2,P3"</formula1>
      <formula2>0</formula2>
    </dataValidation>
    <dataValidation sqref="J6:J8 J10:J12 J14:J16 J18:J19 J21:J22 J24:J26 J28:J36 J38 J41:J48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CartService  |  methods: GetCartAsync, AddItemToCartAsync, UpdateCartItemAsync, RemoveItemFromCartAsync, ClearCartAsync  |  EF Core InMemory (service injects ApplicationDbContext)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GetCartAsync()  |  FT-01 AC-02/AC-03, BV-01, BR-03</t>
        </is>
      </c>
    </row>
    <row r="6" ht="43.5" customHeight="1">
      <c r="A6" s="26" t="inlineStr">
        <is>
          <t>L1-CART-01</t>
        </is>
      </c>
      <c r="B6" s="37" t="inlineStr">
        <is>
          <t>EP-Valid</t>
        </is>
      </c>
      <c r="C6" s="27" t="inlineStr">
        <is>
          <t>Existing cart -&gt; items and quantities restored from DB</t>
        </is>
      </c>
      <c r="D6" s="27" t="inlineStr">
        <is>
          <t>FT-01 AC-05; BR-025</t>
        </is>
      </c>
      <c r="E6" s="28" t="inlineStr">
        <is>
          <t>P1</t>
        </is>
      </c>
      <c r="F6" s="27" t="inlineStr">
        <is>
          <t>InMemory DB: cart with 2 items (qty 3 and 5) for user U1</t>
        </is>
      </c>
      <c r="G6" s="27" t="inlineStr">
        <is>
          <t>cartService.GetCartAsync(U1)</t>
        </is>
      </c>
      <c r="H6" s="27" t="inlineStr">
        <is>
          <t>Returns CartDto with 2 items; quantities 3 and 5 preserved
No exception</t>
        </is>
      </c>
      <c r="I6" s="27" t="inlineStr">
        <is>
          <t>No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43.5" customHeight="1">
      <c r="A7" s="31" t="inlineStr">
        <is>
          <t>L1-CART-02</t>
        </is>
      </c>
      <c r="B7" s="37" t="inlineStr">
        <is>
          <t>EP-Valid</t>
        </is>
      </c>
      <c r="C7" s="32" t="inlineStr">
        <is>
          <t>User without cart -&gt; empty cart returned (no exception)</t>
        </is>
      </c>
      <c r="D7" s="32" t="inlineStr">
        <is>
          <t>FT-01 AC-05</t>
        </is>
      </c>
      <c r="E7" s="36" t="inlineStr">
        <is>
          <t>P2</t>
        </is>
      </c>
      <c r="F7" s="32" t="inlineStr">
        <is>
          <t>InMemory DB: no cart for user U2</t>
        </is>
      </c>
      <c r="G7" s="32" t="inlineStr">
        <is>
          <t>cartService.GetCartAsync(U2)</t>
        </is>
      </c>
      <c r="H7" s="32" t="inlineStr">
        <is>
          <t>Returns empty CartDto (Items.Count = 0)
Does not throw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43.5" customHeight="1">
      <c r="A8" s="26" t="inlineStr">
        <is>
          <t>L1-CART-03</t>
        </is>
      </c>
      <c r="B8" s="37" t="inlineStr">
        <is>
          <t>BVA-Max</t>
        </is>
      </c>
      <c r="C8" s="27" t="inlineStr">
        <is>
          <t>Cart idle exactly 24h00m -&gt; flagged Price Expired</t>
        </is>
      </c>
      <c r="D8" s="27" t="inlineStr">
        <is>
          <t>FT-01 BV-01; NAC-03; BR-025</t>
        </is>
      </c>
      <c r="E8" s="28" t="inlineStr">
        <is>
          <t>P1</t>
        </is>
      </c>
      <c r="F8" s="27" t="inlineStr">
        <is>
          <t>Cart.PriceLockedAt = NOW - 24h00m exactly (mock time source)</t>
        </is>
      </c>
      <c r="G8" s="27" t="inlineStr">
        <is>
          <t>cartService.GetCartAsync(U1)</t>
        </is>
      </c>
      <c r="H8" s="27" t="inlineStr">
        <is>
          <t>CartDto.IsPriceExpired = true
Prompt flag present for FE to force price review</t>
        </is>
      </c>
      <c r="I8" s="27" t="inlineStr">
        <is>
          <t>No</t>
        </is>
      </c>
      <c r="J8" s="43" t="inlineStr">
        <is>
          <t>Pass</t>
        </is>
      </c>
      <c r="K8" s="27" t="n"/>
      <c r="L8" s="27" t="n"/>
      <c r="M8" s="43" t="inlineStr">
        <is>
          <t>✅ Pass (không đổi)</t>
        </is>
      </c>
    </row>
    <row r="9" ht="43.5" customHeight="1">
      <c r="A9" s="31" t="inlineStr">
        <is>
          <t>L1-CART-04</t>
        </is>
      </c>
      <c r="B9" s="37" t="inlineStr">
        <is>
          <t>BVA-Max-1</t>
        </is>
      </c>
      <c r="C9" s="32" t="inlineStr">
        <is>
          <t>Cart idle 23h59m -&gt; prices still locked, not expired</t>
        </is>
      </c>
      <c r="D9" s="32" t="inlineStr">
        <is>
          <t>FT-01 BV-01; BR-025</t>
        </is>
      </c>
      <c r="E9" s="28" t="inlineStr">
        <is>
          <t>P1</t>
        </is>
      </c>
      <c r="F9" s="32" t="inlineStr">
        <is>
          <t>Cart.PriceLockedAt = NOW - 23h59m</t>
        </is>
      </c>
      <c r="G9" s="32" t="inlineStr">
        <is>
          <t>cartService.GetCartAsync(U1)</t>
        </is>
      </c>
      <c r="H9" s="32" t="inlineStr">
        <is>
          <t>CartDto.IsPriceExpired = false
Unit prices = original snapshot (unchanged)</t>
        </is>
      </c>
      <c r="I9" s="32" t="inlineStr">
        <is>
          <t>No</t>
        </is>
      </c>
      <c r="J9" s="43" t="inlineStr">
        <is>
          <t>Pass</t>
        </is>
      </c>
      <c r="K9" s="32" t="n"/>
      <c r="L9" s="32" t="n"/>
      <c r="M9" s="43" t="inlineStr">
        <is>
          <t>✅ Pass (không đổi)</t>
        </is>
      </c>
    </row>
    <row r="10" ht="18" customHeight="1">
      <c r="A10" s="50" t="inlineStr">
        <is>
          <t xml:space="preserve">  ▶  Block: AddItemToCartAsync()</t>
        </is>
      </c>
    </row>
    <row r="11" ht="30" customHeight="1">
      <c r="A11" s="26" t="inlineStr">
        <is>
          <t>L1-CART-05</t>
        </is>
      </c>
      <c r="B11" s="37" t="inlineStr">
        <is>
          <t>EP-Valid</t>
        </is>
      </c>
      <c r="C11" s="27" t="inlineStr">
        <is>
          <t>Add new product -&gt; line item created with price snapshot</t>
        </is>
      </c>
      <c r="D11" s="27" t="inlineStr">
        <is>
          <t>FT-01 AC-05; FT-02 AC-02; BR-005</t>
        </is>
      </c>
      <c r="E11" s="28" t="inlineStr">
        <is>
          <t>P1</t>
        </is>
      </c>
      <c r="F11" s="27" t="inlineStr">
        <is>
          <t>InMemory DB: product P1 (Active, price 50,000); empty cart</t>
        </is>
      </c>
      <c r="G11" s="27" t="inlineStr">
        <is>
          <t>cartService.AddItemToCartAsync(U1, {P1, qty=2})</t>
        </is>
      </c>
      <c r="H11" s="27" t="inlineStr">
        <is>
          <t>Cart has 1 item: ProductId=P1, Quantity=2, UnitPrice snapshot = 50,000</t>
        </is>
      </c>
      <c r="I11" s="27" t="inlineStr">
        <is>
          <t>No</t>
        </is>
      </c>
      <c r="J11" s="43" t="inlineStr">
        <is>
          <t>Pass</t>
        </is>
      </c>
      <c r="K11" s="27" t="n"/>
      <c r="L11" s="27" t="n"/>
      <c r="M11" s="43" t="inlineStr">
        <is>
          <t>✅ Pass (không đổi)</t>
        </is>
      </c>
    </row>
    <row r="12" ht="30" customHeight="1">
      <c r="A12" s="31" t="inlineStr">
        <is>
          <t>L1-CART-06</t>
        </is>
      </c>
      <c r="B12" s="37" t="inlineStr">
        <is>
          <t>EP-Valid</t>
        </is>
      </c>
      <c r="C12" s="32" t="inlineStr">
        <is>
          <t>Add product already in cart -&gt; quantity accumulated, no duplicate line</t>
        </is>
      </c>
      <c r="D12" s="32" t="inlineStr">
        <is>
          <t>FT-01 AC-05</t>
        </is>
      </c>
      <c r="E12" s="28" t="inlineStr">
        <is>
          <t>P1</t>
        </is>
      </c>
      <c r="F12" s="32" t="inlineStr">
        <is>
          <t>Cart already contains P1 qty=2</t>
        </is>
      </c>
      <c r="G12" s="32" t="inlineStr">
        <is>
          <t>cartService.AddItemToCartAsync(U1, {P1, qty=3})</t>
        </is>
      </c>
      <c r="H12" s="32" t="inlineStr">
        <is>
          <t>Cart still has exactly 1 line for P1; Quantity = 5</t>
        </is>
      </c>
      <c r="I12" s="32" t="inlineStr">
        <is>
          <t>No</t>
        </is>
      </c>
      <c r="J12" s="43" t="inlineStr">
        <is>
          <t>Pass</t>
        </is>
      </c>
      <c r="K12" s="32" t="n"/>
      <c r="L12" s="32" t="n"/>
      <c r="M12" s="43" t="inlineStr">
        <is>
          <t>✅ Pass (không đổi)</t>
        </is>
      </c>
    </row>
    <row r="13" ht="43.5" customHeight="1">
      <c r="A13" s="26" t="inlineStr">
        <is>
          <t>L1-CART-07</t>
        </is>
      </c>
      <c r="B13" s="37" t="inlineStr">
        <is>
          <t>EP-Invalid</t>
        </is>
      </c>
      <c r="C13" s="27" t="inlineStr">
        <is>
          <t>Quantity &lt;= 0 -&gt; rejected</t>
        </is>
      </c>
      <c r="D13" s="27" t="inlineStr">
        <is>
          <t>FT-01 AC-05</t>
        </is>
      </c>
      <c r="E13" s="28" t="inlineStr">
        <is>
          <t>P1</t>
        </is>
      </c>
      <c r="F13" s="27" t="inlineStr">
        <is>
          <t>Product P1 active</t>
        </is>
      </c>
      <c r="G13" s="27" t="inlineStr">
        <is>
          <t>cartService.AddItemToCartAsync(U1, {P1, qty=0})</t>
        </is>
      </c>
      <c r="H13" s="27" t="inlineStr">
        <is>
          <t>Throws validation exception / rejects
No cart item persisted</t>
        </is>
      </c>
      <c r="I13" s="29" t="inlineStr">
        <is>
          <t>Yes</t>
        </is>
      </c>
      <c r="J13" s="43" t="inlineStr">
        <is>
          <t>Pass</t>
        </is>
      </c>
      <c r="K13" s="27" t="n"/>
      <c r="L13" s="27" t="n"/>
      <c r="M13" s="43" t="inlineStr">
        <is>
          <t>✅ Pass (không đổi)</t>
        </is>
      </c>
    </row>
    <row r="14" ht="30" customHeight="1">
      <c r="A14" s="31" t="inlineStr">
        <is>
          <t>L1-CART-08</t>
        </is>
      </c>
      <c r="B14" s="37" t="inlineStr">
        <is>
          <t>EP-Invalid</t>
        </is>
      </c>
      <c r="C14" s="32" t="inlineStr">
        <is>
          <t>Discontinued product -&gt; cannot be added</t>
        </is>
      </c>
      <c r="D14" s="32" t="inlineStr">
        <is>
          <t>FT-01 NAC-04; BR-047</t>
        </is>
      </c>
      <c r="E14" s="28" t="inlineStr">
        <is>
          <t>P1</t>
        </is>
      </c>
      <c r="F14" s="32" t="inlineStr">
        <is>
          <t>Product P2 status = Discontinued</t>
        </is>
      </c>
      <c r="G14" s="32" t="inlineStr">
        <is>
          <t>cartService.AddItemToCartAsync(U1, {P2, qty=1})</t>
        </is>
      </c>
      <c r="H14" s="32" t="inlineStr">
        <is>
          <t>Rejected with error; no cart item persisted</t>
        </is>
      </c>
      <c r="I14" s="35" t="inlineStr">
        <is>
          <t>Yes</t>
        </is>
      </c>
      <c r="J14" s="43" t="inlineStr">
        <is>
          <t>Pass</t>
        </is>
      </c>
      <c r="K14" s="32" t="n"/>
      <c r="L14" s="32" t="n"/>
      <c r="M14" s="43" t="inlineStr">
        <is>
          <t>✅ Pass (không đổi)</t>
        </is>
      </c>
    </row>
    <row r="15" ht="18" customHeight="1">
      <c r="A15" s="50" t="inlineStr">
        <is>
          <t xml:space="preserve">  ▶  Block: UpdateCartItemAsync() / RemoveItemFromCartAsync() / ClearCartAsync()</t>
        </is>
      </c>
    </row>
    <row r="16" ht="43.5" customHeight="1">
      <c r="A16" s="26" t="inlineStr">
        <is>
          <t>L1-CART-09</t>
        </is>
      </c>
      <c r="B16" s="37" t="inlineStr">
        <is>
          <t>EP-Invalid</t>
        </is>
      </c>
      <c r="C16" s="27" t="inlineStr">
        <is>
          <t>Update a cart item belonging to another user -&gt; rejected</t>
        </is>
      </c>
      <c r="D16" s="27" t="inlineStr">
        <is>
          <t>FT-01 NAC-05; NFR-SEC03</t>
        </is>
      </c>
      <c r="E16" s="28" t="inlineStr">
        <is>
          <t>P1</t>
        </is>
      </c>
      <c r="F16" s="27" t="inlineStr">
        <is>
          <t>CartItem CI-9 belongs to user U9</t>
        </is>
      </c>
      <c r="G16" s="27" t="inlineStr">
        <is>
          <t>cartService.UpdateCartItemAsync(U1, CI-9, {qty=10})</t>
        </is>
      </c>
      <c r="H16" s="27" t="inlineStr">
        <is>
          <t>Throws not-found/forbidden
CI-9.Quantity unchanged</t>
        </is>
      </c>
      <c r="I16" s="29" t="inlineStr">
        <is>
          <t>Yes</t>
        </is>
      </c>
      <c r="J16" s="43" t="inlineStr">
        <is>
          <t>Pass</t>
        </is>
      </c>
      <c r="K16" s="27" t="n"/>
      <c r="L16" s="27" t="n"/>
      <c r="M16" s="43" t="inlineStr">
        <is>
          <t>✅ Pass (không đổi)</t>
        </is>
      </c>
    </row>
    <row r="17" ht="30" customHeight="1">
      <c r="A17" s="31" t="inlineStr">
        <is>
          <t>L1-CART-10</t>
        </is>
      </c>
      <c r="B17" s="37" t="inlineStr">
        <is>
          <t>EP-Valid</t>
        </is>
      </c>
      <c r="C17" s="32" t="inlineStr">
        <is>
          <t>Clear cart -&gt; all items removed</t>
        </is>
      </c>
      <c r="D17" s="32" t="inlineStr">
        <is>
          <t>FT-01 AC-05</t>
        </is>
      </c>
      <c r="E17" s="36" t="inlineStr">
        <is>
          <t>P2</t>
        </is>
      </c>
      <c r="F17" s="32" t="inlineStr">
        <is>
          <t>Cart with 3 items for U1</t>
        </is>
      </c>
      <c r="G17" s="32" t="inlineStr">
        <is>
          <t>cartService.ClearCartAsync(U1)</t>
        </is>
      </c>
      <c r="H17" s="32" t="inlineStr">
        <is>
          <t>Cart.Items.Count = 0 after call; cart record itself retained</t>
        </is>
      </c>
      <c r="I17" s="32" t="inlineStr">
        <is>
          <t>No</t>
        </is>
      </c>
      <c r="J17" s="43" t="inlineStr">
        <is>
          <t>Pass</t>
        </is>
      </c>
      <c r="K17" s="32" t="n"/>
      <c r="L17" s="32" t="n"/>
      <c r="M17" s="43" t="inlineStr">
        <is>
          <t>✅ Pass (không đổi)</t>
        </is>
      </c>
    </row>
    <row r="18" ht="15" customHeight="1">
      <c r="A18" s="52" t="inlineStr">
        <is>
          <t xml:space="preserve">  ▶  Template Row — copy khi thêm case mới</t>
        </is>
      </c>
    </row>
    <row r="19" ht="53.25" customHeight="1">
      <c r="A19" s="43" t="inlineStr">
        <is>
          <t>L1-XX-[NN]</t>
        </is>
      </c>
      <c r="B19" s="43" t="inlineStr">
        <is>
          <t>[BC-TRUE | BC-FALSE | CC | EP-Valid | EP-Invalid | BVA-* | State-* | Guard-* | Concurrency | Idempotency | Atomicity]</t>
        </is>
      </c>
      <c r="C19" s="43" t="inlineStr">
        <is>
          <t>[Branch / condition / partition]</t>
        </is>
      </c>
      <c r="D19" s="43" t="inlineStr">
        <is>
          <t>[FT-xx AC/NAC/BV-xx; BR-xxx; NFR-xxx]</t>
        </is>
      </c>
      <c r="E19" s="43" t="inlineStr">
        <is>
          <t>P2</t>
        </is>
      </c>
      <c r="F19" s="43" t="inlineStr">
        <is>
          <t>[Arrange: state + _mock.Setup(...)]</t>
        </is>
      </c>
      <c r="G19" s="43" t="inlineStr">
        <is>
          <t>service.Method(params)</t>
        </is>
      </c>
      <c r="H19" s="43" t="inlineStr">
        <is>
          <t>[result.Should().Be(...) / Throws / _mock.Verify(..., Times.Never)]</t>
        </is>
      </c>
      <c r="I19" s="43" t="inlineStr">
        <is>
          <t>No</t>
        </is>
      </c>
      <c r="J19" s="43" t="inlineStr">
        <is>
          <t>Not Run</t>
        </is>
      </c>
      <c r="K19" s="43" t="n"/>
      <c r="L19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L2"/>
    <mergeCell ref="A15:L15"/>
    <mergeCell ref="A10:L10"/>
    <mergeCell ref="A1:L1"/>
    <mergeCell ref="A5:L5"/>
    <mergeCell ref="A18:L18"/>
  </mergeCells>
  <dataValidations count="2">
    <dataValidation sqref="E6:E9 E11:E14 E16:E17 E19" showDropDown="0" showInputMessage="0" showErrorMessage="0" allowBlank="1" type="list">
      <formula1>"P1,P2,P3"</formula1>
      <formula2>0</formula2>
    </dataValidation>
    <dataValidation sqref="J6:J9 J11:J14 J16:J17 J19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ProductService  |  methods: GetProductsAsync, GetProductByIdAsync, GetCategoriesAsync, CreateProductAsync  |  Mock: IUnitOfWork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GetProductsAsync()  |  FT-01 SB-1 catalogue browsing; BR-26</t>
        </is>
      </c>
    </row>
    <row r="6" ht="30" customHeight="1">
      <c r="A6" s="26" t="inlineStr">
        <is>
          <t>L1-PROD-01</t>
        </is>
      </c>
      <c r="B6" s="37" t="inlineStr">
        <is>
          <t>EP-Valid</t>
        </is>
      </c>
      <c r="C6" s="27" t="inlineStr">
        <is>
          <t>Filter by categoryId -&gt; only products of that category returned</t>
        </is>
      </c>
      <c r="D6" s="27" t="inlineStr">
        <is>
          <t>FT-01 AC-01</t>
        </is>
      </c>
      <c r="E6" s="34" t="inlineStr">
        <is>
          <t>P2</t>
        </is>
      </c>
      <c r="F6" s="27" t="inlineStr">
        <is>
          <t>Mock repo: 5 products, 2 in category C1</t>
        </is>
      </c>
      <c r="G6" s="27" t="inlineStr">
        <is>
          <t>productService.GetProductsAsync(page=1, pageSize=12, categoryId=C1)</t>
        </is>
      </c>
      <c r="H6" s="27" t="inlineStr">
        <is>
          <t>Result.Items all have CategoryId = C1; TotalCount = 2</t>
        </is>
      </c>
      <c r="I6" s="27" t="inlineStr">
        <is>
          <t>No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43.5" customHeight="1">
      <c r="A7" s="31" t="inlineStr">
        <is>
          <t>L1-PROD-02</t>
        </is>
      </c>
      <c r="B7" s="37" t="inlineStr">
        <is>
          <t>EP-Valid</t>
        </is>
      </c>
      <c r="C7" s="32" t="inlineStr">
        <is>
          <t>searchKeyword matches product name (case-insensitive)</t>
        </is>
      </c>
      <c r="D7" s="32" t="inlineStr">
        <is>
          <t>FT-01 AC-01</t>
        </is>
      </c>
      <c r="E7" s="36" t="inlineStr">
        <is>
          <t>P2</t>
        </is>
      </c>
      <c r="F7" s="32" t="inlineStr">
        <is>
          <t>Mock repo returns products filtered by keyword 'bag'</t>
        </is>
      </c>
      <c r="G7" s="32" t="inlineStr">
        <is>
          <t>productService.GetProductsAsync(searchKeyword='bag')</t>
        </is>
      </c>
      <c r="H7" s="32" t="inlineStr">
        <is>
          <t>All returned product names contain 'bag'
Repo called with the exact keyword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43.5" customHeight="1">
      <c r="A8" s="26" t="inlineStr">
        <is>
          <t>L1-PROD-03</t>
        </is>
      </c>
      <c r="B8" s="37" t="inlineStr">
        <is>
          <t>EP-Invalid</t>
        </is>
      </c>
      <c r="C8" s="27" t="inlineStr">
        <is>
          <t>Discontinued products hidden from public catalogue</t>
        </is>
      </c>
      <c r="D8" s="27" t="inlineStr">
        <is>
          <t>FT-01 AC-01; NAC-04; BR-047</t>
        </is>
      </c>
      <c r="E8" s="28" t="inlineStr">
        <is>
          <t>P1</t>
        </is>
      </c>
      <c r="F8" s="27" t="inlineStr">
        <is>
          <t>Mock repo: product P2 Discontinued among actives</t>
        </is>
      </c>
      <c r="G8" s="27" t="inlineStr">
        <is>
          <t>productService.GetProductsAsync(page=1)</t>
        </is>
      </c>
      <c r="H8" s="27" t="inlineStr">
        <is>
          <t>P2 NOT present in Result.Items
Active products returned normally</t>
        </is>
      </c>
      <c r="I8" s="27" t="inlineStr">
        <is>
          <t>No</t>
        </is>
      </c>
      <c r="J8" s="43" t="inlineStr">
        <is>
          <t>Pass</t>
        </is>
      </c>
      <c r="K8" s="27" t="n"/>
      <c r="L8" s="27" t="n"/>
      <c r="M8" s="43" t="inlineStr">
        <is>
          <t>✅ Pass (không đổi)</t>
        </is>
      </c>
    </row>
    <row r="9" ht="30" customHeight="1">
      <c r="A9" s="31" t="inlineStr">
        <is>
          <t>L1-PROD-04</t>
        </is>
      </c>
      <c r="B9" s="37" t="inlineStr">
        <is>
          <t>BVA-Min-1</t>
        </is>
      </c>
      <c r="C9" s="32" t="inlineStr">
        <is>
          <t>page = 0 or negative -&gt; normalized to page 1 (or rejected)</t>
        </is>
      </c>
      <c r="D9" s="32" t="inlineStr">
        <is>
          <t>FT-01 AC-01</t>
        </is>
      </c>
      <c r="E9" s="36" t="inlineStr">
        <is>
          <t>P3</t>
        </is>
      </c>
      <c r="F9" s="32" t="inlineStr">
        <is>
          <t>Mock repo</t>
        </is>
      </c>
      <c r="G9" s="32" t="inlineStr">
        <is>
          <t>productService.GetProductsAsync(page=0)</t>
        </is>
      </c>
      <c r="H9" s="32" t="inlineStr">
        <is>
          <t>Repo receives page &gt;= 1 (no negative offset); no exception</t>
        </is>
      </c>
      <c r="I9" s="32" t="inlineStr">
        <is>
          <t>No</t>
        </is>
      </c>
      <c r="J9" s="43" t="inlineStr">
        <is>
          <t>Pass</t>
        </is>
      </c>
      <c r="K9" s="32" t="n"/>
      <c r="L9" s="32" t="n"/>
      <c r="M9" s="43" t="inlineStr">
        <is>
          <t>✅ Pass (không đổi)</t>
        </is>
      </c>
    </row>
    <row r="10" ht="18" customHeight="1">
      <c r="A10" s="50" t="inlineStr">
        <is>
          <t xml:space="preserve">  ▶  Block: GetProductByIdAsync()</t>
        </is>
      </c>
    </row>
    <row r="11" ht="30" customHeight="1">
      <c r="A11" s="26" t="inlineStr">
        <is>
          <t>L1-PROD-05</t>
        </is>
      </c>
      <c r="B11" s="37" t="inlineStr">
        <is>
          <t>EP-Invalid</t>
        </is>
      </c>
      <c r="C11" s="27" t="inlineStr">
        <is>
          <t>Unknown product id -&gt; null returned (no exception)</t>
        </is>
      </c>
      <c r="D11" s="27" t="inlineStr">
        <is>
          <t>FT-01 AC-01</t>
        </is>
      </c>
      <c r="E11" s="34" t="inlineStr">
        <is>
          <t>P2</t>
        </is>
      </c>
      <c r="F11" s="27" t="inlineStr">
        <is>
          <t>Mock repo: GetByIdAsync(Px) -&gt; null</t>
        </is>
      </c>
      <c r="G11" s="27" t="inlineStr">
        <is>
          <t>productService.GetProductByIdAsync(Px)</t>
        </is>
      </c>
      <c r="H11" s="27" t="inlineStr">
        <is>
          <t>Returns null; controller maps to 404</t>
        </is>
      </c>
      <c r="I11" s="27" t="inlineStr">
        <is>
          <t>No</t>
        </is>
      </c>
      <c r="J11" s="43" t="inlineStr">
        <is>
          <t>Pass</t>
        </is>
      </c>
      <c r="K11" s="27" t="n"/>
      <c r="L11" s="27" t="n"/>
      <c r="M11" s="43" t="inlineStr">
        <is>
          <t>✅ Pass (không đổi)</t>
        </is>
      </c>
    </row>
    <row r="12" ht="15" customHeight="1">
      <c r="A12" s="52" t="inlineStr">
        <is>
          <t xml:space="preserve">  ▶  Template Row — copy khi thêm case mới</t>
        </is>
      </c>
    </row>
    <row r="13" ht="53.25" customHeight="1">
      <c r="A13" s="43" t="inlineStr">
        <is>
          <t>L1-XX-[NN]</t>
        </is>
      </c>
      <c r="B13" s="43" t="inlineStr">
        <is>
          <t>[BC-TRUE | BC-FALSE | CC | EP-Valid | EP-Invalid | BVA-* | State-* | Guard-* | Concurrency | Idempotency | Atomicity]</t>
        </is>
      </c>
      <c r="C13" s="43" t="inlineStr">
        <is>
          <t>[Branch / condition / partition]</t>
        </is>
      </c>
      <c r="D13" s="43" t="inlineStr">
        <is>
          <t>[FT-xx AC/NAC/BV-xx; BR-xxx; NFR-xxx]</t>
        </is>
      </c>
      <c r="E13" s="43" t="inlineStr">
        <is>
          <t>P2</t>
        </is>
      </c>
      <c r="F13" s="43" t="inlineStr">
        <is>
          <t>[Arrange: state + _mock.Setup(...)]</t>
        </is>
      </c>
      <c r="G13" s="43" t="inlineStr">
        <is>
          <t>service.Method(params)</t>
        </is>
      </c>
      <c r="H13" s="43" t="inlineStr">
        <is>
          <t>[result.Should().Be(...) / Throws / _mock.Verify(..., Times.Never)]</t>
        </is>
      </c>
      <c r="I13" s="43" t="inlineStr">
        <is>
          <t>No</t>
        </is>
      </c>
      <c r="J13" s="43" t="inlineStr">
        <is>
          <t>Not Run</t>
        </is>
      </c>
      <c r="K13" s="43" t="n"/>
      <c r="L13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0:L10"/>
    <mergeCell ref="A1:L1"/>
    <mergeCell ref="A5:L5"/>
    <mergeCell ref="A12:L12"/>
  </mergeCells>
  <dataValidations count="2">
    <dataValidation sqref="E6:E9 E11 E13" showDropDown="0" showInputMessage="0" showErrorMessage="0" allowBlank="1" type="list">
      <formula1>"P1,P2,P3"</formula1>
      <formula2>0</formula2>
    </dataValidation>
    <dataValidation sqref="J6:J9 J11 J13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2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OrderService  |  methods: GetCheckoutSummaryAsync, PlaceOrderAsync, GenerateSePayQrAsync, ProcessSePayWebhookAsync, ConfirmOrderAsync, PlaceDirectOrderAsync, RequestVatInvoiceAsync, RejectOrder/Cancel flows, ScheduleDeliveryAsync, RecordDeliveryResultAsync, GetOrderHistoryAsync  |  EF Core InMemory + Mock: ICartService, IEmailService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3"/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GetCheckoutSummaryAsync() — tiered pricing  |  FT-02 AC-01..03, NAC-02, BV-01, BR-01/BR-02</t>
        </is>
      </c>
    </row>
    <row r="6" ht="43.5" customHeight="1">
      <c r="A6" s="26" t="inlineStr">
        <is>
          <t>L1-ORD-01</t>
        </is>
      </c>
      <c r="B6" s="37" t="inlineStr">
        <is>
          <t>BVA-Max</t>
        </is>
      </c>
      <c r="C6" s="27" t="inlineStr">
        <is>
          <t>Cart total = 9,999,999 VND -&gt; standard list price (Tier 1 max)</t>
        </is>
      </c>
      <c r="D6" s="27" t="inlineStr">
        <is>
          <t>FT-02 AC-01; BV-01; BR-006</t>
        </is>
      </c>
      <c r="E6" s="28" t="inlineStr">
        <is>
          <t>P1</t>
        </is>
      </c>
      <c r="F6" s="27" t="inlineStr">
        <is>
          <t>Cart totalling exactly 9,999,999 VND</t>
        </is>
      </c>
      <c r="G6" s="27" t="inlineStr">
        <is>
          <t>orderService.GetCheckoutSummaryAsync(U1)</t>
        </is>
      </c>
      <c r="H6" s="27" t="inlineStr">
        <is>
          <t>PricingTier = Standard; unit prices = list prices
'Proceed to Payment' enabled (CanCheckout = true)</t>
        </is>
      </c>
      <c r="I6" s="27" t="inlineStr">
        <is>
          <t>No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43.5" customHeight="1">
      <c r="A7" s="31" t="inlineStr">
        <is>
          <t>L1-ORD-02</t>
        </is>
      </c>
      <c r="B7" s="37" t="inlineStr">
        <is>
          <t>BVA-Min</t>
        </is>
      </c>
      <c r="C7" s="32" t="inlineStr">
        <is>
          <t>Cart total = 10,000,000 VND -&gt; Tier 2 quantity discount applied</t>
        </is>
      </c>
      <c r="D7" s="32" t="inlineStr">
        <is>
          <t>FT-02 AC-01; BV-01; BR-006</t>
        </is>
      </c>
      <c r="E7" s="28" t="inlineStr">
        <is>
          <t>P1</t>
        </is>
      </c>
      <c r="F7" s="32" t="inlineStr">
        <is>
          <t>Cart totalling exactly 10,000,000 VND; discount matrix seeded</t>
        </is>
      </c>
      <c r="G7" s="32" t="inlineStr">
        <is>
          <t>orderService.GetCheckoutSummaryAsync(U1)</t>
        </is>
      </c>
      <c r="H7" s="32" t="inlineStr">
        <is>
          <t>PricingTier = QuantityDiscount; discounted unit prices per matrix
Recalculated total &lt; list-price total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43.5" customHeight="1">
      <c r="A8" s="26" t="inlineStr">
        <is>
          <t>L1-ORD-03</t>
        </is>
      </c>
      <c r="B8" s="37" t="inlineStr">
        <is>
          <t>BVA-Max</t>
        </is>
      </c>
      <c r="C8" s="27" t="inlineStr">
        <is>
          <t>Cart total = 99,999,999 VND -&gt; still Tier 2</t>
        </is>
      </c>
      <c r="D8" s="27" t="inlineStr">
        <is>
          <t>FT-02 AC-01; BV-01; BR-006</t>
        </is>
      </c>
      <c r="E8" s="28" t="inlineStr">
        <is>
          <t>P1</t>
        </is>
      </c>
      <c r="F8" s="27" t="inlineStr">
        <is>
          <t>Cart totalling 99,999,999 VND</t>
        </is>
      </c>
      <c r="G8" s="27" t="inlineStr">
        <is>
          <t>orderService.GetCheckoutSummaryAsync(U1)</t>
        </is>
      </c>
      <c r="H8" s="27" t="inlineStr">
        <is>
          <t>PricingTier = QuantityDiscount (NOT negotiated flow)
CanCheckout = true</t>
        </is>
      </c>
      <c r="I8" s="27" t="inlineStr">
        <is>
          <t>No</t>
        </is>
      </c>
      <c r="J8" s="43" t="inlineStr">
        <is>
          <t>Pass</t>
        </is>
      </c>
      <c r="K8" s="27" t="n"/>
      <c r="L8" s="27" t="n"/>
      <c r="M8" s="43" t="inlineStr">
        <is>
          <t>✅ Pass (không đổi)</t>
        </is>
      </c>
    </row>
    <row r="9" ht="43.5" customHeight="1">
      <c r="A9" s="31" t="inlineStr">
        <is>
          <t>L1-ORD-04</t>
        </is>
      </c>
      <c r="B9" s="37" t="inlineStr">
        <is>
          <t>BVA-Min + Guard-TRUE</t>
        </is>
      </c>
      <c r="C9" s="32" t="inlineStr">
        <is>
          <t>Total = 100,000,000 VND + saved negotiated price -&gt; auto-applied</t>
        </is>
      </c>
      <c r="D9" s="32" t="inlineStr">
        <is>
          <t>FT-02 AC-01; AC-05; BV-01; BR-026</t>
        </is>
      </c>
      <c r="E9" s="28" t="inlineStr">
        <is>
          <t>P1</t>
        </is>
      </c>
      <c r="F9" s="32" t="inlineStr">
        <is>
          <t>Cart = 100,000,000 VND; CustomerProfile.NegotiatedPrice saved (approved)</t>
        </is>
      </c>
      <c r="G9" s="32" t="inlineStr">
        <is>
          <t>orderService.GetCheckoutSummaryAsync(U1)</t>
        </is>
      </c>
      <c r="H9" s="32" t="inlineStr">
        <is>
          <t>Negotiated price auto-applied to total
No quotation request required; CanCheckout = true</t>
        </is>
      </c>
      <c r="I9" s="32" t="inlineStr">
        <is>
          <t>No</t>
        </is>
      </c>
      <c r="J9" s="43" t="inlineStr">
        <is>
          <t>Pass</t>
        </is>
      </c>
      <c r="K9" s="32" t="n"/>
      <c r="L9" s="47" t="inlineStr">
        <is>
          <t>auto-áp giá thỏa thuận cho đơn &gt;= 100M chưa cài đặt — mọi đơn &gt;= 100M đều bị chặn yêu cầu báo giá B2B.</t>
        </is>
      </c>
      <c r="M9" s="43" t="inlineStr">
        <is>
          <t>✅ ĐÃ FIX  [🟢 ĐÃ FIX HOÀN TOÀN — test unit viết lại, bỏ Skip, PASS thật (07/08/2026)]
GH-13 đã fix ở code (Quotation/QuotationVersion.ProposedTotal, không phải SavedB2BPriceSnapshot như giả định gốc). Đã viết lại L1_ORD_04_Checkout_100M_WithAcceptedQuotation_NegotiatedPriceApplied (PASS) + thêm L1_ORD_04b (báo giá hết hạn vẫn bị chặn, PASS) trong OrderServiceTests.cs, bỏ [Fact(Skip=...)].</t>
        </is>
      </c>
    </row>
    <row r="10" ht="43.5" customHeight="1">
      <c r="A10" s="26" t="inlineStr">
        <is>
          <t>L1-ORD-05</t>
        </is>
      </c>
      <c r="B10" s="37" t="inlineStr">
        <is>
          <t>Guard-FALSE</t>
        </is>
      </c>
      <c r="C10" s="27" t="inlineStr">
        <is>
          <t>Total &gt;= 100M, NO negotiated price -&gt; payment hidden, quotation required</t>
        </is>
      </c>
      <c r="D10" s="27" t="inlineStr">
        <is>
          <t>FT-02 AC-03; BV-01; BR-026</t>
        </is>
      </c>
      <c r="E10" s="28" t="inlineStr">
        <is>
          <t>P1</t>
        </is>
      </c>
      <c r="F10" s="27" t="inlineStr">
        <is>
          <t>Cart = 120,000,000 VND; no saved negotiated price</t>
        </is>
      </c>
      <c r="G10" s="27" t="inlineStr">
        <is>
          <t>orderService.GetCheckoutSummaryAsync(U1)</t>
        </is>
      </c>
      <c r="H10" s="27" t="inlineStr">
        <is>
          <t>CanCheckout = false; RequiresQuotation = true
No pricing applied beyond list snapshot</t>
        </is>
      </c>
      <c r="I10" s="27" t="inlineStr">
        <is>
          <t>No</t>
        </is>
      </c>
      <c r="J10" s="43" t="inlineStr">
        <is>
          <t>Pass</t>
        </is>
      </c>
      <c r="K10" s="27" t="n"/>
      <c r="L10" s="27" t="n"/>
      <c r="M10" s="43" t="inlineStr">
        <is>
          <t>✅ Pass (không đổi)</t>
        </is>
      </c>
    </row>
    <row r="11" ht="43.5" customHeight="1">
      <c r="A11" s="31" t="inlineStr">
        <is>
          <t>L1-ORD-06</t>
        </is>
      </c>
      <c r="B11" s="37" t="inlineStr">
        <is>
          <t>EP-Invalid</t>
        </is>
      </c>
      <c r="C11" s="32" t="inlineStr">
        <is>
          <t>Negotiated price NOT applied to 80M order (below threshold)</t>
        </is>
      </c>
      <c r="D11" s="32" t="inlineStr">
        <is>
          <t>FT-02 NAC-02; BV-01</t>
        </is>
      </c>
      <c r="E11" s="28" t="inlineStr">
        <is>
          <t>P1</t>
        </is>
      </c>
      <c r="F11" s="32" t="inlineStr">
        <is>
          <t>Customer has negotiated price; cart total = 80,000,000 VND</t>
        </is>
      </c>
      <c r="G11" s="32" t="inlineStr">
        <is>
          <t>orderService.GetCheckoutSummaryAsync(U1)</t>
        </is>
      </c>
      <c r="H11" s="32" t="inlineStr">
        <is>
          <t>Negotiated price ignored; Tier-2 discount applied instead
Tooltip flag: negotiated pricing only for &gt;= 100M</t>
        </is>
      </c>
      <c r="I11" s="35" t="inlineStr">
        <is>
          <t>Yes</t>
        </is>
      </c>
      <c r="J11" s="43" t="inlineStr">
        <is>
          <t>Pass</t>
        </is>
      </c>
      <c r="K11" s="32" t="n"/>
      <c r="L11" s="32" t="n"/>
      <c r="M11" s="43" t="inlineStr">
        <is>
          <t>✅ Pass (không đổi)</t>
        </is>
      </c>
    </row>
    <row r="12" ht="18" customHeight="1">
      <c r="A12" s="50" t="inlineStr">
        <is>
          <t xml:space="preserve">  ▶  Block: PlaceOrderAsync()  |  FT-01 AC-04/05, NAC-02/03/04; FT-02 NAC-01</t>
        </is>
      </c>
    </row>
    <row r="13" ht="57.75" customHeight="1">
      <c r="A13" s="26" t="inlineStr">
        <is>
          <t>L1-ORD-07</t>
        </is>
      </c>
      <c r="B13" s="37" t="inlineStr">
        <is>
          <t>EP-Valid</t>
        </is>
      </c>
      <c r="C13" s="27" t="inlineStr">
        <is>
          <t>Valid checkout -&gt; order 'Order Received', invoice email queued, Sales notified</t>
        </is>
      </c>
      <c r="D13" s="27" t="inlineStr">
        <is>
          <t>FT-01 AC-05; FT-03 AC-04; BR-030</t>
        </is>
      </c>
      <c r="E13" s="28" t="inlineStr">
        <is>
          <t>P1</t>
        </is>
      </c>
      <c r="F13" s="27" t="inlineStr">
        <is>
          <t>Valid non-expired cart, all items in stock
Mock: emailService</t>
        </is>
      </c>
      <c r="G13" s="27" t="inlineStr">
        <is>
          <t>orderService.PlaceOrderAsync(U1, request)</t>
        </is>
      </c>
      <c r="H13" s="27" t="inlineStr">
        <is>
          <t>Order persisted with Status = 'Order Received'
emailService.SendOrderInvoiceEmailAsync() called once
Sales notification created</t>
        </is>
      </c>
      <c r="I13" s="27" t="inlineStr">
        <is>
          <t>No</t>
        </is>
      </c>
      <c r="J13" s="43" t="inlineStr">
        <is>
          <t>Pass</t>
        </is>
      </c>
      <c r="K13" s="27" t="n"/>
      <c r="L13" s="27" t="n"/>
      <c r="M13" s="43" t="inlineStr">
        <is>
          <t>✅ Pass (không đổi)</t>
        </is>
      </c>
    </row>
    <row r="14" ht="30" customHeight="1">
      <c r="A14" s="31" t="inlineStr">
        <is>
          <t>L1-ORD-08</t>
        </is>
      </c>
      <c r="B14" s="37" t="inlineStr">
        <is>
          <t>EP-Invalid</t>
        </is>
      </c>
      <c r="C14" s="32" t="inlineStr">
        <is>
          <t>Empty cart -&gt; checkout rejected</t>
        </is>
      </c>
      <c r="D14" s="32" t="inlineStr">
        <is>
          <t>FT-01 AC-05</t>
        </is>
      </c>
      <c r="E14" s="28" t="inlineStr">
        <is>
          <t>P1</t>
        </is>
      </c>
      <c r="F14" s="32" t="inlineStr">
        <is>
          <t>Cart.Items = []</t>
        </is>
      </c>
      <c r="G14" s="32" t="inlineStr">
        <is>
          <t>orderService.PlaceOrderAsync(U1, request)</t>
        </is>
      </c>
      <c r="H14" s="32" t="inlineStr">
        <is>
          <t>Throws validation exception; no Order persisted</t>
        </is>
      </c>
      <c r="I14" s="35" t="inlineStr">
        <is>
          <t>Yes</t>
        </is>
      </c>
      <c r="J14" s="43" t="inlineStr">
        <is>
          <t>Pass</t>
        </is>
      </c>
      <c r="K14" s="32" t="n"/>
      <c r="L14" s="32" t="n"/>
      <c r="M14" s="43" t="inlineStr">
        <is>
          <t>✅ Pass (không đổi)</t>
        </is>
      </c>
    </row>
    <row r="15" ht="43.5" customHeight="1">
      <c r="A15" s="26" t="inlineStr">
        <is>
          <t>L1-ORD-09</t>
        </is>
      </c>
      <c r="B15" s="37" t="inlineStr">
        <is>
          <t>BC-TRUE</t>
        </is>
      </c>
      <c r="C15" s="27" t="inlineStr">
        <is>
          <t>Price-Expired cart (idle &gt; 24h) -&gt; checkout blocked</t>
        </is>
      </c>
      <c r="D15" s="27" t="inlineStr">
        <is>
          <t>FT-01 NAC-03; FT-02 NAC-03; BV-01; BR-025</t>
        </is>
      </c>
      <c r="E15" s="28" t="inlineStr">
        <is>
          <t>P1</t>
        </is>
      </c>
      <c r="F15" s="27" t="inlineStr">
        <is>
          <t>Cart.PriceLockedAt = NOW - 25h (mock time)</t>
        </is>
      </c>
      <c r="G15" s="27" t="inlineStr">
        <is>
          <t>orderService.PlaceOrderAsync(U1, request)</t>
        </is>
      </c>
      <c r="H15" s="27" t="inlineStr">
        <is>
          <t>Rejected: customer must re-confirm refreshed prices
No Order persisted</t>
        </is>
      </c>
      <c r="I15" s="29" t="inlineStr">
        <is>
          <t>Yes</t>
        </is>
      </c>
      <c r="J15" s="43" t="inlineStr">
        <is>
          <t>Pass</t>
        </is>
      </c>
      <c r="K15" s="27" t="n"/>
      <c r="L15" s="27" t="inlineStr">
        <is>
          <t>không có logic chặn checkout khi giá hết hạn — CartService tự refresh giá (xem L1-CART-03). Ghi Notes.</t>
        </is>
      </c>
      <c r="M15" s="43" t="inlineStr">
        <is>
          <t>✅ ĐÃ FIX  [🟢 ĐÃ FIX HOÀN TOÀN — test unit viết lại, bỏ Skip, PASS thật (07/08/2026)]
GH-08 đã fix ở code (check hạn giữ giá TRƯỚC khi gọi CartService.GetCartAsync). Đã viết lại L1_ORD_09_PlaceOrder_PriceExpiredCart_Blocked (PASS) + thêm L1_ORD_09b (chưa hết hạn vẫn checkout được, PASS) trong OrderServiceTests.cs, bỏ [Fact(Skip=...)].</t>
        </is>
      </c>
    </row>
    <row r="16" ht="43.5" customHeight="1">
      <c r="A16" s="31" t="inlineStr">
        <is>
          <t>L1-ORD-10</t>
        </is>
      </c>
      <c r="B16" s="37" t="inlineStr">
        <is>
          <t>EP-Invalid</t>
        </is>
      </c>
      <c r="C16" s="32" t="inlineStr">
        <is>
          <t>Item went out of stock between add-to-cart and checkout -&gt; blocked</t>
        </is>
      </c>
      <c r="D16" s="32" t="inlineStr">
        <is>
          <t>FT-01 NAC-03; FT-03 AC-01; BR-008</t>
        </is>
      </c>
      <c r="E16" s="28" t="inlineStr">
        <is>
          <t>P1</t>
        </is>
      </c>
      <c r="F16" s="32" t="inlineStr">
        <is>
          <t>Cart has P1 qty=5; current stock P1 = 0</t>
        </is>
      </c>
      <c r="G16" s="32" t="inlineStr">
        <is>
          <t>orderService.PlaceOrderAsync(U1, request)</t>
        </is>
      </c>
      <c r="H16" s="32" t="inlineStr">
        <is>
          <t>Rejected with message naming the product
No Order persisted; no stock change</t>
        </is>
      </c>
      <c r="I16" s="35" t="inlineStr">
        <is>
          <t>Yes</t>
        </is>
      </c>
      <c r="J16" s="43" t="inlineStr">
        <is>
          <t>Pass</t>
        </is>
      </c>
      <c r="K16" s="32" t="n"/>
      <c r="L16" s="46" t="n"/>
      <c r="M16" s="43" t="inlineStr">
        <is>
          <t>✅ Pass (không đổi)</t>
        </is>
      </c>
    </row>
    <row r="17" ht="57.75" customHeight="1">
      <c r="A17" s="26" t="inlineStr">
        <is>
          <t>L1-ORD-11</t>
        </is>
      </c>
      <c r="B17" s="37" t="inlineStr">
        <is>
          <t>CC</t>
        </is>
      </c>
      <c r="C17" s="27" t="inlineStr">
        <is>
          <t>Tampered payload total (99,999,999) vs true total &gt;= 100M -&gt; HTTP 400 + security alert</t>
        </is>
      </c>
      <c r="D17" s="27" t="inlineStr">
        <is>
          <t>FT-02 NAC-01; BR-005</t>
        </is>
      </c>
      <c r="E17" s="28" t="inlineStr">
        <is>
          <t>P1</t>
        </is>
      </c>
      <c r="F17" s="27" t="inlineStr">
        <is>
          <t>Client payload claims total 99,999,999; server recalculation of cart = 105,000,000</t>
        </is>
      </c>
      <c r="G17" s="27" t="inlineStr">
        <is>
          <t>orderService.PlaceOrderAsync(U1, tamperedRequest)</t>
        </is>
      </c>
      <c r="H17" s="27" t="inlineStr">
        <is>
          <t>Rejected (maps to HTTP 400)
'Pricing Bypass Attempt' security alert logged
No Order persisted</t>
        </is>
      </c>
      <c r="I17" s="29" t="inlineStr">
        <is>
          <t>Yes</t>
        </is>
      </c>
      <c r="J17" s="43" t="inlineStr">
        <is>
          <t>Pass</t>
        </is>
      </c>
      <c r="K17" s="27" t="n"/>
      <c r="L17" s="27" t="n"/>
      <c r="M17" s="43" t="inlineStr">
        <is>
          <t>✅ Pass (không đổi)</t>
        </is>
      </c>
    </row>
    <row r="18" ht="18" customHeight="1">
      <c r="A18" s="50" t="inlineStr">
        <is>
          <t xml:space="preserve">  ▶  Block: GenerateSePayQrAsync()  |  FT-03 AC-01, NAC-03; 4.4.2</t>
        </is>
      </c>
    </row>
    <row r="19" ht="43.5" customHeight="1">
      <c r="A19" s="26" t="inlineStr">
        <is>
          <t>L1-ORD-12</t>
        </is>
      </c>
      <c r="B19" s="37" t="inlineStr">
        <is>
          <t>State-Valid</t>
        </is>
      </c>
      <c r="C19" s="27" t="inlineStr">
        <is>
          <t>SePay selected -&gt; unique QR + ref code, 'Pending Payment', 15-min timer</t>
        </is>
      </c>
      <c r="D19" s="27" t="inlineStr">
        <is>
          <t>FT-03 AC-01; BV-01; BR-008</t>
        </is>
      </c>
      <c r="E19" s="28" t="inlineStr">
        <is>
          <t>P1</t>
        </is>
      </c>
      <c r="F19" s="27" t="inlineStr">
        <is>
          <t>Order O1 total &gt; 0, unpaid</t>
        </is>
      </c>
      <c r="G19" s="27" t="inlineStr">
        <is>
          <t>orderService.GenerateSePayQrAsync(O1)</t>
        </is>
      </c>
      <c r="H19" s="27" t="inlineStr">
        <is>
          <t>Returns QR payload + unique reference code
Payment status = 'Pending Payment'; expiry timestamp = NOW + 15min</t>
        </is>
      </c>
      <c r="I19" s="27" t="inlineStr">
        <is>
          <t>No</t>
        </is>
      </c>
      <c r="J19" s="43" t="inlineStr">
        <is>
          <t>Pass</t>
        </is>
      </c>
      <c r="K19" s="27" t="n"/>
      <c r="L19" s="27" t="n"/>
      <c r="M19" s="43" t="inlineStr">
        <is>
          <t>✅ Pass (không đổi)</t>
        </is>
      </c>
    </row>
    <row r="20" ht="43.5" customHeight="1">
      <c r="A20" s="31" t="inlineStr">
        <is>
          <t>L1-ORD-13</t>
        </is>
      </c>
      <c r="B20" s="37" t="inlineStr">
        <is>
          <t>State-Invalid</t>
        </is>
      </c>
      <c r="C20" s="32" t="inlineStr">
        <is>
          <t>Order already Paid -&gt; QR generation blocked</t>
        </is>
      </c>
      <c r="D20" s="32" t="inlineStr">
        <is>
          <t>FT-03 NAC-02; BR-016; BR-029</t>
        </is>
      </c>
      <c r="E20" s="28" t="inlineStr">
        <is>
          <t>P1</t>
        </is>
      </c>
      <c r="F20" s="32" t="inlineStr">
        <is>
          <t>Order O1 payment status = Paid</t>
        </is>
      </c>
      <c r="G20" s="32" t="inlineStr">
        <is>
          <t>orderService.GenerateSePayQrAsync(O1)</t>
        </is>
      </c>
      <c r="H20" s="32" t="inlineStr">
        <is>
          <t>Throws conflict (maps to HTTP 409): 'This order has already been paid.'
No new QR / no status change</t>
        </is>
      </c>
      <c r="I20" s="35" t="inlineStr">
        <is>
          <t>Yes</t>
        </is>
      </c>
      <c r="J20" s="43" t="inlineStr">
        <is>
          <t>Blocked</t>
        </is>
      </c>
      <c r="K20" s="32" t="n"/>
      <c r="L20" s="46" t="inlineStr">
        <is>
          <t>ℹ Cùng defect GH-05 với L1-REG-07 (GenerateSePayQrAsync không chặn đơn đã Paid) — log CHUNG 1 defect ID, đừng đếm thành 2 lỗi.  |  GenerateSePayQrAsync không chặn đơn đã thanh toán (Paid) — spec gap, đề xuất log defect.</t>
        </is>
      </c>
      <c r="M20" s="43" t="inlineStr">
        <is>
          <t>✅ ĐÃ FIX
OrderService.cs:296-297 throw nếu PaymentStatus=Paid trước khi sinh QR mới -&gt; map 409.</t>
        </is>
      </c>
    </row>
    <row r="21" ht="18" customHeight="1">
      <c r="A21" s="50" t="inlineStr">
        <is>
          <t xml:space="preserve">  ▶  Block: ProcessSePayWebhookAsync()  |  FT-03 AC-02, NAC-01, BV-01/BV-02, BR-06/BR-07</t>
        </is>
      </c>
    </row>
    <row r="22" ht="43.5" customHeight="1">
      <c r="A22" s="26" t="inlineStr">
        <is>
          <t>L1-ORD-14</t>
        </is>
      </c>
      <c r="B22" s="37" t="inlineStr">
        <is>
          <t>Guard-TRUE</t>
        </is>
      </c>
      <c r="C22" s="27" t="inlineStr">
        <is>
          <t>Valid signature + exact amount within 15-min -&gt; Paid, txn ID recorded</t>
        </is>
      </c>
      <c r="D22" s="27" t="inlineStr">
        <is>
          <t>FT-03 AC-02; BV-01; BR-009; NFR-SEC05</t>
        </is>
      </c>
      <c r="E22" s="28" t="inlineStr">
        <is>
          <t>P1</t>
        </is>
      </c>
      <c r="F22" s="27" t="inlineStr">
        <is>
          <t>Order Pending Payment, total 5,000,000; webhook amount = 5,000,000, valid HMAC token; within window</t>
        </is>
      </c>
      <c r="G22" s="27" t="inlineStr">
        <is>
          <t>orderService.ProcessSePayWebhookAsync(payload, validToken)</t>
        </is>
      </c>
      <c r="H22" s="27" t="inlineStr">
        <is>
          <t>Payment status = Paid (locked); external transaction ID stored
Sales notification triggered</t>
        </is>
      </c>
      <c r="I22" s="27" t="inlineStr">
        <is>
          <t>No</t>
        </is>
      </c>
      <c r="J22" s="43" t="inlineStr">
        <is>
          <t>Pass</t>
        </is>
      </c>
      <c r="K22" s="27" t="n"/>
      <c r="L22" s="45" t="n"/>
      <c r="M22" s="43" t="inlineStr">
        <is>
          <t>✅ Pass (không đổi)</t>
        </is>
      </c>
    </row>
    <row r="23" ht="57.75" customHeight="1">
      <c r="A23" s="31" t="inlineStr">
        <is>
          <t>L1-ORD-15</t>
        </is>
      </c>
      <c r="B23" s="37" t="inlineStr">
        <is>
          <t>Guard-FALSE</t>
        </is>
      </c>
      <c r="C23" s="32" t="inlineStr">
        <is>
          <t>Invalid signature/token -&gt; rejected 401, status unchanged, alert logged</t>
        </is>
      </c>
      <c r="D23" s="32" t="inlineStr">
        <is>
          <t>FT-03 NAC-01; NFR-SEC05</t>
        </is>
      </c>
      <c r="E23" s="28" t="inlineStr">
        <is>
          <t>P1</t>
        </is>
      </c>
      <c r="F23" s="32" t="inlineStr">
        <is>
          <t>Order Pending Payment; providedToken = 'WRONG'</t>
        </is>
      </c>
      <c r="G23" s="32" t="inlineStr">
        <is>
          <t>orderService.ProcessSePayWebhookAsync(payload, 'WRONG')</t>
        </is>
      </c>
      <c r="H23" s="32" t="inlineStr">
        <is>
          <t>Throws unauthorized (maps to HTTP 401)
Order status unchanged; security alert logged
No transaction ID stored</t>
        </is>
      </c>
      <c r="I23" s="35" t="inlineStr">
        <is>
          <t>Yes</t>
        </is>
      </c>
      <c r="J23" s="43" t="inlineStr">
        <is>
          <t>Pass</t>
        </is>
      </c>
      <c r="K23" s="32" t="n"/>
      <c r="L23" s="32" t="n"/>
      <c r="M23" s="43" t="inlineStr">
        <is>
          <t>✅ Pass (không đổi)</t>
        </is>
      </c>
    </row>
    <row r="24" ht="30" customHeight="1">
      <c r="A24" s="26" t="inlineStr">
        <is>
          <t>L1-ORD-16</t>
        </is>
      </c>
      <c r="B24" s="37" t="inlineStr">
        <is>
          <t>BVA-Max+1</t>
        </is>
      </c>
      <c r="C24" s="27" t="inlineStr">
        <is>
          <t>Amount = order total + 1 VND -&gt; rejected</t>
        </is>
      </c>
      <c r="D24" s="27" t="inlineStr">
        <is>
          <t>FT-03 NAC-01; BV-01</t>
        </is>
      </c>
      <c r="E24" s="28" t="inlineStr">
        <is>
          <t>P1</t>
        </is>
      </c>
      <c r="F24" s="27" t="inlineStr">
        <is>
          <t>Order total 5,000,000; webhook amount 5,000,001; valid token</t>
        </is>
      </c>
      <c r="G24" s="27" t="inlineStr">
        <is>
          <t>orderService.ProcessSePayWebhookAsync(payload)</t>
        </is>
      </c>
      <c r="H24" s="27" t="inlineStr">
        <is>
          <t>Rejected; status unchanged; alert logged</t>
        </is>
      </c>
      <c r="I24" s="29" t="inlineStr">
        <is>
          <t>Yes</t>
        </is>
      </c>
      <c r="J24" s="43" t="inlineStr">
        <is>
          <t>Pass</t>
        </is>
      </c>
      <c r="K24" s="27" t="n"/>
      <c r="L24" s="27" t="n"/>
      <c r="M24" s="43" t="inlineStr">
        <is>
          <t>✅ Pass (không đổi)</t>
        </is>
      </c>
    </row>
    <row r="25" ht="30" customHeight="1">
      <c r="A25" s="31" t="inlineStr">
        <is>
          <t>L1-ORD-17</t>
        </is>
      </c>
      <c r="B25" s="37" t="inlineStr">
        <is>
          <t>BVA-Min-1</t>
        </is>
      </c>
      <c r="C25" s="32" t="inlineStr">
        <is>
          <t>Amount = order total - 1 VND -&gt; rejected</t>
        </is>
      </c>
      <c r="D25" s="32" t="inlineStr">
        <is>
          <t>FT-03 NAC-01; BV-01</t>
        </is>
      </c>
      <c r="E25" s="28" t="inlineStr">
        <is>
          <t>P1</t>
        </is>
      </c>
      <c r="F25" s="32" t="inlineStr">
        <is>
          <t>Order total 5,000,000; webhook amount 4,999,999; valid token</t>
        </is>
      </c>
      <c r="G25" s="32" t="inlineStr">
        <is>
          <t>orderService.ProcessSePayWebhookAsync(payload)</t>
        </is>
      </c>
      <c r="H25" s="32" t="inlineStr">
        <is>
          <t>Rejected; status unchanged</t>
        </is>
      </c>
      <c r="I25" s="35" t="inlineStr">
        <is>
          <t>Yes</t>
        </is>
      </c>
      <c r="J25" s="43" t="inlineStr">
        <is>
          <t>Pass</t>
        </is>
      </c>
      <c r="K25" s="32" t="n"/>
      <c r="L25" s="32" t="n"/>
      <c r="M25" s="43" t="inlineStr">
        <is>
          <t>✅ Pass (không đổi)</t>
        </is>
      </c>
    </row>
    <row r="26" ht="43.5" customHeight="1">
      <c r="A26" s="26" t="inlineStr">
        <is>
          <t>L1-ORD-18</t>
        </is>
      </c>
      <c r="B26" s="37" t="inlineStr">
        <is>
          <t>EP-Valid</t>
        </is>
      </c>
      <c r="C26" s="27" t="inlineStr">
        <is>
          <t>Duplicate webhook (same txn ID) -&gt; idempotent, not double-applied</t>
        </is>
      </c>
      <c r="D26" s="27" t="inlineStr">
        <is>
          <t>FT-03 NAC-02; BR-029</t>
        </is>
      </c>
      <c r="E26" s="28" t="inlineStr">
        <is>
          <t>P1</t>
        </is>
      </c>
      <c r="F26" s="27" t="inlineStr">
        <is>
          <t>Order already Paid via txn T1; identical webhook re-sent</t>
        </is>
      </c>
      <c r="G26" s="27" t="inlineStr">
        <is>
          <t>orderService.ProcessSePayWebhookAsync(samePayload)</t>
        </is>
      </c>
      <c r="H26" s="27" t="inlineStr">
        <is>
          <t>No state change; no duplicate payment record
No second Sales notification</t>
        </is>
      </c>
      <c r="I26" s="27" t="inlineStr">
        <is>
          <t>No</t>
        </is>
      </c>
      <c r="J26" s="43" t="inlineStr">
        <is>
          <t>Pass</t>
        </is>
      </c>
      <c r="K26" s="27" t="n"/>
      <c r="L26" s="27" t="n"/>
      <c r="M26" s="43" t="inlineStr">
        <is>
          <t>✅ Pass (không đổi)</t>
        </is>
      </c>
    </row>
    <row r="27" ht="43.5" customHeight="1">
      <c r="A27" s="31" t="inlineStr">
        <is>
          <t>L1-ORD-19</t>
        </is>
      </c>
      <c r="B27" s="37" t="inlineStr">
        <is>
          <t>State-Invalid</t>
        </is>
      </c>
      <c r="C27" s="32" t="inlineStr">
        <is>
          <t>Webhook after 15-min expiry / order cancelled -&gt; not applied</t>
        </is>
      </c>
      <c r="D27" s="32" t="inlineStr">
        <is>
          <t>FT-03 NAC-03; BV-01; BR-033</t>
        </is>
      </c>
      <c r="E27" s="28" t="inlineStr">
        <is>
          <t>P1</t>
        </is>
      </c>
      <c r="F27" s="32" t="inlineStr">
        <is>
          <t>Order auto-cancelled at 15:00 timer expiry; late webhook arrives</t>
        </is>
      </c>
      <c r="G27" s="32" t="inlineStr">
        <is>
          <t>orderService.ProcessSePayWebhookAsync(payload)</t>
        </is>
      </c>
      <c r="H27" s="32" t="inlineStr">
        <is>
          <t>Order remains Cancelled (terminal)
Flagged to manual-verification/exception list instead of auto-Paid</t>
        </is>
      </c>
      <c r="I27" s="35" t="inlineStr">
        <is>
          <t>Yes</t>
        </is>
      </c>
      <c r="J27" s="43" t="inlineStr">
        <is>
          <t>Pass</t>
        </is>
      </c>
      <c r="K27" s="32" t="n"/>
      <c r="L27" s="46" t="n"/>
      <c r="M27" s="43" t="inlineStr">
        <is>
          <t>✅ Pass (không đổi)</t>
        </is>
      </c>
    </row>
    <row r="28" ht="18" customHeight="1">
      <c r="A28" s="50" t="inlineStr">
        <is>
          <t xml:space="preserve">  ▶  Block: ConfirmOrderAsync()  |  FT-04 AC-01; 4.4.1</t>
        </is>
      </c>
    </row>
    <row r="29" ht="43.5" customHeight="1">
      <c r="A29" s="26" t="inlineStr">
        <is>
          <t>L1-ORD-20</t>
        </is>
      </c>
      <c r="B29" s="37" t="inlineStr">
        <is>
          <t>State-Valid</t>
        </is>
      </c>
      <c r="C29" s="27" t="inlineStr">
        <is>
          <t>'Order Received' + Paid/COD -&gt; Confirmed, FIFO picking ticket</t>
        </is>
      </c>
      <c r="D29" s="27" t="inlineStr">
        <is>
          <t>FT-05 AC-01; BR-011</t>
        </is>
      </c>
      <c r="E29" s="28" t="inlineStr">
        <is>
          <t>P1</t>
        </is>
      </c>
      <c r="F29" s="27" t="inlineStr">
        <is>
          <t>Order O1 status 'Order Received', payment verified</t>
        </is>
      </c>
      <c r="G29" s="27" t="inlineStr">
        <is>
          <t>orderService.ConfirmOrderAsync(O1, salesStaffId)</t>
        </is>
      </c>
      <c r="H29" s="27" t="inlineStr">
        <is>
          <t>Status = Confirmed; picking ticket created with ascending FIFO sequence
Warehouse queue notified</t>
        </is>
      </c>
      <c r="I29" s="27" t="inlineStr">
        <is>
          <t>No</t>
        </is>
      </c>
      <c r="J29" s="43" t="inlineStr">
        <is>
          <t>Pass</t>
        </is>
      </c>
      <c r="K29" s="27" t="n"/>
      <c r="L29" s="45" t="n"/>
      <c r="M29" s="43" t="inlineStr">
        <is>
          <t>✅ Pass (không đổi)</t>
        </is>
      </c>
    </row>
    <row r="30" ht="43.5" customHeight="1">
      <c r="A30" s="31" t="inlineStr">
        <is>
          <t>L1-ORD-21</t>
        </is>
      </c>
      <c r="B30" s="37" t="inlineStr">
        <is>
          <t>State-Invalid</t>
        </is>
      </c>
      <c r="C30" s="32" t="inlineStr">
        <is>
          <t>Confirm a Cancelled order -&gt; HTTP 409</t>
        </is>
      </c>
      <c r="D30" s="32" t="inlineStr">
        <is>
          <t>FT-05 AC-01; NAC-05</t>
        </is>
      </c>
      <c r="E30" s="28" t="inlineStr">
        <is>
          <t>P1</t>
        </is>
      </c>
      <c r="F30" s="32" t="inlineStr">
        <is>
          <t>Order O1 status = Cancelled</t>
        </is>
      </c>
      <c r="G30" s="32" t="inlineStr">
        <is>
          <t>orderService.ConfirmOrderAsync(O1, staffId)</t>
        </is>
      </c>
      <c r="H30" s="32" t="inlineStr">
        <is>
          <t>Throws conflict (409) 'order is closed'
No status change; no ticket created</t>
        </is>
      </c>
      <c r="I30" s="35" t="inlineStr">
        <is>
          <t>Yes</t>
        </is>
      </c>
      <c r="J30" s="43" t="inlineStr">
        <is>
          <t>Pass</t>
        </is>
      </c>
      <c r="K30" s="32" t="n"/>
      <c r="L30" s="46" t="n"/>
      <c r="M30" s="43" t="inlineStr">
        <is>
          <t>✅ Pass (không đổi)</t>
        </is>
      </c>
    </row>
    <row r="31" ht="18" customHeight="1">
      <c r="A31" s="50" t="inlineStr">
        <is>
          <t xml:space="preserve">  ▶  Block: PlaceDirectOrderAsync() — walk-in  |  FT-08 AC-01..03, NAC-01/02/04, BV-01/02, BR-22/23</t>
        </is>
      </c>
    </row>
    <row r="32" ht="43.5" customHeight="1">
      <c r="A32" s="26" t="inlineStr">
        <is>
          <t>L1-ORD-22</t>
        </is>
      </c>
      <c r="B32" s="37" t="inlineStr">
        <is>
          <t>EP-Valid</t>
        </is>
      </c>
      <c r="C32" s="27" t="inlineStr">
        <is>
          <t>Known phone number -&gt; customer profile auto-filled</t>
        </is>
      </c>
      <c r="D32" s="27" t="inlineStr">
        <is>
          <t>FT-01 AC-03; BR-030</t>
        </is>
      </c>
      <c r="E32" s="28" t="inlineStr">
        <is>
          <t>P1</t>
        </is>
      </c>
      <c r="F32" s="27" t="inlineStr">
        <is>
          <t>CustomerProfile exists for '0912345678'</t>
        </is>
      </c>
      <c r="G32" s="27" t="inlineStr">
        <is>
          <t>orderService.PlaceDirectOrderAsync(req{phone='0912345678'})</t>
        </is>
      </c>
      <c r="H32" s="27" t="inlineStr">
        <is>
          <t>Existing profile reused (name/address auto-filled)
No duplicate profile created</t>
        </is>
      </c>
      <c r="I32" s="27" t="inlineStr">
        <is>
          <t>No</t>
        </is>
      </c>
      <c r="J32" s="43" t="inlineStr">
        <is>
          <t>Pass</t>
        </is>
      </c>
      <c r="K32" s="27" t="n"/>
      <c r="L32" s="45" t="n"/>
      <c r="M32" s="43" t="inlineStr">
        <is>
          <t>✅ Pass (không đổi)</t>
        </is>
      </c>
    </row>
    <row r="33" ht="43.5" customHeight="1">
      <c r="A33" s="31" t="inlineStr">
        <is>
          <t>L1-ORD-23</t>
        </is>
      </c>
      <c r="B33" s="37" t="inlineStr">
        <is>
          <t>EP-Invalid + BVA-Max+1</t>
        </is>
      </c>
      <c r="C33" s="32" t="inlineStr">
        <is>
          <t>Line qty = available stock + 1 -&gt; blocked</t>
        </is>
      </c>
      <c r="D33" s="32" t="inlineStr">
        <is>
          <t>FT-05 NAC-01; BV-02; BR-032</t>
        </is>
      </c>
      <c r="E33" s="28" t="inlineStr">
        <is>
          <t>P1</t>
        </is>
      </c>
      <c r="F33" s="32" t="inlineStr">
        <is>
          <t>Stock P1 = 10</t>
        </is>
      </c>
      <c r="G33" s="32" t="inlineStr">
        <is>
          <t>orderService.PlaceDirectOrderAsync(req{P1, qty=11})</t>
        </is>
      </c>
      <c r="H33" s="32" t="inlineStr">
        <is>
          <t>Rejected: 'Insufficient stock. Available: 10'
No invoice; no stock change</t>
        </is>
      </c>
      <c r="I33" s="35" t="inlineStr">
        <is>
          <t>Yes</t>
        </is>
      </c>
      <c r="J33" s="43" t="inlineStr">
        <is>
          <t>Pass</t>
        </is>
      </c>
      <c r="K33" s="32" t="n"/>
      <c r="L33" s="32" t="n"/>
      <c r="M33" s="43" t="inlineStr">
        <is>
          <t>✅ Pass (không đổi)</t>
        </is>
      </c>
    </row>
    <row r="34" ht="43.5" customHeight="1">
      <c r="A34" s="26" t="inlineStr">
        <is>
          <t>L1-ORD-24</t>
        </is>
      </c>
      <c r="B34" s="37" t="inlineStr">
        <is>
          <t>EP-Invalid</t>
        </is>
      </c>
      <c r="C34" s="27" t="inlineStr">
        <is>
          <t>Invalid phone format ('0912345678a', 9 digits) -&gt; validation error</t>
        </is>
      </c>
      <c r="D34" s="27" t="inlineStr">
        <is>
          <t>FT-01 AC-04; NAC-02; BR-030</t>
        </is>
      </c>
      <c r="E34" s="28" t="inlineStr">
        <is>
          <t>P1</t>
        </is>
      </c>
      <c r="F34" s="27" t="inlineStr">
        <is>
          <t>—</t>
        </is>
      </c>
      <c r="G34" s="27" t="inlineStr">
        <is>
          <t>orderService.PlaceDirectOrderAsync(req{phone='0912345678a'})</t>
        </is>
      </c>
      <c r="H34" s="27" t="inlineStr">
        <is>
          <t>Rejected: 'Invalid phone number format.'
No profile lookup query executed</t>
        </is>
      </c>
      <c r="I34" s="29" t="inlineStr">
        <is>
          <t>Yes</t>
        </is>
      </c>
      <c r="J34" s="43" t="inlineStr">
        <is>
          <t>Blocked</t>
        </is>
      </c>
      <c r="K34" s="27" t="n"/>
      <c r="L34" s="27" t="inlineStr">
        <is>
          <t xml:space="preserve">BE không validate định dạng SĐT trong PlaceDirectOrderAsync (FT-08 NAC-04 chỉ chặn ở FE) </t>
        </is>
      </c>
      <c r="M34" s="43" t="inlineStr">
        <is>
          <t>✅ ĐÃ FIX
OrderService.cs:595-598 validate SĐT bằng regex ^0\d{9}$, throw nếu sai định dạng.</t>
        </is>
      </c>
    </row>
    <row r="35" ht="30" customHeight="1">
      <c r="A35" s="31" t="inlineStr">
        <is>
          <t>L1-ORD-25</t>
        </is>
      </c>
      <c r="B35" s="37" t="inlineStr">
        <is>
          <t>EP-Invalid</t>
        </is>
      </c>
      <c r="C35" s="32" t="inlineStr">
        <is>
          <t>Empty product list -&gt; submission blocked</t>
        </is>
      </c>
      <c r="D35" s="32" t="inlineStr">
        <is>
          <t>FT-01 AC-05; BR-030</t>
        </is>
      </c>
      <c r="E35" s="28" t="inlineStr">
        <is>
          <t>P1</t>
        </is>
      </c>
      <c r="F35" s="32" t="inlineStr">
        <is>
          <t>req.Items = []</t>
        </is>
      </c>
      <c r="G35" s="32" t="inlineStr">
        <is>
          <t>orderService.PlaceDirectOrderAsync(req)</t>
        </is>
      </c>
      <c r="H35" s="32" t="inlineStr">
        <is>
          <t>Rejected; missing fields highlighted; nothing persisted</t>
        </is>
      </c>
      <c r="I35" s="35" t="inlineStr">
        <is>
          <t>Yes</t>
        </is>
      </c>
      <c r="J35" s="43" t="inlineStr">
        <is>
          <t>Pass</t>
        </is>
      </c>
      <c r="K35" s="32" t="n"/>
      <c r="L35" s="32" t="n"/>
      <c r="M35" s="43" t="inlineStr">
        <is>
          <t>✅ Pass (không đổi)</t>
        </is>
      </c>
    </row>
    <row r="36" ht="43.5" customHeight="1">
      <c r="A36" s="26" t="inlineStr">
        <is>
          <t>L1-ORD-26</t>
        </is>
      </c>
      <c r="B36" s="37" t="inlineStr">
        <is>
          <t>EP-Valid</t>
        </is>
      </c>
      <c r="C36" s="27" t="inlineStr">
        <is>
          <t>Confirm -&gt; atomic: invoice + purchase history + stock deduction</t>
        </is>
      </c>
      <c r="D36" s="27" t="inlineStr">
        <is>
          <t>FT-05 AC-02; BR-032; NFR-A05</t>
        </is>
      </c>
      <c r="E36" s="28" t="inlineStr">
        <is>
          <t>P1</t>
        </is>
      </c>
      <c r="F36" s="27" t="inlineStr">
        <is>
          <t>Stock P1 = 10; req{P1, qty=4}</t>
        </is>
      </c>
      <c r="G36" s="27" t="inlineStr">
        <is>
          <t>orderService.PlaceDirectOrderAsync(req)</t>
        </is>
      </c>
      <c r="H36" s="27" t="inlineStr">
        <is>
          <t>Invoice persisted; customer history appended; stock P1 = 6
All three in one transaction (verify rollback on forced failure)</t>
        </is>
      </c>
      <c r="I36" s="27" t="inlineStr">
        <is>
          <t>No</t>
        </is>
      </c>
      <c r="J36" s="43" t="inlineStr">
        <is>
          <t>Pass</t>
        </is>
      </c>
      <c r="K36" s="27" t="n"/>
      <c r="L36" s="27" t="n"/>
      <c r="M36" s="43" t="inlineStr">
        <is>
          <t>✅ Pass (không đổi)</t>
        </is>
      </c>
    </row>
    <row r="37" ht="30" customHeight="1">
      <c r="A37" s="31" t="inlineStr">
        <is>
          <t>L1-ORD-27</t>
        </is>
      </c>
      <c r="B37" s="37" t="inlineStr">
        <is>
          <t>BVA-Max</t>
        </is>
      </c>
      <c r="C37" s="32" t="inlineStr">
        <is>
          <t>Line qty = available stock exactly -&gt; allowed, stock becomes 0</t>
        </is>
      </c>
      <c r="D37" s="32" t="inlineStr">
        <is>
          <t>FT-05 BV-01; BR-032</t>
        </is>
      </c>
      <c r="E37" s="28" t="inlineStr">
        <is>
          <t>P1</t>
        </is>
      </c>
      <c r="F37" s="32" t="inlineStr">
        <is>
          <t>Stock P1 = 10</t>
        </is>
      </c>
      <c r="G37" s="32" t="inlineStr">
        <is>
          <t>orderService.PlaceDirectOrderAsync(req{P1, qty=10})</t>
        </is>
      </c>
      <c r="H37" s="32" t="inlineStr">
        <is>
          <t>Invoice created; stock P1 = 0 (not negative)</t>
        </is>
      </c>
      <c r="I37" s="32" t="inlineStr">
        <is>
          <t>No</t>
        </is>
      </c>
      <c r="J37" s="43" t="inlineStr">
        <is>
          <t>Pass</t>
        </is>
      </c>
      <c r="K37" s="32" t="n"/>
      <c r="L37" s="32" t="n"/>
      <c r="M37" s="43" t="inlineStr">
        <is>
          <t>✅ Pass (không đổi)</t>
        </is>
      </c>
    </row>
    <row r="38" ht="18" customHeight="1">
      <c r="A38" s="50" t="inlineStr">
        <is>
          <t xml:space="preserve">  ▶  Block: RequestVatInvoiceAsync()  |  FT-06 NAC-01; BR-15</t>
        </is>
      </c>
    </row>
    <row r="39" ht="43.5" customHeight="1">
      <c r="A39" s="26" t="inlineStr">
        <is>
          <t>L1-ORD-28</t>
        </is>
      </c>
      <c r="B39" s="37" t="inlineStr">
        <is>
          <t>BVA-Max+1</t>
        </is>
      </c>
      <c r="C39" s="27" t="inlineStr">
        <is>
          <t>Request at 169h (7d + 1h) after delivery -&gt; blocked</t>
        </is>
      </c>
      <c r="D39" s="27" t="inlineStr">
        <is>
          <t>(chờ xác nhận) FT-01 AC-03</t>
        </is>
      </c>
      <c r="E39" s="28" t="inlineStr">
        <is>
          <t>P1</t>
        </is>
      </c>
      <c r="F39" s="27" t="inlineStr">
        <is>
          <t>Order Delivered at NOW - 169h (mock time)</t>
        </is>
      </c>
      <c r="G39" s="27" t="inlineStr">
        <is>
          <t>orderService.RequestVatInvoiceAsync(U1, O1)</t>
        </is>
      </c>
      <c r="H39" s="27" t="inlineStr">
        <is>
          <t>Rejected: 'VAT invoice requests must be made within 7 days of delivery.'
No VAT request record created</t>
        </is>
      </c>
      <c r="I39" s="29" t="inlineStr">
        <is>
          <t>Yes</t>
        </is>
      </c>
      <c r="J39" s="43" t="inlineStr">
        <is>
          <t>Pass</t>
        </is>
      </c>
      <c r="K39" s="27" t="n"/>
      <c r="L39" s="45" t="n"/>
      <c r="M39" s="43" t="inlineStr">
        <is>
          <t>✅ Pass (không đổi)</t>
        </is>
      </c>
    </row>
    <row r="40" ht="46.5" customHeight="1">
      <c r="A40" s="31" t="inlineStr">
        <is>
          <t>L1-ORD-29</t>
        </is>
      </c>
      <c r="B40" s="37" t="inlineStr">
        <is>
          <t>BVA-Max</t>
        </is>
      </c>
      <c r="C40" s="32" t="inlineStr">
        <is>
          <t>Request at 167h59m after delivery -&gt; accepted (within 168h window)</t>
        </is>
      </c>
      <c r="D40" s="32" t="inlineStr">
        <is>
          <t>(chờ xác nhận) FT-01 AC-03</t>
        </is>
      </c>
      <c r="E40" s="28" t="inlineStr">
        <is>
          <t>P1</t>
        </is>
      </c>
      <c r="F40" s="32" t="inlineStr">
        <is>
          <t>Đơn O1 đã Delivered; khách có MST</t>
        </is>
      </c>
      <c r="G40" s="32" t="inlineStr">
        <is>
          <t>orderService.RequestVatInvoiceAsync(U1, O1)</t>
        </is>
      </c>
      <c r="H40" s="32" t="inlineStr">
        <is>
          <t>CHƯA CHỐT ĐƯỢC KỲ VỌNG: SRS v2 Part 3 không định nghĩa thuế suất, quy tắc làm tròn, hay cửa sổ thời gian
Tạm assert: yêu cầu VAT được ghi nhận, RedInvoiceStatus = Pending</t>
        </is>
      </c>
      <c r="I40" s="32" t="inlineStr">
        <is>
          <t>Yes</t>
        </is>
      </c>
      <c r="J40" s="43" t="inlineStr">
        <is>
          <t>Pass</t>
        </is>
      </c>
      <c r="K40" s="32" t="n"/>
      <c r="L40" s="46" t="n"/>
      <c r="M40" s="43" t="inlineStr">
        <is>
          <t>✅ Pass (không đổi)</t>
        </is>
      </c>
    </row>
    <row r="41" ht="30" customHeight="1">
      <c r="A41" s="26" t="inlineStr">
        <is>
          <t>L1-ORD-30</t>
        </is>
      </c>
      <c r="B41" s="37" t="inlineStr">
        <is>
          <t>State-Invalid</t>
        </is>
      </c>
      <c r="C41" s="27" t="inlineStr">
        <is>
          <t>Order not yet Delivered -&gt; VAT request rejected</t>
        </is>
      </c>
      <c r="D41" s="27" t="inlineStr">
        <is>
          <t>(chờ xác nhận) FT-01 AC-03</t>
        </is>
      </c>
      <c r="E41" s="34" t="inlineStr">
        <is>
          <t>P2</t>
        </is>
      </c>
      <c r="F41" s="27" t="inlineStr">
        <is>
          <t>Order status = In Delivery</t>
        </is>
      </c>
      <c r="G41" s="27" t="inlineStr">
        <is>
          <t>orderService.RequestVatInvoiceAsync(U1, O1)</t>
        </is>
      </c>
      <c r="H41" s="27" t="inlineStr">
        <is>
          <t>Rejected; no request record</t>
        </is>
      </c>
      <c r="I41" s="29" t="inlineStr">
        <is>
          <t>Yes</t>
        </is>
      </c>
      <c r="J41" s="43" t="inlineStr">
        <is>
          <t>Pass</t>
        </is>
      </c>
      <c r="K41" s="27" t="n"/>
      <c r="L41" s="45" t="n"/>
      <c r="M41" s="43" t="inlineStr">
        <is>
          <t>✅ Pass (không đổi)</t>
        </is>
      </c>
    </row>
    <row r="42" ht="18" customHeight="1">
      <c r="A42" s="50" t="inlineStr">
        <is>
          <t xml:space="preserve">  ▶  Block: GetOrderHistoryAsync() / GetOrderDetailForCustomerAsync()</t>
        </is>
      </c>
    </row>
    <row r="43" ht="30" customHeight="1">
      <c r="A43" s="26" t="inlineStr">
        <is>
          <t>L1-ORD-31</t>
        </is>
      </c>
      <c r="B43" s="37" t="inlineStr">
        <is>
          <t>EP-Invalid</t>
        </is>
      </c>
      <c r="C43" s="27" t="inlineStr">
        <is>
          <t>Customer requests another customer's order detail -&gt; not found/forbidden</t>
        </is>
      </c>
      <c r="D43" s="27" t="inlineStr">
        <is>
          <t>FT-01 NAC-05; NFR-SEC03</t>
        </is>
      </c>
      <c r="E43" s="28" t="inlineStr">
        <is>
          <t>P1</t>
        </is>
      </c>
      <c r="F43" s="27" t="inlineStr">
        <is>
          <t>Order O9 belongs to customer U9</t>
        </is>
      </c>
      <c r="G43" s="27" t="inlineStr">
        <is>
          <t>orderService.GetOrderDetailForCustomerAsync(U1, O9)</t>
        </is>
      </c>
      <c r="H43" s="27" t="inlineStr">
        <is>
          <t>Throws not-found/forbidden; no data leaked</t>
        </is>
      </c>
      <c r="I43" s="29" t="inlineStr">
        <is>
          <t>Yes</t>
        </is>
      </c>
      <c r="J43" s="43" t="inlineStr">
        <is>
          <t>Pass</t>
        </is>
      </c>
      <c r="K43" s="27" t="n"/>
      <c r="L43" s="27" t="n"/>
      <c r="M43" s="43" t="inlineStr">
        <is>
          <t>✅ Pass (không đổi)</t>
        </is>
      </c>
    </row>
    <row r="44" ht="30" customHeight="1">
      <c r="A44" s="31" t="inlineStr">
        <is>
          <t>L1-ORD-32</t>
        </is>
      </c>
      <c r="B44" s="37" t="inlineStr">
        <is>
          <t>EP-Valid</t>
        </is>
      </c>
      <c r="C44" s="32" t="inlineStr">
        <is>
          <t>History returns only the caller's orders, paged</t>
        </is>
      </c>
      <c r="D44" s="32" t="inlineStr">
        <is>
          <t>FT-01 AC-05</t>
        </is>
      </c>
      <c r="E44" s="36" t="inlineStr">
        <is>
          <t>P2</t>
        </is>
      </c>
      <c r="F44" s="32" t="inlineStr">
        <is>
          <t>U1 has 3 orders; U9 has 2</t>
        </is>
      </c>
      <c r="G44" s="32" t="inlineStr">
        <is>
          <t>orderService.GetOrderHistoryAsync(U1, query{page=1})</t>
        </is>
      </c>
      <c r="H44" s="32" t="inlineStr">
        <is>
          <t>Result contains exactly U1's 3 orders; TotalCount = 3</t>
        </is>
      </c>
      <c r="I44" s="32" t="inlineStr">
        <is>
          <t>No</t>
        </is>
      </c>
      <c r="J44" s="43" t="inlineStr">
        <is>
          <t>Pass</t>
        </is>
      </c>
      <c r="K44" s="32" t="n"/>
      <c r="L44" s="32" t="n"/>
      <c r="M44" s="43" t="inlineStr">
        <is>
          <t>✅ Pass (không đổi)</t>
        </is>
      </c>
    </row>
    <row r="45" ht="18" customHeight="1">
      <c r="A45" s="50" t="inlineStr">
        <is>
          <t xml:space="preserve">  ▶  Block: RejectOrderAsync() / RequestCancelOrderAsync() / ProcessCancelRequestAsync()  |  cancellation flows</t>
        </is>
      </c>
    </row>
    <row r="46" ht="43.5" customHeight="1">
      <c r="A46" s="26" t="inlineStr">
        <is>
          <t>L1-ORD-33</t>
        </is>
      </c>
      <c r="B46" s="37" t="inlineStr">
        <is>
          <t>State-Valid</t>
        </is>
      </c>
      <c r="C46" s="27" t="inlineStr">
        <is>
          <t>Sales rejects 'Order Received' with reason -&gt; order closed, customer notified</t>
        </is>
      </c>
      <c r="D46" s="27" t="inlineStr">
        <is>
          <t>FT-08 AC-01; BR-017</t>
        </is>
      </c>
      <c r="E46" s="34" t="inlineStr">
        <is>
          <t>P2</t>
        </is>
      </c>
      <c r="F46" s="27" t="inlineStr">
        <is>
          <t>Order O1 'Order Received'; reason provided</t>
        </is>
      </c>
      <c r="G46" s="27" t="inlineStr">
        <is>
          <t>orderService.RejectOrderAsync(O1, staffId, 'out of stock')</t>
        </is>
      </c>
      <c r="H46" s="27" t="inlineStr">
        <is>
          <t>Order moved to rejected/cancelled terminal state; reason stored
Customer notification created; reserved stock released</t>
        </is>
      </c>
      <c r="I46" s="27" t="inlineStr">
        <is>
          <t>No</t>
        </is>
      </c>
      <c r="J46" s="43" t="inlineStr">
        <is>
          <t>Pass</t>
        </is>
      </c>
      <c r="K46" s="27" t="n"/>
      <c r="L46" s="45" t="n"/>
      <c r="M46" s="43" t="inlineStr">
        <is>
          <t>✅ Pass (không đổi)</t>
        </is>
      </c>
    </row>
    <row r="47" ht="40.5" customHeight="1">
      <c r="A47" s="31" t="inlineStr">
        <is>
          <t>L1-ORD-34</t>
        </is>
      </c>
      <c r="B47" s="37" t="inlineStr">
        <is>
          <t>EP-Invalid</t>
        </is>
      </c>
      <c r="C47" s="32" t="inlineStr">
        <is>
          <t>Reject without a reason -&gt; validation error</t>
        </is>
      </c>
      <c r="D47" s="32" t="inlineStr">
        <is>
          <t>FT-08 AC-01</t>
        </is>
      </c>
      <c r="E47" s="36" t="inlineStr">
        <is>
          <t>P2</t>
        </is>
      </c>
      <c r="F47" s="32" t="inlineStr">
        <is>
          <t>Order O1 'Order Received'</t>
        </is>
      </c>
      <c r="G47" s="32" t="inlineStr">
        <is>
          <t>orderService.RejectOrderAsync(O1, staffId, '')</t>
        </is>
      </c>
      <c r="H47" s="32" t="inlineStr">
        <is>
          <t>Rejected: reason required; status unchanged</t>
        </is>
      </c>
      <c r="I47" s="35" t="inlineStr">
        <is>
          <t>Yes</t>
        </is>
      </c>
      <c r="J47" s="43" t="inlineStr">
        <is>
          <t>Blocked</t>
        </is>
      </c>
      <c r="K47" s="32" t="n"/>
      <c r="L47" s="32" t="inlineStr">
        <is>
          <t>RejectOrderAsync không bắt buộc lý do (reason bị bỏ qua, không lưu) — spec gap FT-04 NAC-04, đề xuất log defect</t>
        </is>
      </c>
      <c r="M47" s="43" t="inlineStr">
        <is>
          <t>✅ ĐÃ FIX
OrderService.cs:1742-1745 throw nếu reason rỗng; lưu vào order.CancelReason (1765).</t>
        </is>
      </c>
    </row>
    <row r="48" ht="43.5" customHeight="1">
      <c r="A48" s="26" t="inlineStr">
        <is>
          <t>L1-ORD-35</t>
        </is>
      </c>
      <c r="B48" s="37" t="inlineStr">
        <is>
          <t>State-Valid</t>
        </is>
      </c>
      <c r="C48" s="27" t="inlineStr">
        <is>
          <t>Customer requests cancellation while order still 'Order Received' -&gt; request recorded</t>
        </is>
      </c>
      <c r="D48" s="27" t="inlineStr">
        <is>
          <t>FT-08 AC-01; BR-017</t>
        </is>
      </c>
      <c r="E48" s="34" t="inlineStr">
        <is>
          <t>P2</t>
        </is>
      </c>
      <c r="F48" s="27" t="inlineStr">
        <is>
          <t>Order O1 'Order Received', owner U1</t>
        </is>
      </c>
      <c r="G48" s="27" t="inlineStr">
        <is>
          <t>orderService.RequestCancelOrderAsync(O1, U1, req{reason})</t>
        </is>
      </c>
      <c r="H48" s="27" t="inlineStr">
        <is>
          <t>Cancel request persisted, pending Sales decision
Sales notified; order not yet cancelled</t>
        </is>
      </c>
      <c r="I48" s="27" t="inlineStr">
        <is>
          <t>No</t>
        </is>
      </c>
      <c r="J48" s="43" t="inlineStr">
        <is>
          <t>Pass</t>
        </is>
      </c>
      <c r="K48" s="27" t="n"/>
      <c r="L48" s="27" t="n"/>
      <c r="M48" s="43" t="inlineStr">
        <is>
          <t>✅ Pass (không đổi)</t>
        </is>
      </c>
    </row>
    <row r="49" ht="30" customHeight="1">
      <c r="A49" s="31" t="inlineStr">
        <is>
          <t>L1-ORD-36</t>
        </is>
      </c>
      <c r="B49" s="37" t="inlineStr">
        <is>
          <t>State-Invalid</t>
        </is>
      </c>
      <c r="C49" s="32" t="inlineStr">
        <is>
          <t>Cancel request on an order already In Delivery -&gt; rejected</t>
        </is>
      </c>
      <c r="D49" s="32" t="inlineStr">
        <is>
          <t>FT-08 AC-01; NAC-05</t>
        </is>
      </c>
      <c r="E49" s="28" t="inlineStr">
        <is>
          <t>P1</t>
        </is>
      </c>
      <c r="F49" s="32" t="inlineStr">
        <is>
          <t>Order O1 'In Delivery'</t>
        </is>
      </c>
      <c r="G49" s="32" t="inlineStr">
        <is>
          <t>orderService.RequestCancelOrderAsync(O1, U1, req)</t>
        </is>
      </c>
      <c r="H49" s="32" t="inlineStr">
        <is>
          <t>Throws conflict; no cancel request created</t>
        </is>
      </c>
      <c r="I49" s="35" t="inlineStr">
        <is>
          <t>Yes</t>
        </is>
      </c>
      <c r="J49" s="43" t="inlineStr">
        <is>
          <t>Pass</t>
        </is>
      </c>
      <c r="K49" s="32" t="n"/>
      <c r="L49" s="32" t="n"/>
      <c r="M49" s="43" t="inlineStr">
        <is>
          <t>✅ Pass (không đổi)</t>
        </is>
      </c>
    </row>
    <row r="50" ht="43.5" customHeight="1">
      <c r="A50" s="26" t="inlineStr">
        <is>
          <t>L1-ORD-37</t>
        </is>
      </c>
      <c r="B50" s="37" t="inlineStr">
        <is>
          <t>State-Valid</t>
        </is>
      </c>
      <c r="C50" s="27" t="inlineStr">
        <is>
          <t>Sales approves cancel request -&gt; order Cancelled, reserved stock released</t>
        </is>
      </c>
      <c r="D50" s="27" t="inlineStr">
        <is>
          <t>FT-08 AC-01; BR-017</t>
        </is>
      </c>
      <c r="E50" s="28" t="inlineStr">
        <is>
          <t>P1</t>
        </is>
      </c>
      <c r="F50" s="27" t="inlineStr">
        <is>
          <t>Order O1 with pending cancel request</t>
        </is>
      </c>
      <c r="G50" s="27" t="inlineStr">
        <is>
          <t>orderService.ProcessCancelRequestAsync(O1, staffId, req{approve=true})</t>
        </is>
      </c>
      <c r="H50" s="27" t="inlineStr">
        <is>
          <t>Order Status = Cancelled (terminal); stock reservation released
Customer notified of outcome</t>
        </is>
      </c>
      <c r="I50" s="27" t="inlineStr">
        <is>
          <t>No</t>
        </is>
      </c>
      <c r="J50" s="43" t="inlineStr">
        <is>
          <t>Pass</t>
        </is>
      </c>
      <c r="K50" s="27" t="n"/>
      <c r="L50" s="27" t="n"/>
      <c r="M50" s="43" t="inlineStr">
        <is>
          <t>✅ Pass (không đổi)</t>
        </is>
      </c>
    </row>
    <row r="51" ht="18" customHeight="1">
      <c r="A51" s="50" t="inlineStr">
        <is>
          <t xml:space="preserve">  ▶  Block: ScheduleDeliveryAsync()  |  FT-04 AC-03, NAC-01, BV-01; BR-10</t>
        </is>
      </c>
    </row>
    <row r="52" ht="46.5" customHeight="1">
      <c r="A52" s="26" t="inlineStr">
        <is>
          <t>L1-ORD-38</t>
        </is>
      </c>
      <c r="B52" s="37" t="inlineStr">
        <is>
          <t>State-Valid</t>
        </is>
      </c>
      <c r="C52" s="27" t="inlineStr">
        <is>
          <t>Packed + free vehicle/shift -&gt; In Delivery + SMS/Email to customer</t>
        </is>
      </c>
      <c r="D52" s="27" t="inlineStr">
        <is>
          <t>FT-07 AC-01; BV-01; BR-037</t>
        </is>
      </c>
      <c r="E52" s="28" t="inlineStr">
        <is>
          <t>P1</t>
        </is>
      </c>
      <c r="F52" s="27" t="inlineStr">
        <is>
          <t>Đơn O1: FulfillmentStatus = HandedOver (8), DeliveryStatus = NotScheduled (0)
Xe V1 active, ca Morning còn trống</t>
        </is>
      </c>
      <c r="G52" s="27" t="inlineStr">
        <is>
          <t>orderService.ScheduleDeliveryAsync(staffId, dto{O1, vehicleId, shift})</t>
        </is>
      </c>
      <c r="H52" s="27" t="inlineStr">
        <is>
          <t>DeliveryStatus = Scheduled (1)
Ghi nhận xe + ca + ngày; khách nhận thông báo</t>
        </is>
      </c>
      <c r="I52" s="27" t="inlineStr">
        <is>
          <t>No</t>
        </is>
      </c>
      <c r="J52" s="43" t="inlineStr">
        <is>
          <t>Pass</t>
        </is>
      </c>
      <c r="K52" s="27" t="n"/>
      <c r="L52" s="45" t="n"/>
      <c r="M52" s="43" t="inlineStr">
        <is>
          <t>✅ Pass (không đổi)</t>
        </is>
      </c>
    </row>
    <row r="53" ht="43.5" customHeight="1">
      <c r="A53" s="31" t="inlineStr">
        <is>
          <t>L1-ORD-39</t>
        </is>
      </c>
      <c r="B53" s="37" t="inlineStr">
        <is>
          <t>EP-Invalid</t>
        </is>
      </c>
      <c r="C53" s="32" t="inlineStr">
        <is>
          <t>Chosen vehicle/shift at max capacity -&gt; blocked with 'fully booked' error</t>
        </is>
      </c>
      <c r="D53" s="32" t="inlineStr">
        <is>
          <t>FT-07 NAC-01; BV-01; BR-037</t>
        </is>
      </c>
      <c r="E53" s="28" t="inlineStr">
        <is>
          <t>P1</t>
        </is>
      </c>
      <c r="F53" s="32" t="inlineStr">
        <is>
          <t>V1/Morning already at configured max load</t>
        </is>
      </c>
      <c r="G53" s="32" t="inlineStr">
        <is>
          <t>orderService.ScheduleDeliveryAsync(staffId, dto{O1, V1, Morning})</t>
        </is>
      </c>
      <c r="H53" s="32" t="inlineStr">
        <is>
          <t>Rejected: 'Selected shift/vehicle is fully booked. Please choose an alternative.'
No assignment persisted; status unchanged</t>
        </is>
      </c>
      <c r="I53" s="35" t="inlineStr">
        <is>
          <t>Yes</t>
        </is>
      </c>
      <c r="J53" s="43" t="inlineStr">
        <is>
          <t>Pass</t>
        </is>
      </c>
      <c r="K53" s="32" t="n"/>
      <c r="L53" s="32" t="n"/>
      <c r="M53" s="43" t="inlineStr">
        <is>
          <t>✅ Pass (không đổi)</t>
        </is>
      </c>
    </row>
    <row r="54" ht="43.5" customHeight="1">
      <c r="A54" s="26" t="inlineStr">
        <is>
          <t>L1-ORD-40</t>
        </is>
      </c>
      <c r="B54" s="37" t="inlineStr">
        <is>
          <t>BVA-Max / BVA-Max+1</t>
        </is>
      </c>
      <c r="C54" s="27" t="inlineStr">
        <is>
          <t>Vehicle 5 assignable; vehicle id #6 (non-existent fleet slot) rejected</t>
        </is>
      </c>
      <c r="D54" s="27" t="inlineStr">
        <is>
          <t>FT-07 BV-01; BR-037</t>
        </is>
      </c>
      <c r="E54" s="28" t="inlineStr">
        <is>
          <t>P1</t>
        </is>
      </c>
      <c r="F54" s="27" t="inlineStr">
        <is>
          <t>Fleet = exactly 5 vehicles, 3 shifts ([Theory] both points)</t>
        </is>
      </c>
      <c r="G54" s="27" t="inlineStr">
        <is>
          <t>ScheduleDeliveryAsync with 5th vehicle, then a 6th vehicle id</t>
        </is>
      </c>
      <c r="H54" s="27" t="inlineStr">
        <is>
          <t>5th vehicle: assignment succeeds
6th vehicle: rejected — fleet is fixed at 5</t>
        </is>
      </c>
      <c r="I54" s="29" t="inlineStr">
        <is>
          <t>Yes</t>
        </is>
      </c>
      <c r="J54" s="43" t="inlineStr">
        <is>
          <t>Pass</t>
        </is>
      </c>
      <c r="K54" s="27" t="n"/>
      <c r="L54" s="27" t="n"/>
      <c r="M54" s="43" t="inlineStr">
        <is>
          <t>✅ Pass (không đổi)</t>
        </is>
      </c>
    </row>
    <row r="55" ht="30" customHeight="1">
      <c r="A55" s="31" t="inlineStr">
        <is>
          <t>L1-ORD-41</t>
        </is>
      </c>
      <c r="B55" s="37" t="inlineStr">
        <is>
          <t>EP-Invalid</t>
        </is>
      </c>
      <c r="C55" s="32" t="inlineStr">
        <is>
          <t>Shift value outside {Morning, Midday, Afternoon} -&gt; validation error</t>
        </is>
      </c>
      <c r="D55" s="32" t="inlineStr">
        <is>
          <t>FT-07 NAC-01; BV-01</t>
        </is>
      </c>
      <c r="E55" s="36" t="inlineStr">
        <is>
          <t>P2</t>
        </is>
      </c>
      <c r="F55" s="32" t="inlineStr">
        <is>
          <t>—</t>
        </is>
      </c>
      <c r="G55" s="32" t="inlineStr">
        <is>
          <t>orderService.ScheduleDeliveryAsync(staffId, dto{shift='Night'})</t>
        </is>
      </c>
      <c r="H55" s="32" t="inlineStr">
        <is>
          <t>Rejected; no assignment</t>
        </is>
      </c>
      <c r="I55" s="35" t="inlineStr">
        <is>
          <t>Yes</t>
        </is>
      </c>
      <c r="J55" s="43" t="inlineStr">
        <is>
          <t>Pass</t>
        </is>
      </c>
      <c r="K55" s="32" t="n"/>
      <c r="L55" s="32" t="n"/>
      <c r="M55" s="43" t="inlineStr">
        <is>
          <t>✅ Pass (không đổi)</t>
        </is>
      </c>
    </row>
    <row r="56" ht="18" customHeight="1">
      <c r="A56" s="50" t="inlineStr">
        <is>
          <t xml:space="preserve">  ▶  Block: RecordDeliveryResultAsync()  |  FT-04 AC-04, NAC-02, NAC-04; 4.4.1 rows 9-10; BR-11/BR-31</t>
        </is>
      </c>
    </row>
    <row r="57" ht="33.75" customHeight="1">
      <c r="A57" s="26" t="inlineStr">
        <is>
          <t>L1-ORD-42</t>
        </is>
      </c>
      <c r="B57" s="37" t="inlineStr">
        <is>
          <t>State-Valid</t>
        </is>
      </c>
      <c r="C57" s="27" t="inlineStr">
        <is>
          <t>COD: collected amount == total -&gt; Paid + debt ledger + Delivered</t>
        </is>
      </c>
      <c r="D57" s="27" t="inlineStr">
        <is>
          <t>FT-07 AC-04; BV-02; BR-039</t>
        </is>
      </c>
      <c r="E57" s="28" t="inlineStr">
        <is>
          <t>P1</t>
        </is>
      </c>
      <c r="F57" s="27" t="inlineStr">
        <is>
          <t>Đơn O1 DeliveryStatus = InDelivery (2), PaymentMethod = COD, PaymentStatus = Unpaid, tổng 5.000.000đ</t>
        </is>
      </c>
      <c r="G57" s="27" t="inlineStr">
        <is>
          <t>orderService.RecordDeliveryResultAsync(O1, staffId, dto{collected: 5_000_000, signed:true})</t>
        </is>
      </c>
      <c r="H57" s="27" t="inlineStr">
        <is>
          <t>PaymentStatus = Paid (2); DeliveryStatus = Delivered (3); OrderStatus = Completed (5)</t>
        </is>
      </c>
      <c r="I57" s="27" t="inlineStr">
        <is>
          <t>No</t>
        </is>
      </c>
      <c r="J57" s="43" t="inlineStr">
        <is>
          <t>Pass</t>
        </is>
      </c>
      <c r="K57" s="27" t="n"/>
      <c r="L57" s="45" t="n"/>
      <c r="M57" s="43" t="inlineStr">
        <is>
          <t>✅ Pass (không đổi)</t>
        </is>
      </c>
    </row>
    <row r="58" ht="58.5" customHeight="1">
      <c r="A58" s="31" t="inlineStr">
        <is>
          <t>L1-ORD-43</t>
        </is>
      </c>
      <c r="B58" s="37" t="inlineStr">
        <is>
          <t>EP-Invalid</t>
        </is>
      </c>
      <c r="C58" s="32" t="inlineStr">
        <is>
          <t>Cash collection attempted on SePay-paid order -&gt; 'Duplicate Collection Attempt' block</t>
        </is>
      </c>
      <c r="D58" s="32" t="inlineStr">
        <is>
          <t>FT-07 NAC-04; BR-016; BR-039</t>
        </is>
      </c>
      <c r="E58" s="28" t="inlineStr">
        <is>
          <t>P1</t>
        </is>
      </c>
      <c r="F58" s="32" t="inlineStr">
        <is>
          <t>Đơn O1 DeliveryStatus = InDelivery, PaymentStatus = Paid (đã trả qua SePay)</t>
        </is>
      </c>
      <c r="G58" s="32" t="inlineStr">
        <is>
          <t>orderService.RecordDeliveryResultAsync(O1, staffId, dto{collected: 5_000_000})</t>
        </is>
      </c>
      <c r="H58" s="32" t="inlineStr">
        <is>
          <t>Từ chối thu tiền; PaymentStatus vẫn Paid; không tạo giao dịch thu thứ 2</t>
        </is>
      </c>
      <c r="I58" s="35" t="inlineStr">
        <is>
          <t>Yes</t>
        </is>
      </c>
      <c r="J58" s="43" t="inlineStr">
        <is>
          <t>Blocked</t>
        </is>
      </c>
      <c r="K58" s="32" t="n"/>
      <c r="L58" s="47" t="inlineStr">
        <is>
          <t xml:space="preserve">RecordDeliveryResultAsync không chặn thu tiền COD trên đơn đã Paid qua SePay (FT-04 NAC-02) </t>
        </is>
      </c>
      <c r="M58" s="43" t="inlineStr">
        <is>
          <t>✅ ĐÃ FIX
OrderService.cs:2165-2166 throw nếu PaymentStatus=Paid và AmountCollected&gt;0.</t>
        </is>
      </c>
    </row>
    <row r="59" ht="59.25" customHeight="1">
      <c r="A59" s="26" t="inlineStr">
        <is>
          <t>L1-ORD-44</t>
        </is>
      </c>
      <c r="B59" s="37" t="inlineStr">
        <is>
          <t>State-Invalid</t>
        </is>
      </c>
      <c r="C59" s="27" t="inlineStr">
        <is>
          <t>Customer rejected but staff marks Delivered WITHOUT reason code -&gt; forced to select reason</t>
        </is>
      </c>
      <c r="D59" s="27" t="inlineStr">
        <is>
          <t>FT-07 NAC-03; BR-038</t>
        </is>
      </c>
      <c r="E59" s="28" t="inlineStr">
        <is>
          <t>P1</t>
        </is>
      </c>
      <c r="F59" s="27" t="inlineStr">
        <is>
          <t>Order O1 In Delivery; dto.rejected=true, reasonCode=null</t>
        </is>
      </c>
      <c r="G59" s="27" t="inlineStr">
        <is>
          <t>orderService.RecordDeliveryResultAsync(O1, staffId, dto)</t>
        </is>
      </c>
      <c r="H59" s="27" t="inlineStr">
        <is>
          <t>Rejected (maps to 422): 'Delivery Issue' reason code mandatory
Status unchanged</t>
        </is>
      </c>
      <c r="I59" s="29" t="inlineStr">
        <is>
          <t>Yes</t>
        </is>
      </c>
      <c r="J59" s="43" t="inlineStr">
        <is>
          <t>Blocked</t>
        </is>
      </c>
      <c r="K59" s="27" t="n"/>
      <c r="L59" s="44" t="inlineStr">
        <is>
          <t>RecordDeliveryResultAsync chỉ nhận outcome delivered/partially_delivered/failed, không có reason code bắt buộc (FT-04 NAC-04/BR-31) — spec gap.</t>
        </is>
      </c>
      <c r="M59" s="43" t="inlineStr">
        <is>
          <t>✅ ĐÃ FIX
OrderService.cs:2169-2170 bắt buộc RejectionReasonCode khi CustomerRejected=true; lưu ở 2268-2269.</t>
        </is>
      </c>
    </row>
    <row r="60" ht="46.5" customHeight="1">
      <c r="A60" s="31" t="inlineStr">
        <is>
          <t>L1-ORD-45</t>
        </is>
      </c>
      <c r="B60" s="37" t="inlineStr">
        <is>
          <t>State-Valid</t>
        </is>
      </c>
      <c r="C60" s="32" t="inlineStr">
        <is>
          <t>Customer rejects + reason code -&gt; Awaiting Return, return record created</t>
        </is>
      </c>
      <c r="D60" s="32" t="inlineStr">
        <is>
          <t>FT-07 AC-05; BV-03; BR-040; FT-08 AC-05</t>
        </is>
      </c>
      <c r="E60" s="28" t="inlineStr">
        <is>
          <t>P1</t>
        </is>
      </c>
      <c r="F60" s="32" t="inlineStr">
        <is>
          <t>Đơn O1 DeliveryStatus = InDelivery; FailedDeliveryCount = 0</t>
        </is>
      </c>
      <c r="G60" s="32" t="inlineStr">
        <is>
          <t>orderService.RecordDeliveryResultAsync(O1, staffId, dto{failed:true, reasonCode})</t>
        </is>
      </c>
      <c r="H60" s="32" t="inlineStr">
        <is>
          <t>FailedDeliveryCount tăng lên 1; DeliveryStatus = Failed (4) hoặc Rescheduled (6)
Hàng trả về xử lý theo luồng đổi/trả</t>
        </is>
      </c>
      <c r="I60" s="32" t="inlineStr">
        <is>
          <t>No</t>
        </is>
      </c>
      <c r="J60" s="43" t="inlineStr">
        <is>
          <t>Pass</t>
        </is>
      </c>
      <c r="K60" s="32" t="n"/>
      <c r="L60" s="46" t="n"/>
      <c r="M60" s="43" t="inlineStr">
        <is>
          <t>✅ Pass (không đổi)</t>
        </is>
      </c>
    </row>
    <row r="61" ht="18" customHeight="1">
      <c r="A61" s="50" t="inlineStr">
        <is>
          <t xml:space="preserve">  ▶  Block: RequestCancelPaidOrderAsync() / ApproveCancelAndCreateReplacementAsync()  |  no-refund replacement flow</t>
        </is>
      </c>
    </row>
    <row r="62" ht="43.5" customHeight="1">
      <c r="A62" s="26" t="inlineStr">
        <is>
          <t>L1-ORD-46</t>
        </is>
      </c>
      <c r="B62" s="37" t="inlineStr">
        <is>
          <t>EP-Valid</t>
        </is>
      </c>
      <c r="C62" s="27" t="inlineStr">
        <is>
          <t>Manager approves cancel of a PAID order -&gt; replacement order created, NO monetary refund</t>
        </is>
      </c>
      <c r="D62" s="27" t="inlineStr">
        <is>
          <t>FT-08 AC-01; AC-02; BR-017; BR-041</t>
        </is>
      </c>
      <c r="E62" s="28" t="inlineStr">
        <is>
          <t>P1</t>
        </is>
      </c>
      <c r="F62" s="27" t="inlineStr">
        <is>
          <t>Order O1 Paid with pending paid-cancel request</t>
        </is>
      </c>
      <c r="G62" s="27" t="inlineStr">
        <is>
          <t>orderService.ApproveCancelAndCreateReplacementAsync(O1, managerId, dto{items})</t>
        </is>
      </c>
      <c r="H62" s="27" t="inlineStr">
        <is>
          <t>Original order closed/cancelled; replacement order created referencing O1
Paid amount carried over as credit — NO refund transaction created</t>
        </is>
      </c>
      <c r="I62" s="27" t="inlineStr">
        <is>
          <t>No</t>
        </is>
      </c>
      <c r="J62" s="43" t="inlineStr">
        <is>
          <t>Pass</t>
        </is>
      </c>
      <c r="K62" s="27" t="n"/>
      <c r="L62" s="45" t="n"/>
      <c r="M62" s="43" t="inlineStr">
        <is>
          <t>✅ Pass (không đổi)</t>
        </is>
      </c>
    </row>
    <row r="63" ht="36" customHeight="1">
      <c r="A63" s="31" t="inlineStr">
        <is>
          <t>L1-ORD-47</t>
        </is>
      </c>
      <c r="B63" s="37" t="inlineStr">
        <is>
          <t>EP-Invalid</t>
        </is>
      </c>
      <c r="C63" s="32" t="inlineStr">
        <is>
          <t>Non-manager attempts to approve paid-order cancellation -&gt; forbidden</t>
        </is>
      </c>
      <c r="D63" s="32" t="inlineStr">
        <is>
          <t>FT-08 NAC-05; NFR-SEC03</t>
        </is>
      </c>
      <c r="E63" s="28" t="inlineStr">
        <is>
          <t>P1</t>
        </is>
      </c>
      <c r="F63" s="32" t="inlineStr">
        <is>
          <t>Caller role = Sales Staff</t>
        </is>
      </c>
      <c r="G63" s="32" t="inlineStr">
        <is>
          <t>orderService.ApproveCancelAndCreateReplacementAsync(O1, salesId, dto)</t>
        </is>
      </c>
      <c r="H63" s="32" t="inlineStr">
        <is>
          <t>Throws forbidden (403); no replacement created</t>
        </is>
      </c>
      <c r="I63" s="35" t="inlineStr">
        <is>
          <t>Yes</t>
        </is>
      </c>
      <c r="J63" s="43" t="inlineStr">
        <is>
          <t>Blocked</t>
        </is>
      </c>
      <c r="K63" s="32" t="n"/>
      <c r="L63" s="32" t="inlineStr">
        <is>
          <t>kiểm tra role Manager nằm ở controller [Authorize(Roles=...)], không unit-test được trong service — cần L3 API test.</t>
        </is>
      </c>
      <c r="M63" s="43" t="inlineStr">
        <is>
          <t>🔒 CẦN L3 (không phải bug)
ApproveCancelAndCreateReplacementAsync (2739-2860) không tự check role trong service, nhưng [Authorize(Roles="SalesManager,Admin")] ở DeliveryController.cs:124 đã chặn. Có test L3: VietTien.IntegrationTests/RoleGateTests.cs:21-42 (L1_ORD_47_...).</t>
        </is>
      </c>
    </row>
    <row r="64" ht="18" customHeight="1">
      <c r="A64" s="50" t="inlineStr">
        <is>
          <t xml:space="preserve">  ▶  Block: ⊕ v2.1 — Đổi/trả hàng  |  CreateReturnExchangeRequestAsync, ProcessReturnExchangeRequestAsync, CreateExchangeReplacementOrderAsync  |  FT-08</t>
        </is>
      </c>
    </row>
    <row r="65" ht="43.5" customHeight="1">
      <c r="A65" s="26" t="inlineStr">
        <is>
          <t>L1-ORD-48</t>
        </is>
      </c>
      <c r="B65" s="37" t="inlineStr">
        <is>
          <t>EP-Valid</t>
        </is>
      </c>
      <c r="C65" s="27" t="inlineStr">
        <is>
          <t>Khách tạo yêu cầu đổi/trả cho dòng hàng đã giao -&gt; lưu kèm bằng chứng</t>
        </is>
      </c>
      <c r="D65" s="27" t="inlineStr">
        <is>
          <t>FT-08 AC-05; BR-019</t>
        </is>
      </c>
      <c r="E65" s="28" t="inlineStr">
        <is>
          <t>P1</t>
        </is>
      </c>
      <c r="F65" s="27" t="inlineStr">
        <is>
          <t>Đơn O1 đã Delivered; dòng P1 số lượng giao = 5; ảnh bằng chứng đính kèm</t>
        </is>
      </c>
      <c r="G65" s="27" t="inlineStr">
        <is>
          <t>orderService.CreateReturnExchangeRequestAsync(U1, O1, dto{P1, qty=2, reason, evidence})</t>
        </is>
      </c>
      <c r="H65" s="27" t="inlineStr">
        <is>
          <t>Yêu cầu lưu trạng thái chờ duyệt; số lượng yêu cầu = 2
KHÔNG thay đổi tồn kho ở bước này</t>
        </is>
      </c>
      <c r="I65" s="27" t="inlineStr">
        <is>
          <t>No</t>
        </is>
      </c>
      <c r="J65" s="43" t="inlineStr">
        <is>
          <t>Pass</t>
        </is>
      </c>
      <c r="K65" s="27" t="n"/>
      <c r="L65" s="45" t="n"/>
      <c r="M65" s="43" t="inlineStr">
        <is>
          <t>✅ Pass (không đổi)</t>
        </is>
      </c>
    </row>
    <row r="66" ht="43.5" customHeight="1">
      <c r="A66" s="31" t="inlineStr">
        <is>
          <t>L1-ORD-49</t>
        </is>
      </c>
      <c r="B66" s="37" t="inlineStr">
        <is>
          <t>EP-Invalid + BVA-Max+1</t>
        </is>
      </c>
      <c r="C66" s="32" t="inlineStr">
        <is>
          <t>Số lượng đổi/trả &gt; số lượng đã giao -&gt; từ chối</t>
        </is>
      </c>
      <c r="D66" s="32" t="inlineStr">
        <is>
          <t>FT-08 BV-03</t>
        </is>
      </c>
      <c r="E66" s="28" t="inlineStr">
        <is>
          <t>P1</t>
        </is>
      </c>
      <c r="F66" s="32" t="inlineStr">
        <is>
          <t>Đơn O1 giao P1 = 5</t>
        </is>
      </c>
      <c r="G66" s="32" t="inlineStr">
        <is>
          <t>orderService.CreateReturnExchangeRequestAsync(U1, O1, dto{P1, qty=6})</t>
        </is>
      </c>
      <c r="H66" s="32" t="inlineStr">
        <is>
          <t>Từ chối; không tạo yêu cầu
[Theory] cũng test qty = 0 và qty = 5 (hợp lệ)</t>
        </is>
      </c>
      <c r="I66" s="35" t="inlineStr">
        <is>
          <t>Yes</t>
        </is>
      </c>
      <c r="J66" s="43" t="inlineStr">
        <is>
          <t>Pass</t>
        </is>
      </c>
      <c r="K66" s="32" t="n"/>
      <c r="L66" s="46" t="n"/>
      <c r="M66" s="43" t="inlineStr">
        <is>
          <t>✅ Pass (không đổi)</t>
        </is>
      </c>
    </row>
    <row r="67" ht="30" customHeight="1">
      <c r="A67" s="26" t="inlineStr">
        <is>
          <t>L1-ORD-50</t>
        </is>
      </c>
      <c r="B67" s="37" t="inlineStr">
        <is>
          <t>EP-Invalid</t>
        </is>
      </c>
      <c r="C67" s="27" t="inlineStr">
        <is>
          <t>Tạo yêu cầu đổi/trả trên đơn CHƯA giao -&gt; từ chối</t>
        </is>
      </c>
      <c r="D67" s="27" t="inlineStr">
        <is>
          <t>FT-08 AC-05</t>
        </is>
      </c>
      <c r="E67" s="28" t="inlineStr">
        <is>
          <t>P1</t>
        </is>
      </c>
      <c r="F67" s="27" t="inlineStr">
        <is>
          <t>Đơn O1 trạng thái In Delivery</t>
        </is>
      </c>
      <c r="G67" s="27" t="inlineStr">
        <is>
          <t>orderService.CreateReturnExchangeRequestAsync(U1, O1, dto)</t>
        </is>
      </c>
      <c r="H67" s="27" t="inlineStr">
        <is>
          <t>Từ chối theo state guard; không tạo yêu cầu</t>
        </is>
      </c>
      <c r="I67" s="29" t="inlineStr">
        <is>
          <t>Yes</t>
        </is>
      </c>
      <c r="J67" s="43" t="inlineStr">
        <is>
          <t>Pass</t>
        </is>
      </c>
      <c r="K67" s="27" t="n"/>
      <c r="L67" s="45" t="n"/>
      <c r="M67" s="43" t="inlineStr">
        <is>
          <t>✅ Pass (không đổi)</t>
        </is>
      </c>
    </row>
    <row r="68" ht="30" customHeight="1">
      <c r="A68" s="31" t="inlineStr">
        <is>
          <t>L1-ORD-51</t>
        </is>
      </c>
      <c r="B68" s="37" t="inlineStr">
        <is>
          <t>EP-Invalid</t>
        </is>
      </c>
      <c r="C68" s="32" t="inlineStr">
        <is>
          <t>Khách tạo yêu cầu trên đơn của khách khác -&gt; forbidden</t>
        </is>
      </c>
      <c r="D68" s="32" t="inlineStr">
        <is>
          <t>FT-08 NAC-05; NFR-SEC03</t>
        </is>
      </c>
      <c r="E68" s="28" t="inlineStr">
        <is>
          <t>P1</t>
        </is>
      </c>
      <c r="F68" s="32" t="inlineStr">
        <is>
          <t>Đơn O9 thuộc khách U9</t>
        </is>
      </c>
      <c r="G68" s="32" t="inlineStr">
        <is>
          <t>orderService.CreateReturnExchangeRequestAsync(U1, O9, dto)</t>
        </is>
      </c>
      <c r="H68" s="32" t="inlineStr">
        <is>
          <t>Ném forbidden/not-found; không lộ dữ liệu đơn O9</t>
        </is>
      </c>
      <c r="I68" s="35" t="inlineStr">
        <is>
          <t>Yes</t>
        </is>
      </c>
      <c r="J68" s="43" t="inlineStr">
        <is>
          <t>Fail</t>
        </is>
      </c>
      <c r="K68" s="32" t="n"/>
      <c r="L68" s="46" t="n"/>
      <c r="M68" s="43" t="inlineStr">
        <is>
          <t>✅ ĐÃ FIX
OrderService.cs:2376-2385 check CustomerProfile.UserId == requestedByUserId, throw UnauthorizedAccessException nếu không khớp.</t>
        </is>
      </c>
    </row>
    <row r="69" ht="30" customHeight="1">
      <c r="A69" s="26" t="inlineStr">
        <is>
          <t>L1-ORD-52</t>
        </is>
      </c>
      <c r="B69" s="37" t="inlineStr">
        <is>
          <t>State-Valid</t>
        </is>
      </c>
      <c r="C69" s="27" t="inlineStr">
        <is>
          <t>Manager duyệt yêu cầu -&gt; chuyển bước thu hồi hàng</t>
        </is>
      </c>
      <c r="D69" s="27" t="inlineStr">
        <is>
          <t>FT-08 AC-05; BR-019</t>
        </is>
      </c>
      <c r="E69" s="28" t="inlineStr">
        <is>
          <t>P1</t>
        </is>
      </c>
      <c r="F69" s="27" t="inlineStr">
        <is>
          <t>Yêu cầu R1 đang chờ duyệt; caller có vai trò Sales Manager</t>
        </is>
      </c>
      <c r="G69" s="27" t="inlineStr">
        <is>
          <t>orderService.ProcessReturnExchangeRequestAsync(R1, managerId, dto{approve=true})</t>
        </is>
      </c>
      <c r="H69" s="27" t="inlineStr">
        <is>
          <t>R1 = Approved; tạo nhiệm vụ thu hồi hàng; khách được thông báo</t>
        </is>
      </c>
      <c r="I69" s="27" t="inlineStr">
        <is>
          <t>No</t>
        </is>
      </c>
      <c r="J69" s="43" t="inlineStr">
        <is>
          <t>Pass</t>
        </is>
      </c>
      <c r="K69" s="27" t="n"/>
      <c r="L69" s="45" t="n"/>
      <c r="M69" s="43" t="inlineStr">
        <is>
          <t>✅ Pass (không đổi)</t>
        </is>
      </c>
    </row>
    <row r="70" ht="30" customHeight="1">
      <c r="A70" s="31" t="inlineStr">
        <is>
          <t>L1-ORD-53</t>
        </is>
      </c>
      <c r="B70" s="37" t="inlineStr">
        <is>
          <t>EP-Invalid</t>
        </is>
      </c>
      <c r="C70" s="32" t="inlineStr">
        <is>
          <t>Sales Staff tự duyệt yêu cầu đổi/trả -&gt; forbidden</t>
        </is>
      </c>
      <c r="D70" s="32" t="inlineStr">
        <is>
          <t>FT-08 NAC-05; NFR-SEC03</t>
        </is>
      </c>
      <c r="E70" s="28" t="inlineStr">
        <is>
          <t>P1</t>
        </is>
      </c>
      <c r="F70" s="32" t="inlineStr">
        <is>
          <t>Caller vai trò Sales Staff</t>
        </is>
      </c>
      <c r="G70" s="32" t="inlineStr">
        <is>
          <t>orderService.ProcessReturnExchangeRequestAsync(R1, salesId, dto{approve=true})</t>
        </is>
      </c>
      <c r="H70" s="32" t="inlineStr">
        <is>
          <t>Ném forbidden (403); trạng thái R1 không đổi</t>
        </is>
      </c>
      <c r="I70" s="35" t="inlineStr">
        <is>
          <t>Yes</t>
        </is>
      </c>
      <c r="J70" s="43" t="inlineStr">
        <is>
          <t>Blocked</t>
        </is>
      </c>
      <c r="K70" s="32" t="n"/>
      <c r="L70" s="46" t="inlineStr">
        <is>
          <t>Phân quyền ở [Authorize] Controller — chuyển L3</t>
        </is>
      </c>
      <c r="M70" s="43" t="inlineStr">
        <is>
          <t>🔒 CẦN L3 (không phải bug)
ProcessReturnExchangeRequestAsync (2454-2471) không tự check role, nhưng [Authorize(Roles="SalesManager,Admin")] ở OrderController.cs:485 đã chặn. Có test L3: VietTien.IntegrationTests/RoleGateTests.cs:44-65 (L1_ORD_53_...).</t>
        </is>
      </c>
    </row>
    <row r="71" ht="30" customHeight="1">
      <c r="A71" s="26" t="inlineStr">
        <is>
          <t>L1-ORD-54</t>
        </is>
      </c>
      <c r="B71" s="37" t="inlineStr">
        <is>
          <t>State-Invalid</t>
        </is>
      </c>
      <c r="C71" s="27" t="inlineStr">
        <is>
          <t>Duyệt lại yêu cầu đã ở trạng thái kết thúc -&gt; conflict</t>
        </is>
      </c>
      <c r="D71" s="27" t="inlineStr">
        <is>
          <t>FT-08 NAC-05</t>
        </is>
      </c>
      <c r="E71" s="28" t="inlineStr">
        <is>
          <t>P1</t>
        </is>
      </c>
      <c r="F71" s="27" t="inlineStr">
        <is>
          <t>R1 = Approved (hoặc Rejected)</t>
        </is>
      </c>
      <c r="G71" s="27" t="inlineStr">
        <is>
          <t>orderService.ProcessReturnExchangeRequestAsync(R1, managerId, dto)</t>
        </is>
      </c>
      <c r="H71" s="27" t="inlineStr">
        <is>
          <t>Ném conflict; không tạo nhiệm vụ thu hồi lần 2</t>
        </is>
      </c>
      <c r="I71" s="29" t="inlineStr">
        <is>
          <t>Yes</t>
        </is>
      </c>
      <c r="J71" s="43" t="inlineStr">
        <is>
          <t>Pass</t>
        </is>
      </c>
      <c r="K71" s="27" t="n"/>
      <c r="L71" s="45" t="n"/>
      <c r="M71" s="43" t="inlineStr">
        <is>
          <t>✅ Pass (không đổi)</t>
        </is>
      </c>
    </row>
    <row r="72" ht="43.5" customHeight="1">
      <c r="A72" s="31" t="inlineStr">
        <is>
          <t>L1-ORD-55</t>
        </is>
      </c>
      <c r="B72" s="37" t="inlineStr">
        <is>
          <t>EP-Valid</t>
        </is>
      </c>
      <c r="C72" s="32" t="inlineStr">
        <is>
          <t>Đổi CÙNG mã hàng -&gt; giữ nguyên đơn giá gốc</t>
        </is>
      </c>
      <c r="D72" s="32" t="inlineStr">
        <is>
          <t>FT-08 AC-05; BR-043</t>
        </is>
      </c>
      <c r="E72" s="28" t="inlineStr">
        <is>
          <t>P1</t>
        </is>
      </c>
      <c r="F72" s="32" t="inlineStr">
        <is>
          <t>R1 approved, đổi P1 sang chính P1; đơn giá gốc 50.000</t>
        </is>
      </c>
      <c r="G72" s="32" t="inlineStr">
        <is>
          <t>orderService.CreateExchangeReplacementOrderAsync(R1, staffId, dto)</t>
        </is>
      </c>
      <c r="H72" s="32" t="inlineStr">
        <is>
          <t>Đơn thay thế dùng đúng đơn giá 50.000 (không áp giá hiện hành)
Không phát sinh khoản phải thu thêm</t>
        </is>
      </c>
      <c r="I72" s="32" t="inlineStr">
        <is>
          <t>No</t>
        </is>
      </c>
      <c r="J72" s="43" t="inlineStr">
        <is>
          <t>Pass</t>
        </is>
      </c>
      <c r="K72" s="32" t="n"/>
      <c r="L72" s="46" t="n"/>
      <c r="M72" s="43" t="inlineStr">
        <is>
          <t>✅ Pass (không đổi)</t>
        </is>
      </c>
    </row>
    <row r="73" ht="43.5" customHeight="1">
      <c r="A73" s="26" t="inlineStr">
        <is>
          <t>L1-ORD-56</t>
        </is>
      </c>
      <c r="B73" s="37" t="inlineStr">
        <is>
          <t>EP-Valid</t>
        </is>
      </c>
      <c r="C73" s="27" t="inlineStr">
        <is>
          <t>Đổi SANG mã hàng khác -&gt; áp giá hiện hành + xử lý chênh lệch</t>
        </is>
      </c>
      <c r="D73" s="27" t="inlineStr">
        <is>
          <t>FT-08 AC-03; BR-042; BR-043</t>
        </is>
      </c>
      <c r="E73" s="28" t="inlineStr">
        <is>
          <t>P1</t>
        </is>
      </c>
      <c r="F73" s="27" t="inlineStr">
        <is>
          <t>R1 approved, đổi P1 (50.000) sang P2 (70.000)</t>
        </is>
      </c>
      <c r="G73" s="27" t="inlineStr">
        <is>
          <t>orderService.CreateExchangeReplacementOrderAsync(R1, staffId, dto{P2})</t>
        </is>
      </c>
      <c r="H73" s="27" t="inlineStr">
        <is>
          <t>Đơn thay thế dùng giá hiện hành của P2
Chênh lệch dương -&gt; đơn ở trạng thái còn phải thu; chênh lệch âm -&gt; tạo credit</t>
        </is>
      </c>
      <c r="I73" s="27" t="inlineStr">
        <is>
          <t>No</t>
        </is>
      </c>
      <c r="J73" s="43" t="inlineStr">
        <is>
          <t>Pass</t>
        </is>
      </c>
      <c r="K73" s="27" t="n"/>
      <c r="L73" s="45" t="n"/>
      <c r="M73" s="43" t="inlineStr">
        <is>
          <t>✅ Pass (không đổi)</t>
        </is>
      </c>
    </row>
    <row r="74" ht="18" customHeight="1">
      <c r="A74" s="50" t="inlineStr">
        <is>
          <t xml:space="preserve">  ▶  Block: ⊕ v2.1 — Thu hồi hàng  |  GetPendingPickupsAsync, SchedulePickupAsync, ConfirmPickupAsync  |  FT-08</t>
        </is>
      </c>
    </row>
    <row r="75" ht="30" customHeight="1">
      <c r="A75" s="26" t="inlineStr">
        <is>
          <t>L1-ORD-57</t>
        </is>
      </c>
      <c r="B75" s="37" t="inlineStr">
        <is>
          <t>EP-Valid</t>
        </is>
      </c>
      <c r="C75" s="27" t="inlineStr">
        <is>
          <t>Danh sách chờ thu hồi chỉ chứa yêu cầu đã duyệt, chưa thu</t>
        </is>
      </c>
      <c r="D75" s="27" t="inlineStr">
        <is>
          <t>FT-08 AC-05</t>
        </is>
      </c>
      <c r="E75" s="34" t="inlineStr">
        <is>
          <t>P2</t>
        </is>
      </c>
      <c r="F75" s="27" t="inlineStr">
        <is>
          <t>3 yêu cầu: 1 chờ duyệt, 1 đã duyệt chưa thu, 1 đã thu xong</t>
        </is>
      </c>
      <c r="G75" s="27" t="inlineStr">
        <is>
          <t>orderService.GetPendingPickupsAsync(query)</t>
        </is>
      </c>
      <c r="H75" s="27" t="inlineStr">
        <is>
          <t>Chỉ trả đúng 1 mục (đã duyệt, chưa thu)</t>
        </is>
      </c>
      <c r="I75" s="27" t="inlineStr">
        <is>
          <t>No</t>
        </is>
      </c>
      <c r="J75" s="43" t="inlineStr">
        <is>
          <t>Pass</t>
        </is>
      </c>
      <c r="K75" s="27" t="n"/>
      <c r="L75" s="45" t="n"/>
      <c r="M75" s="43" t="inlineStr">
        <is>
          <t>✅ Pass (không đổi)</t>
        </is>
      </c>
    </row>
    <row r="76" ht="30" customHeight="1">
      <c r="A76" s="31" t="inlineStr">
        <is>
          <t>L1-ORD-58</t>
        </is>
      </c>
      <c r="B76" s="37" t="inlineStr">
        <is>
          <t>EP-Valid</t>
        </is>
      </c>
      <c r="C76" s="32" t="inlineStr">
        <is>
          <t>Lên lịch thu hồi -&gt; lưu ngày/ca và người phụ trách</t>
        </is>
      </c>
      <c r="D76" s="32" t="inlineStr">
        <is>
          <t>FT-08 AC-05; FT-07 BV-01</t>
        </is>
      </c>
      <c r="E76" s="36" t="inlineStr">
        <is>
          <t>P2</t>
        </is>
      </c>
      <c r="F76" s="32" t="inlineStr">
        <is>
          <t>Yêu cầu R1 đã duyệt</t>
        </is>
      </c>
      <c r="G76" s="32" t="inlineStr">
        <is>
          <t>orderService.SchedulePickupAsync(R1, staffId, dto{date, shift})</t>
        </is>
      </c>
      <c r="H76" s="32" t="inlineStr">
        <is>
          <t>Lịch thu hồi được lưu; khách nhận thông báo</t>
        </is>
      </c>
      <c r="I76" s="32" t="inlineStr">
        <is>
          <t>No</t>
        </is>
      </c>
      <c r="J76" s="43" t="inlineStr">
        <is>
          <t>Pass</t>
        </is>
      </c>
      <c r="K76" s="32" t="n"/>
      <c r="L76" s="46" t="n"/>
      <c r="M76" s="43" t="inlineStr">
        <is>
          <t>✅ Pass (không đổi)</t>
        </is>
      </c>
    </row>
    <row r="77" ht="43.5" customHeight="1">
      <c r="A77" s="26" t="inlineStr">
        <is>
          <t>L1-ORD-59</t>
        </is>
      </c>
      <c r="B77" s="37" t="inlineStr">
        <is>
          <t>EP-Valid</t>
        </is>
      </c>
      <c r="C77" s="27" t="inlineStr">
        <is>
          <t>Xác nhận đã thu hồi -&gt; hàng vào khu cách ly, KHÔNG vào tồn bán được</t>
        </is>
      </c>
      <c r="D77" s="27" t="inlineStr">
        <is>
          <t>FT-08 AC-05; BR-019; BR-032</t>
        </is>
      </c>
      <c r="E77" s="28" t="inlineStr">
        <is>
          <t>P1</t>
        </is>
      </c>
      <c r="F77" s="27" t="inlineStr">
        <is>
          <t>R1 đã lên lịch; tồn khả dụng P1 = 10</t>
        </is>
      </c>
      <c r="G77" s="27" t="inlineStr">
        <is>
          <t>orderService.ConfirmPickupAsync(R1, staffId, dto{qty=2})</t>
        </is>
      </c>
      <c r="H77" s="27" t="inlineStr">
        <is>
          <t>Tồn khả dụng P1 VẪN = 10 (hàng vào Quarantine, không cộng vào Available)
Ghi nhận số lượng thu hồi thực tế</t>
        </is>
      </c>
      <c r="I77" s="27" t="inlineStr">
        <is>
          <t>No</t>
        </is>
      </c>
      <c r="J77" s="43" t="inlineStr">
        <is>
          <t>Pass</t>
        </is>
      </c>
      <c r="K77" s="27" t="n"/>
      <c r="L77" s="45" t="n"/>
      <c r="M77" s="43" t="inlineStr">
        <is>
          <t>✅ Pass (không đổi)</t>
        </is>
      </c>
    </row>
    <row r="78" ht="30" customHeight="1">
      <c r="A78" s="31" t="inlineStr">
        <is>
          <t>L1-ORD-60</t>
        </is>
      </c>
      <c r="B78" s="37" t="inlineStr">
        <is>
          <t>EP-Invalid</t>
        </is>
      </c>
      <c r="C78" s="32" t="inlineStr">
        <is>
          <t>Xác nhận thu hồi khi chưa lên lịch -&gt; từ chối</t>
        </is>
      </c>
      <c r="D78" s="32" t="inlineStr">
        <is>
          <t>FT-08 NAC-04</t>
        </is>
      </c>
      <c r="E78" s="36" t="inlineStr">
        <is>
          <t>P2</t>
        </is>
      </c>
      <c r="F78" s="32" t="inlineStr">
        <is>
          <t>R1 đã duyệt nhưng chưa có lịch thu hồi</t>
        </is>
      </c>
      <c r="G78" s="32" t="inlineStr">
        <is>
          <t>orderService.ConfirmPickupAsync(R1, staffId, dto)</t>
        </is>
      </c>
      <c r="H78" s="32" t="inlineStr">
        <is>
          <t>Từ chối theo state guard; không đổi tồn kho</t>
        </is>
      </c>
      <c r="I78" s="35" t="inlineStr">
        <is>
          <t>Yes</t>
        </is>
      </c>
      <c r="J78" s="43" t="inlineStr">
        <is>
          <t>Pass</t>
        </is>
      </c>
      <c r="K78" s="32" t="n"/>
      <c r="L78" s="46" t="n"/>
      <c r="M78" s="43" t="inlineStr">
        <is>
          <t>✅ Pass (không đổi)</t>
        </is>
      </c>
    </row>
    <row r="79" ht="18" customHeight="1">
      <c r="A79" s="50" t="inlineStr">
        <is>
          <t xml:space="preserve">  ▶  Block: ⊕ v2.1 — Đổi chữ ký method (thêm tham số caller)  |  GenerateSePayQrAsync, GetPaymentStatusAsync, UploadInvoicePdfAsync, GetSalesDashboardStatsAsync</t>
        </is>
      </c>
    </row>
    <row r="80" ht="30" customHeight="1">
      <c r="A80" s="26" t="inlineStr">
        <is>
          <t>L1-ORD-61</t>
        </is>
      </c>
      <c r="B80" s="37" t="inlineStr">
        <is>
          <t>EP-Invalid</t>
        </is>
      </c>
      <c r="C80" s="27" t="inlineStr">
        <is>
          <t>GenerateSePayQr: khách khác gọi trên đơn không thuộc mình -&gt; forbidden</t>
        </is>
      </c>
      <c r="D80" s="27" t="inlineStr">
        <is>
          <t>FT-01 NAC-05; NFR-SEC03</t>
        </is>
      </c>
      <c r="E80" s="28" t="inlineStr">
        <is>
          <t>P1</t>
        </is>
      </c>
      <c r="F80" s="27" t="inlineStr">
        <is>
          <t>Đơn O9 thuộc U9</t>
        </is>
      </c>
      <c r="G80" s="27" t="inlineStr">
        <is>
          <t>orderService.GenerateSePayQrAsync(O9, callerUserId=U1, callerRole='Customer')</t>
        </is>
      </c>
      <c r="H80" s="27" t="inlineStr">
        <is>
          <t>Ném forbidden; KHÔNG sinh QR và không lộ mã tham chiếu</t>
        </is>
      </c>
      <c r="I80" s="29" t="inlineStr">
        <is>
          <t>Yes</t>
        </is>
      </c>
      <c r="J80" s="43" t="inlineStr">
        <is>
          <t>Pass</t>
        </is>
      </c>
      <c r="K80" s="27" t="n"/>
      <c r="L80" s="45" t="n"/>
      <c r="M80" s="43" t="inlineStr">
        <is>
          <t>✅ Pass (không đổi)</t>
        </is>
      </c>
    </row>
    <row r="81" ht="30" customHeight="1">
      <c r="A81" s="31" t="inlineStr">
        <is>
          <t>L1-ORD-62</t>
        </is>
      </c>
      <c r="B81" s="37" t="inlineStr">
        <is>
          <t>EP-Invalid</t>
        </is>
      </c>
      <c r="C81" s="32" t="inlineStr">
        <is>
          <t>GetPaymentStatus: truy cập chéo khách hàng -&gt; forbidden</t>
        </is>
      </c>
      <c r="D81" s="32" t="inlineStr">
        <is>
          <t>FT-01 NAC-05; NFR-SEC03</t>
        </is>
      </c>
      <c r="E81" s="28" t="inlineStr">
        <is>
          <t>P1</t>
        </is>
      </c>
      <c r="F81" s="32" t="inlineStr">
        <is>
          <t>Đơn O9 thuộc U9</t>
        </is>
      </c>
      <c r="G81" s="32" t="inlineStr">
        <is>
          <t>orderService.GetPaymentStatusAsync(O9, callerUserId=U1, callerRole='Customer')</t>
        </is>
      </c>
      <c r="H81" s="32" t="inlineStr">
        <is>
          <t>Ném forbidden; không trả trạng thái thanh toán</t>
        </is>
      </c>
      <c r="I81" s="35" t="inlineStr">
        <is>
          <t>Yes</t>
        </is>
      </c>
      <c r="J81" s="43" t="inlineStr">
        <is>
          <t>Pass</t>
        </is>
      </c>
      <c r="K81" s="32" t="n"/>
      <c r="L81" s="46" t="n"/>
      <c r="M81" s="43" t="inlineStr">
        <is>
          <t>✅ Pass (không đổi)</t>
        </is>
      </c>
    </row>
    <row r="82" ht="30" customHeight="1">
      <c r="A82" s="26" t="inlineStr">
        <is>
          <t>L1-ORD-63</t>
        </is>
      </c>
      <c r="B82" s="37" t="inlineStr">
        <is>
          <t>EP-Valid</t>
        </is>
      </c>
      <c r="C82" s="27" t="inlineStr">
        <is>
          <t>GetPaymentStatus: Sales Manager xem được đơn ngoài phạm vi khách</t>
        </is>
      </c>
      <c r="D82" s="27" t="inlineStr">
        <is>
          <t>NFR-SEC03</t>
        </is>
      </c>
      <c r="E82" s="34" t="inlineStr">
        <is>
          <t>P2</t>
        </is>
      </c>
      <c r="F82" s="27" t="inlineStr">
        <is>
          <t>Đơn O9 thuộc U9</t>
        </is>
      </c>
      <c r="G82" s="27" t="inlineStr">
        <is>
          <t>orderService.GetPaymentStatusAsync(O9, callerUserId=M1, callerRole='SalesManager')</t>
        </is>
      </c>
      <c r="H82" s="27" t="inlineStr">
        <is>
          <t>Trả về trạng thái bình thường (vai trò nội bộ được phép)</t>
        </is>
      </c>
      <c r="I82" s="27" t="inlineStr">
        <is>
          <t>No</t>
        </is>
      </c>
      <c r="J82" s="43" t="inlineStr">
        <is>
          <t>Pass</t>
        </is>
      </c>
      <c r="K82" s="27" t="n"/>
      <c r="L82" s="45" t="n"/>
      <c r="M82" s="43" t="inlineStr">
        <is>
          <t>✅ Pass (không đổi)</t>
        </is>
      </c>
    </row>
    <row r="83" ht="30" customHeight="1">
      <c r="A83" s="31" t="inlineStr">
        <is>
          <t>L1-ORD-64</t>
        </is>
      </c>
      <c r="B83" s="37" t="inlineStr">
        <is>
          <t>EP-Invalid</t>
        </is>
      </c>
      <c r="C83" s="32" t="inlineStr">
        <is>
          <t>UploadInvoicePdf: sai vai trò -&gt; forbidden</t>
        </is>
      </c>
      <c r="D83" s="32" t="inlineStr">
        <is>
          <t>NFR-SEC03; NFR-SEC07</t>
        </is>
      </c>
      <c r="E83" s="28" t="inlineStr">
        <is>
          <t>P1</t>
        </is>
      </c>
      <c r="F83" s="32" t="inlineStr">
        <is>
          <t>Caller vai trò Customer</t>
        </is>
      </c>
      <c r="G83" s="32" t="inlineStr">
        <is>
          <t>orderService.UploadInvoicePdfAsync(O1, file, callerUserId=U1, callerRole='Customer')</t>
        </is>
      </c>
      <c r="H83" s="32" t="inlineStr">
        <is>
          <t>Ném forbidden; file không được lưu</t>
        </is>
      </c>
      <c r="I83" s="35" t="inlineStr">
        <is>
          <t>Yes</t>
        </is>
      </c>
      <c r="J83" s="43" t="inlineStr">
        <is>
          <t>Pass</t>
        </is>
      </c>
      <c r="K83" s="32" t="n"/>
      <c r="L83" s="46" t="n"/>
      <c r="M83" s="43" t="inlineStr">
        <is>
          <t>✅ Pass (không đổi)</t>
        </is>
      </c>
    </row>
    <row r="84" ht="30" customHeight="1">
      <c r="A84" s="26" t="inlineStr">
        <is>
          <t>L1-ORD-65</t>
        </is>
      </c>
      <c r="B84" s="37" t="inlineStr">
        <is>
          <t>EP-Valid</t>
        </is>
      </c>
      <c r="C84" s="27" t="inlineStr">
        <is>
          <t>GetSalesDashboardStats: scopedSalesStaffId lọc đúng phạm vi</t>
        </is>
      </c>
      <c r="D84" s="27" t="inlineStr">
        <is>
          <t>FT-09 AC-01; NAC-01</t>
        </is>
      </c>
      <c r="E84" s="28" t="inlineStr">
        <is>
          <t>P1</t>
        </is>
      </c>
      <c r="F84" s="27" t="inlineStr">
        <is>
          <t>S1 có 3 đơn, S2 có 2 đơn</t>
        </is>
      </c>
      <c r="G84" s="27" t="inlineStr">
        <is>
          <t>orderService.GetSalesDashboardStatsAsync(scopedSalesStaffId=S1)</t>
        </is>
      </c>
      <c r="H84" s="27" t="inlineStr">
        <is>
          <t>Số liệu chỉ tính 3 đơn của S1; không lẫn đơn của S2</t>
        </is>
      </c>
      <c r="I84" s="27" t="inlineStr">
        <is>
          <t>No</t>
        </is>
      </c>
      <c r="J84" s="43" t="inlineStr">
        <is>
          <t>Pass</t>
        </is>
      </c>
      <c r="K84" s="27" t="n"/>
      <c r="L84" s="45" t="n"/>
      <c r="M84" s="43" t="inlineStr">
        <is>
          <t>✅ Pass (không đổi)</t>
        </is>
      </c>
    </row>
    <row r="85" ht="30" customHeight="1">
      <c r="A85" s="31" t="inlineStr">
        <is>
          <t>L1-ORD-66</t>
        </is>
      </c>
      <c r="B85" s="37" t="inlineStr">
        <is>
          <t>EP-Valid</t>
        </is>
      </c>
      <c r="C85" s="32" t="inlineStr">
        <is>
          <t>GetSalesDashboardStats: scopedSalesStaffId = null -&gt; phạm vi toàn nhóm (Manager)</t>
        </is>
      </c>
      <c r="D85" s="32" t="inlineStr">
        <is>
          <t>FT-09 AC-01</t>
        </is>
      </c>
      <c r="E85" s="36" t="inlineStr">
        <is>
          <t>P2</t>
        </is>
      </c>
      <c r="F85" s="32" t="inlineStr">
        <is>
          <t>S1 có 3 đơn, S2 có 2 đơn</t>
        </is>
      </c>
      <c r="G85" s="32" t="inlineStr">
        <is>
          <t>orderService.GetSalesDashboardStatsAsync(scopedSalesStaffId: null)</t>
        </is>
      </c>
      <c r="H85" s="32" t="inlineStr">
        <is>
          <t>Số liệu tính đủ 5 đơn</t>
        </is>
      </c>
      <c r="I85" s="32" t="inlineStr">
        <is>
          <t>No</t>
        </is>
      </c>
      <c r="J85" s="43" t="inlineStr">
        <is>
          <t>Pass</t>
        </is>
      </c>
      <c r="K85" s="32" t="n"/>
      <c r="L85" s="46" t="n"/>
      <c r="M85" s="43" t="inlineStr">
        <is>
          <t>✅ Pass (không đổi)</t>
        </is>
      </c>
    </row>
    <row r="86" ht="18" customHeight="1">
      <c r="A86" s="50" t="inlineStr">
        <is>
          <t xml:space="preserve">  ▶  Block: ⊕ v2.1 — Truy vấn công khai &amp; thống kê  |  TrackOrderPublicAsync, GetSpendingStatsAsync, GetDeliveryOrdersAsync, GetSalesOrdersAsync</t>
        </is>
      </c>
    </row>
    <row r="87" ht="43.5" customHeight="1">
      <c r="A87" s="26" t="inlineStr">
        <is>
          <t>L1-ORD-67</t>
        </is>
      </c>
      <c r="B87" s="37" t="inlineStr">
        <is>
          <t>EP-Valid</t>
        </is>
      </c>
      <c r="C87" s="27" t="inlineStr">
        <is>
          <t>Tra cứu đơn công khai bằng mã -&gt; chỉ trả thông tin không nhạy cảm</t>
        </is>
      </c>
      <c r="D87" s="27" t="inlineStr">
        <is>
          <t>FT-01 AC-05; NFR-SEC06</t>
        </is>
      </c>
      <c r="E87" s="28" t="inlineStr">
        <is>
          <t>P1</t>
        </is>
      </c>
      <c r="F87" s="27" t="inlineStr">
        <is>
          <t>Đơn O1 tồn tại</t>
        </is>
      </c>
      <c r="G87" s="27" t="inlineStr">
        <is>
          <t>orderService.TrackOrderPublicAsync('ORD-xxxx')</t>
        </is>
      </c>
      <c r="H87" s="27" t="inlineStr">
        <is>
          <t>Trả trạng thái + mốc thời gian
KHÔNG trả số điện thoại/địa chỉ đầy đủ/giá vốn (PII được mask)</t>
        </is>
      </c>
      <c r="I87" s="27" t="inlineStr">
        <is>
          <t>No</t>
        </is>
      </c>
      <c r="J87" s="43" t="inlineStr">
        <is>
          <t>Fail</t>
        </is>
      </c>
      <c r="K87" s="27" t="n"/>
      <c r="L87" s="45" t="n"/>
      <c r="M87" s="43" t="inlineStr">
        <is>
          <t>✅ ĐÃ FIX
OrderService.cs:1317-1318 set null CustomerPhone/ShippingAddress cho tra cứu công khai; CostSnapshot không được trả.</t>
        </is>
      </c>
    </row>
    <row r="88" ht="30" customHeight="1">
      <c r="A88" s="31" t="inlineStr">
        <is>
          <t>L1-ORD-68</t>
        </is>
      </c>
      <c r="B88" s="37" t="inlineStr">
        <is>
          <t>EP-Invalid</t>
        </is>
      </c>
      <c r="C88" s="32" t="inlineStr">
        <is>
          <t>Tra cứu mã đơn không tồn tại -&gt; không lộ sự tồn tại</t>
        </is>
      </c>
      <c r="D88" s="32" t="inlineStr">
        <is>
          <t>FT-01 NAC-05</t>
        </is>
      </c>
      <c r="E88" s="36" t="inlineStr">
        <is>
          <t>P2</t>
        </is>
      </c>
      <c r="F88" s="32" t="inlineStr">
        <is>
          <t>Không có đơn mã 'ORD-9999'</t>
        </is>
      </c>
      <c r="G88" s="32" t="inlineStr">
        <is>
          <t>orderService.TrackOrderPublicAsync('ORD-9999')</t>
        </is>
      </c>
      <c r="H88" s="32" t="inlineStr">
        <is>
          <t>Trả not-found chung; không phân biệt được đơn có tồn tại hay không</t>
        </is>
      </c>
      <c r="I88" s="35" t="inlineStr">
        <is>
          <t>Yes</t>
        </is>
      </c>
      <c r="J88" s="43" t="inlineStr">
        <is>
          <t>Pass</t>
        </is>
      </c>
      <c r="K88" s="32" t="n"/>
      <c r="L88" s="46" t="n"/>
      <c r="M88" s="43" t="inlineStr">
        <is>
          <t>✅ Pass (không đổi)</t>
        </is>
      </c>
    </row>
    <row r="89" ht="30" customHeight="1">
      <c r="A89" s="26" t="inlineStr">
        <is>
          <t>L1-ORD-69</t>
        </is>
      </c>
      <c r="B89" s="37" t="inlineStr">
        <is>
          <t>EP-Valid</t>
        </is>
      </c>
      <c r="C89" s="27" t="inlineStr">
        <is>
          <t>Thống kê chi tiêu chỉ tính đơn của chính khách và không tính đơn huỷ</t>
        </is>
      </c>
      <c r="D89" s="27" t="inlineStr">
        <is>
          <t>FT-09 AC-01</t>
        </is>
      </c>
      <c r="E89" s="34" t="inlineStr">
        <is>
          <t>P2</t>
        </is>
      </c>
      <c r="F89" s="27" t="inlineStr">
        <is>
          <t>U1 có 2 đơn Delivered + 1 đơn Cancelled; U9 có 1 đơn</t>
        </is>
      </c>
      <c r="G89" s="27" t="inlineStr">
        <is>
          <t>orderService.GetSpendingStatsAsync(U1, query)</t>
        </is>
      </c>
      <c r="H89" s="27" t="inlineStr">
        <is>
          <t>Chỉ cộng 2 đơn Delivered của U1</t>
        </is>
      </c>
      <c r="I89" s="27" t="inlineStr">
        <is>
          <t>No</t>
        </is>
      </c>
      <c r="J89" s="43" t="inlineStr">
        <is>
          <t>Pass</t>
        </is>
      </c>
      <c r="K89" s="27" t="n"/>
      <c r="L89" s="45" t="n"/>
      <c r="M89" s="43" t="inlineStr">
        <is>
          <t>✅ Pass (không đổi)</t>
        </is>
      </c>
    </row>
    <row r="90" ht="30" customHeight="1">
      <c r="A90" s="31" t="inlineStr">
        <is>
          <t>L1-ORD-70</t>
        </is>
      </c>
      <c r="B90" s="37" t="inlineStr">
        <is>
          <t>EP-Valid</t>
        </is>
      </c>
      <c r="C90" s="32" t="inlineStr">
        <is>
          <t>Danh sách đơn giao cho Sales chỉ gồm đơn thuộc phạm vi phụ trách</t>
        </is>
      </c>
      <c r="D90" s="32" t="inlineStr">
        <is>
          <t>FT-04 AC-01; NFR-SEC03</t>
        </is>
      </c>
      <c r="E90" s="28" t="inlineStr">
        <is>
          <t>P1</t>
        </is>
      </c>
      <c r="F90" s="32" t="inlineStr">
        <is>
          <t>S1 phụ trách U1; S2 phụ trách U9</t>
        </is>
      </c>
      <c r="G90" s="32" t="inlineStr">
        <is>
          <t>orderService.GetDeliveryOrdersAsync(S1, query)</t>
        </is>
      </c>
      <c r="H90" s="32" t="inlineStr">
        <is>
          <t>Chỉ trả đơn của khách do S1 phụ trách</t>
        </is>
      </c>
      <c r="I90" s="32" t="inlineStr">
        <is>
          <t>No</t>
        </is>
      </c>
      <c r="J90" s="43" t="inlineStr">
        <is>
          <t>Pass</t>
        </is>
      </c>
      <c r="K90" s="32" t="n"/>
      <c r="L90" s="46" t="n"/>
      <c r="M90" s="43" t="inlineStr">
        <is>
          <t>✅ Pass (không đổi)</t>
        </is>
      </c>
    </row>
    <row r="91" ht="30" customHeight="1">
      <c r="A91" s="26" t="inlineStr">
        <is>
          <t>L1-ORD-71</t>
        </is>
      </c>
      <c r="B91" s="37" t="inlineStr">
        <is>
          <t>EP-Invalid</t>
        </is>
      </c>
      <c r="C91" s="27" t="inlineStr">
        <is>
          <t>GetSalesOrderDetail: Sales xem đơn ngoài phạm vi -&gt; forbidden</t>
        </is>
      </c>
      <c r="D91" s="27" t="inlineStr">
        <is>
          <t>NFR-SEC03; FT-04 NAC-04</t>
        </is>
      </c>
      <c r="E91" s="28" t="inlineStr">
        <is>
          <t>P1</t>
        </is>
      </c>
      <c r="F91" s="27" t="inlineStr">
        <is>
          <t>Đơn O9 thuộc khách của S2</t>
        </is>
      </c>
      <c r="G91" s="27" t="inlineStr">
        <is>
          <t>orderService.GetSalesOrderDetailAsync(S1, O9)</t>
        </is>
      </c>
      <c r="H91" s="27" t="inlineStr">
        <is>
          <t>Ném forbidden/not-found</t>
        </is>
      </c>
      <c r="I91" s="29" t="inlineStr">
        <is>
          <t>Yes</t>
        </is>
      </c>
      <c r="J91" s="43" t="inlineStr">
        <is>
          <t>Blocked</t>
        </is>
      </c>
      <c r="K91" s="27" t="n"/>
      <c r="L91" s="45" t="inlineStr">
        <is>
          <t>GetSalesOrderDetailAsync không có tham số caller — chuyển L3</t>
        </is>
      </c>
      <c r="M91" s="43" t="inlineStr">
        <is>
          <t>✅ ĐÃ FIX
OrderService.cs:1481,1501-1506 nhận Guid? salesStaffId, throw nếu khác order.SalesStaffId — đúng theo commit 4517274.</t>
        </is>
      </c>
    </row>
    <row r="92" ht="15" customHeight="1">
      <c r="A92" s="52" t="inlineStr">
        <is>
          <t xml:space="preserve">  ▶  Template Row — copy khi thêm case mới</t>
        </is>
      </c>
    </row>
    <row r="93" ht="53.25" customHeight="1">
      <c r="A93" s="43" t="inlineStr">
        <is>
          <t>L1-XX-[NN]</t>
        </is>
      </c>
      <c r="B93" s="43" t="inlineStr">
        <is>
          <t>[BC-TRUE | BC-FALSE | CC | EP-Valid | EP-Invalid | BVA-* | State-* | Guard-* | Concurrency | Idempotency | Atomicity]</t>
        </is>
      </c>
      <c r="C93" s="43" t="inlineStr">
        <is>
          <t>[Branch / condition / partition]</t>
        </is>
      </c>
      <c r="D93" s="43" t="inlineStr">
        <is>
          <t>[FT-xx AC/NAC/BV-xx; BR-xxx; NFR-xxx]</t>
        </is>
      </c>
      <c r="E93" s="43" t="inlineStr">
        <is>
          <t>P2</t>
        </is>
      </c>
      <c r="F93" s="43" t="inlineStr">
        <is>
          <t>[Arrange: state + _mock.Setup(...)]</t>
        </is>
      </c>
      <c r="G93" s="43" t="inlineStr">
        <is>
          <t>service.Method(params)</t>
        </is>
      </c>
      <c r="H93" s="43" t="inlineStr">
        <is>
          <t>[result.Should().Be(...) / Throws / _mock.Verify(..., Times.Never)]</t>
        </is>
      </c>
      <c r="I93" s="43" t="inlineStr">
        <is>
          <t>No</t>
        </is>
      </c>
      <c r="J93" s="43" t="inlineStr">
        <is>
          <t>Not Run</t>
        </is>
      </c>
      <c r="K93" s="43" t="n"/>
      <c r="L93" s="43" t="n"/>
    </row>
    <row r="94" ht="15.75" customHeight="1"/>
    <row r="95" ht="15" customHeight="1">
      <c r="A95" s="50" t="inlineStr">
        <is>
          <t xml:space="preserve">  ▶  Block: ⊕ v2.2 — Ngưỡng giao hỏng  |  DELIVERY_FAILURE_MANAGER_THRESHOLD vs hard-code  |  FT-07 BV-03; BR-040</t>
        </is>
      </c>
    </row>
    <row r="96" ht="46.5" customHeight="1">
      <c r="A96" s="26" t="inlineStr">
        <is>
          <t>L1-ORD-72</t>
        </is>
      </c>
      <c r="B96" s="37" t="inlineStr">
        <is>
          <t>BVA</t>
        </is>
      </c>
      <c r="C96" s="27" t="inlineStr">
        <is>
          <t>FailedDeliveryCount tại 2 / 3 / 4 -&gt; chặn giao và escalate</t>
        </is>
      </c>
      <c r="D96" s="27" t="inlineStr">
        <is>
          <t>FT-07 BV-03; BR-040</t>
        </is>
      </c>
      <c r="E96" s="28" t="inlineStr">
        <is>
          <t>P1</t>
        </is>
      </c>
      <c r="F96" s="27" t="inlineStr">
        <is>
          <t>[Theory] đơn O1 có FailedDeliveryCount = 2 / 3 trước khi ghi nhận lần hỏng tiếp theo</t>
        </is>
      </c>
      <c r="G96" s="27" t="inlineStr">
        <is>
          <t>orderService.RecordDeliveryResultAsync(O1, staffId, dto{failed:true, reasonCode})</t>
        </is>
      </c>
      <c r="H96" s="27" t="inlineStr">
        <is>
          <t>Khi FailedDeliveryCount &gt;= 3: IsBlockedForDelivery = true + tạo escalation cho Sales Manager
Dưới 3: vẫn cho lên lịch giao lại</t>
        </is>
      </c>
      <c r="I96" s="29" t="inlineStr">
        <is>
          <t>Yes</t>
        </is>
      </c>
      <c r="J96" s="43" t="inlineStr">
        <is>
          <t>Pass</t>
        </is>
      </c>
      <c r="K96" s="27" t="n"/>
      <c r="L96" s="45" t="n"/>
      <c r="M96" s="43" t="inlineStr">
        <is>
          <t>✅ Pass (không đổi)</t>
        </is>
      </c>
    </row>
    <row r="97" ht="46.5" customHeight="1">
      <c r="A97" s="31" t="inlineStr">
        <is>
          <t>L1-ORD-73</t>
        </is>
      </c>
      <c r="B97" s="37" t="inlineStr">
        <is>
          <t>EP-Invalid</t>
        </is>
      </c>
      <c r="C97" s="32" t="inlineStr">
        <is>
          <t>Ngưỡng giao hỏng KHÔNG đọc từ SystemConfig</t>
        </is>
      </c>
      <c r="D97" s="32" t="inlineStr">
        <is>
          <t>FT-07 BV-03; BR-040; BR-050</t>
        </is>
      </c>
      <c r="E97" s="28" t="inlineStr">
        <is>
          <t>P1</t>
        </is>
      </c>
      <c r="F97" s="32" t="inlineStr">
        <is>
          <t>Đổi SystemConfig 'DELIVERY_FAILURE_MANAGER_THRESHOLD' từ 3 thành 5
Đơn O1 có FailedDeliveryCount = 3</t>
        </is>
      </c>
      <c r="G97" s="32" t="inlineStr">
        <is>
          <t>orderService.RecordDeliveryResultAsync(O1, staffId, dto{failed:true})</t>
        </is>
      </c>
      <c r="H97" s="32" t="inlineStr">
        <is>
          <t>KỲ VỌNG THEO SPEC: chưa chặn (vì ngưỡng đã đổi thành 5)
HÀNH VI HIỆN TẠI: vẫn chặn vì code hard-code &gt;= 3</t>
        </is>
      </c>
      <c r="I97" s="35" t="inlineStr">
        <is>
          <t>Yes</t>
        </is>
      </c>
      <c r="J97" s="43" t="inlineStr">
        <is>
          <t>Fail</t>
        </is>
      </c>
      <c r="K97" s="32" t="n"/>
      <c r="L97" s="46" t="n"/>
      <c r="M97" s="43" t="inlineStr">
        <is>
          <t>✅ ĐÃ FIX
OrderService.cs:2274-2277 đọc DELIVERY_FAILURE_MANAGER_THRESHOLD qua ISystemConfigService, fallback 3 chỉ khi parse lỗi.</t>
        </is>
      </c>
    </row>
    <row r="98" ht="15.75" customHeight="1"/>
    <row r="99" ht="15.75" customHeight="1">
      <c r="A99" s="50" t="inlineStr">
        <is>
          <t xml:space="preserve">  ▶  Block: ⊕ v2.3 — Đối soát webhook: nhánh trả THIẾU  |  OrderService.cs ~L314  |  FT-03 BV-01; NAC-01; BR-009</t>
        </is>
      </c>
    </row>
    <row r="100" ht="46.5" customHeight="1">
      <c r="A100" s="26" t="inlineStr">
        <is>
          <t>L1-ORD-74</t>
        </is>
      </c>
      <c r="B100" s="37" t="inlineStr">
        <is>
          <t>BVA-Min-1 + Error Path</t>
        </is>
      </c>
      <c r="C100" s="27" t="inlineStr">
        <is>
          <t>transferAmount = FinalPayment - 1 -&gt; hiện tại return IM LẶNG</t>
        </is>
      </c>
      <c r="D100" s="27" t="inlineStr">
        <is>
          <t>FT-03 BV-01; NAC-01; BR-009</t>
        </is>
      </c>
      <c r="E100" s="28" t="inlineStr">
        <is>
          <t>P1</t>
        </is>
      </c>
      <c r="F100" s="27" t="inlineStr">
        <is>
          <t>Đơn O1 PaymentStatus = Pending, FinalPayment = 5.000.000đ
Webhook chữ ký hợp lệ, transferAmount = 4.999.999đ</t>
        </is>
      </c>
      <c r="G100" s="27" t="inlineStr">
        <is>
          <t>orderService.ProcessSePayWebhookAsync(payload, validToken)</t>
        </is>
      </c>
      <c r="H100" s="27" t="inlineStr">
        <is>
          <t>KỲ VỌNG THEO SRS: ghi PaymentException/SepayWebhookLog + tạo cảnh báo cho Sales Manager; PaymentStatus giữ Pending
HÀNH VI HIỆN TẠI: hàm `return;` im lặng — không log, không cảnh báo, không ai biết khách đã chuyển thiếu</t>
        </is>
      </c>
      <c r="I100" s="29" t="inlineStr">
        <is>
          <t>Yes</t>
        </is>
      </c>
      <c r="J100" s="43" t="inlineStr">
        <is>
          <t>Fail</t>
        </is>
      </c>
      <c r="K100" s="27" t="n"/>
      <c r="L100" s="45" t="inlineStr">
        <is>
          <t>ℹ Đối chiếu L2: OrderService.cs:323 nay dùng `!=` thay cho `&lt;` — L2-PAY-03 xanh cả 3 nhánh trên SQL Server thật. Nếu bản build hiện tại đã có thay đổi đó thì case này chuyển Pass khi chạy lại.</t>
        </is>
      </c>
      <c r="M100" s="43" t="inlineStr">
        <is>
          <t>✅ ĐÃ FIX
OrderService.cs:337 dùng phép so sánh != thay vì &lt;, tách nhánh UNDERPAYMENT ghi PaymentException + cảnh báo (341-345), không còn return im lặng.</t>
        </is>
      </c>
    </row>
    <row r="101" ht="46.5" customHeight="1">
      <c r="A101" s="31" t="inlineStr">
        <is>
          <t>L1-ORD-75</t>
        </is>
      </c>
      <c r="B101" s="37" t="inlineStr">
        <is>
          <t>BVA-Max+1</t>
        </is>
      </c>
      <c r="C101" s="32" t="inlineStr">
        <is>
          <t>transferAmount = FinalPayment + 1 -&gt; hiện tại vẫn ghi nhận Paid</t>
        </is>
      </c>
      <c r="D101" s="32" t="inlineStr">
        <is>
          <t>FT-03 BV-01; NAC-01</t>
        </is>
      </c>
      <c r="E101" s="28" t="inlineStr">
        <is>
          <t>P1</t>
        </is>
      </c>
      <c r="F101" s="32" t="inlineStr">
        <is>
          <t>Đơn O1 FinalPayment = 5.000.000đ; webhook transferAmount = 5.000.001đ</t>
        </is>
      </c>
      <c r="G101" s="32" t="inlineStr">
        <is>
          <t>orderService.ProcessSePayWebhookAsync(payload, validToken)</t>
        </is>
      </c>
      <c r="H101" s="32" t="inlineStr">
        <is>
          <t>KỲ VỌNG THEO SRS BV-01 (khớp CHÍNH XÁC): từ chối + đưa vào danh sách đối soát
HÀNH VI HIỆN TẠI: điều kiện dùng `&lt;` nên trả THỪA vẫn set Paid</t>
        </is>
      </c>
      <c r="I101" s="35" t="inlineStr">
        <is>
          <t>Yes</t>
        </is>
      </c>
      <c r="J101" s="43" t="inlineStr">
        <is>
          <t>Fail</t>
        </is>
      </c>
      <c r="K101" s="32" t="n"/>
      <c r="L101" s="46" t="inlineStr">
        <is>
          <t>ℹ Như L1-ORD-74 — hồi quy chéo bởi L2-PAY-03.</t>
        </is>
      </c>
      <c r="M101" s="43" t="inlineStr">
        <is>
          <t>✅ ĐÃ FIX
Cùng vị trí OrderService.cs:337-351, nhánh OVERPAYMENT bị từ chối + ghi đối soát, không tự set Paid.</t>
        </is>
      </c>
    </row>
    <row r="102" ht="46.5" customHeight="1">
      <c r="A102" s="26" t="inlineStr">
        <is>
          <t>L1-ORD-76</t>
        </is>
      </c>
      <c r="B102" s="37" t="inlineStr">
        <is>
          <t>EP-Valid</t>
        </is>
      </c>
      <c r="C102" s="27" t="inlineStr">
        <is>
          <t>transferAmount = FinalPayment (khớp chính xác) -&gt; Paid</t>
        </is>
      </c>
      <c r="D102" s="27" t="inlineStr">
        <is>
          <t>FT-03 AC-02; BV-01</t>
        </is>
      </c>
      <c r="E102" s="28" t="inlineStr">
        <is>
          <t>P1</t>
        </is>
      </c>
      <c r="F102" s="27" t="inlineStr">
        <is>
          <t>Đơn O1 FinalPayment = 5.000.000đ; webhook = 5.000.000đ, chữ ký hợp lệ</t>
        </is>
      </c>
      <c r="G102" s="27" t="inlineStr">
        <is>
          <t>orderService.ProcessSePayWebhookAsync(payload, validToken)</t>
        </is>
      </c>
      <c r="H102" s="27" t="inlineStr">
        <is>
          <t>PaymentStatus = Paid (2); tạo đúng 1 PaymentTransaction
Điểm giữa của [Theory] 3 mốc: -1 / khớp / +1</t>
        </is>
      </c>
      <c r="I102" s="27" t="inlineStr">
        <is>
          <t>No</t>
        </is>
      </c>
      <c r="J102" s="43" t="inlineStr">
        <is>
          <t>Pass</t>
        </is>
      </c>
      <c r="K102" s="27" t="n"/>
      <c r="L102" s="45" t="n"/>
      <c r="M102" s="43" t="inlineStr">
        <is>
          <t>✅ Pass (không đổi)</t>
        </is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99:L99"/>
    <mergeCell ref="A74:L74"/>
    <mergeCell ref="A56:L56"/>
    <mergeCell ref="A18:L18"/>
    <mergeCell ref="A21:L21"/>
    <mergeCell ref="A12:L12"/>
    <mergeCell ref="A95:L95"/>
    <mergeCell ref="A2:L2"/>
    <mergeCell ref="A86:L86"/>
    <mergeCell ref="A42:L42"/>
    <mergeCell ref="A5:L5"/>
    <mergeCell ref="A38:L38"/>
    <mergeCell ref="A28:L28"/>
    <mergeCell ref="A31:L31"/>
    <mergeCell ref="A92:L92"/>
    <mergeCell ref="A64:L64"/>
    <mergeCell ref="A51:L51"/>
    <mergeCell ref="A45:L45"/>
    <mergeCell ref="A1:L1"/>
    <mergeCell ref="A61:L61"/>
    <mergeCell ref="A79:L79"/>
  </mergeCells>
  <dataValidations count="2">
    <dataValidation sqref="E6:E11 E13:E17 E19:E20 E22:E27 E29:E30 E32:E37 E39:E41 E43:E44 E46:E50 E52:E55 E57:E60 E62:E63 E65:E73 E75:E78 E80:E85 E87:E91 E93 E96:E97 E100:E102" showDropDown="0" showInputMessage="0" showErrorMessage="0" allowBlank="1" type="list">
      <formula1>"P1,P2,P3"</formula1>
      <formula2>0</formula2>
    </dataValidation>
    <dataValidation sqref="J6:J11 J13:J17 J19:J20 J22:J27 J29:J30 J32:J37 J39:J41 J43:J44 J46:J50 J52:J55 J57:J60 J62:J63 J65:J73 J75:J78 J80:J85 J87:J91 J93 J96:J97 J100:J102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QuotationService  |  methods: CreateQuotationFromCartAsync, PickUpQuotationAsync, CreateVersionAsync, ManagerReviewVersionAsync, CeoReviewVersionAsync, CustomerDecisionAsync, CancelQuotationAsync, SendMessageAsync  |  Mock: IQuotationRepository, ICartRepository, IUserRepository, IUnitOfWork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CreateQuotationFromCartAsync()  |  FT-02 SB-2; 4.4.3 row 1; BR-04</t>
        </is>
      </c>
    </row>
    <row r="6" ht="43.5" customHeight="1">
      <c r="A6" s="26" t="inlineStr">
        <is>
          <t>L1-QUO-01</t>
        </is>
      </c>
      <c r="B6" s="37" t="inlineStr">
        <is>
          <t>Guard-TRUE</t>
        </is>
      </c>
      <c r="C6" s="27" t="inlineStr">
        <is>
          <t>Cart &gt;= 100M AND no saved negotiated price -&gt; Quotation 'Requested', Sales notified</t>
        </is>
      </c>
      <c r="D6" s="27" t="inlineStr">
        <is>
          <t>FT-02 AC-03; BV-01; BR-026</t>
        </is>
      </c>
      <c r="E6" s="28" t="inlineStr">
        <is>
          <t>P1</t>
        </is>
      </c>
      <c r="F6" s="27" t="inlineStr">
        <is>
          <t>Mock: cart total = 120,000,000; profile has no negotiated price</t>
        </is>
      </c>
      <c r="G6" s="27" t="inlineStr">
        <is>
          <t>quotationService.CreateQuotationFromCartAsync(U1, request)</t>
        </is>
      </c>
      <c r="H6" s="27" t="inlineStr">
        <is>
          <t>quotationRepo.CreateAsync() called once; Status = Requested
Sales notification triggered</t>
        </is>
      </c>
      <c r="I6" s="27" t="inlineStr">
        <is>
          <t>No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30" customHeight="1">
      <c r="A7" s="31" t="inlineStr">
        <is>
          <t>L1-QUO-02</t>
        </is>
      </c>
      <c r="B7" s="37" t="inlineStr">
        <is>
          <t>Guard-FALSE</t>
        </is>
      </c>
      <c r="C7" s="32" t="inlineStr">
        <is>
          <t>Cart &lt; 100M -&gt; quotation request rejected</t>
        </is>
      </c>
      <c r="D7" s="32" t="inlineStr">
        <is>
          <t>FT-02 NAC-02; BV-01</t>
        </is>
      </c>
      <c r="E7" s="28" t="inlineStr">
        <is>
          <t>P1</t>
        </is>
      </c>
      <c r="F7" s="32" t="inlineStr">
        <is>
          <t>Mock: cart total = 80,000,000</t>
        </is>
      </c>
      <c r="G7" s="32" t="inlineStr">
        <is>
          <t>quotationService.CreateQuotationFromCartAsync(U1, request)</t>
        </is>
      </c>
      <c r="H7" s="32" t="inlineStr">
        <is>
          <t>Rejected (below threshold); CreateAsync NEVER called</t>
        </is>
      </c>
      <c r="I7" s="35" t="inlineStr">
        <is>
          <t>Yes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18" customHeight="1">
      <c r="A8" s="50" t="inlineStr">
        <is>
          <t xml:space="preserve">  ▶  Block: PickUpQuotationAsync()  |  4.4.3 row 2</t>
        </is>
      </c>
    </row>
    <row r="9" ht="43.5" customHeight="1">
      <c r="A9" s="26" t="inlineStr">
        <is>
          <t>L1-QUO-03</t>
        </is>
      </c>
      <c r="B9" s="37" t="inlineStr">
        <is>
          <t>State-Valid</t>
        </is>
      </c>
      <c r="C9" s="27" t="inlineStr">
        <is>
          <t>Requested -&gt; Under Sales Review when Sales picks up</t>
        </is>
      </c>
      <c r="D9" s="27" t="inlineStr">
        <is>
          <t>FT-02 AC-04; BR-027</t>
        </is>
      </c>
      <c r="E9" s="28" t="inlineStr">
        <is>
          <t>P1</t>
        </is>
      </c>
      <c r="F9" s="27" t="inlineStr">
        <is>
          <t>Mock: quotation Q1 Status = Requested, no assigned staff</t>
        </is>
      </c>
      <c r="G9" s="27" t="inlineStr">
        <is>
          <t>quotationService.PickUpQuotationAsync(Q1, staffS1)</t>
        </is>
      </c>
      <c r="H9" s="27" t="inlineStr">
        <is>
          <t>Status = Under Sales Review; AssignedSalesStaff = S1
COGS &amp; margin data attached for pricing support</t>
        </is>
      </c>
      <c r="I9" s="27" t="inlineStr">
        <is>
          <t>No</t>
        </is>
      </c>
      <c r="J9" s="43" t="inlineStr">
        <is>
          <t>Pass</t>
        </is>
      </c>
      <c r="K9" s="27" t="n"/>
      <c r="L9" s="27" t="n"/>
      <c r="M9" s="43" t="inlineStr">
        <is>
          <t>✅ Pass (không đổi)</t>
        </is>
      </c>
    </row>
    <row r="10" ht="30" customHeight="1">
      <c r="A10" s="31" t="inlineStr">
        <is>
          <t>L1-QUO-04</t>
        </is>
      </c>
      <c r="B10" s="37" t="inlineStr">
        <is>
          <t>EP-Invalid</t>
        </is>
      </c>
      <c r="C10" s="32" t="inlineStr">
        <is>
          <t>Pick up a quotation already assigned to another staff -&gt; rejected</t>
        </is>
      </c>
      <c r="D10" s="32" t="inlineStr">
        <is>
          <t>FT-02 NAC-05; BR-027</t>
        </is>
      </c>
      <c r="E10" s="28" t="inlineStr">
        <is>
          <t>P1</t>
        </is>
      </c>
      <c r="F10" s="32" t="inlineStr">
        <is>
          <t>Q1 Status = Under Sales Review, AssignedSalesStaff = S2</t>
        </is>
      </c>
      <c r="G10" s="32" t="inlineStr">
        <is>
          <t>quotationService.PickUpQuotationAsync(Q1, staffS1)</t>
        </is>
      </c>
      <c r="H10" s="32" t="inlineStr">
        <is>
          <t>Throws conflict; assignment unchanged (still S2)</t>
        </is>
      </c>
      <c r="I10" s="35" t="inlineStr">
        <is>
          <t>Yes</t>
        </is>
      </c>
      <c r="J10" s="43" t="inlineStr">
        <is>
          <t>Pass</t>
        </is>
      </c>
      <c r="K10" s="32" t="n"/>
      <c r="L10" s="32" t="n"/>
      <c r="M10" s="43" t="inlineStr">
        <is>
          <t>✅ Pass (không đổi)</t>
        </is>
      </c>
    </row>
    <row r="11" ht="18" customHeight="1">
      <c r="A11" s="50" t="inlineStr">
        <is>
          <t xml:space="preserve">  ▶  Block: CreateVersionAsync()  |  4.4.3 row 3</t>
        </is>
      </c>
    </row>
    <row r="12" ht="43.5" customHeight="1">
      <c r="A12" s="26" t="inlineStr">
        <is>
          <t>L1-QUO-05</t>
        </is>
      </c>
      <c r="B12" s="37" t="inlineStr">
        <is>
          <t>State-Valid</t>
        </is>
      </c>
      <c r="C12" s="27" t="inlineStr">
        <is>
          <t>Sales submits proposed price -&gt; Waiting Admin Approval</t>
        </is>
      </c>
      <c r="D12" s="27" t="inlineStr">
        <is>
          <t>FT-02 AC-04; BR-007; BR-027</t>
        </is>
      </c>
      <c r="E12" s="28" t="inlineStr">
        <is>
          <t>P1</t>
        </is>
      </c>
      <c r="F12" s="27" t="inlineStr">
        <is>
          <t>Q1 Under Sales Review, assigned to S1</t>
        </is>
      </c>
      <c r="G12" s="27" t="inlineStr">
        <is>
          <t>quotationService.CreateVersionAsync(Q1, S1, {proposedPrice})</t>
        </is>
      </c>
      <c r="H12" s="27" t="inlineStr">
        <is>
          <t>New QuotationVersion persisted; Status = Waiting Admin Approval
Routed to Approval Centre</t>
        </is>
      </c>
      <c r="I12" s="27" t="inlineStr">
        <is>
          <t>No</t>
        </is>
      </c>
      <c r="J12" s="43" t="inlineStr">
        <is>
          <t>Pass</t>
        </is>
      </c>
      <c r="K12" s="27" t="n"/>
      <c r="L12" s="27" t="n"/>
      <c r="M12" s="43" t="inlineStr">
        <is>
          <t>✅ Pass (không đổi)</t>
        </is>
      </c>
    </row>
    <row r="13" ht="30" customHeight="1">
      <c r="A13" s="31" t="inlineStr">
        <is>
          <t>L1-QUO-06</t>
        </is>
      </c>
      <c r="B13" s="37" t="inlineStr">
        <is>
          <t>EP-Invalid</t>
        </is>
      </c>
      <c r="C13" s="32" t="inlineStr">
        <is>
          <t>Staff not assigned to the quotation submits a version -&gt; forbidden</t>
        </is>
      </c>
      <c r="D13" s="32" t="inlineStr">
        <is>
          <t>FT-02 NAC-05; BR-027</t>
        </is>
      </c>
      <c r="E13" s="28" t="inlineStr">
        <is>
          <t>P1</t>
        </is>
      </c>
      <c r="F13" s="32" t="inlineStr">
        <is>
          <t>Q1 assigned to S2</t>
        </is>
      </c>
      <c r="G13" s="32" t="inlineStr">
        <is>
          <t>quotationService.CreateVersionAsync(Q1, S1, req)</t>
        </is>
      </c>
      <c r="H13" s="32" t="inlineStr">
        <is>
          <t>Throws forbidden (403); no version created</t>
        </is>
      </c>
      <c r="I13" s="35" t="inlineStr">
        <is>
          <t>Yes</t>
        </is>
      </c>
      <c r="J13" s="43" t="inlineStr">
        <is>
          <t>Pass</t>
        </is>
      </c>
      <c r="K13" s="32" t="n"/>
      <c r="L13" s="32" t="n"/>
      <c r="M13" s="43" t="inlineStr">
        <is>
          <t>✅ Pass (không đổi)</t>
        </is>
      </c>
    </row>
    <row r="14" ht="18" customHeight="1">
      <c r="A14" s="50" t="inlineStr">
        <is>
          <t xml:space="preserve">  ▶  Block: ManagerReviewVersionAsync() / CeoReviewVersionAsync()  |  4.4.3 rows 4-5; BR-04</t>
        </is>
      </c>
    </row>
    <row r="15" ht="43.5" customHeight="1">
      <c r="A15" s="26" t="inlineStr">
        <is>
          <t>L1-QUO-07</t>
        </is>
      </c>
      <c r="B15" s="37" t="inlineStr">
        <is>
          <t>State-Valid</t>
        </is>
      </c>
      <c r="C15" s="27" t="inlineStr">
        <is>
          <t>Approval by authorised approver -&gt; Proposed to Customer</t>
        </is>
      </c>
      <c r="D15" s="27" t="inlineStr">
        <is>
          <t>FT-02 AC-04; BR-027</t>
        </is>
      </c>
      <c r="E15" s="28" t="inlineStr">
        <is>
          <t>P1</t>
        </is>
      </c>
      <c r="F15" s="27" t="inlineStr">
        <is>
          <t>Q1 Waiting Admin Approval; reviewer has Manager/CEO role</t>
        </is>
      </c>
      <c r="G15" s="27" t="inlineStr">
        <is>
          <t>quotationService.ManagerReviewVersionAsync(Q1, mgr, {approve=true})</t>
        </is>
      </c>
      <c r="H15" s="27" t="inlineStr">
        <is>
          <t>Version approved; proposal returned to customer
Status advances per approval chain</t>
        </is>
      </c>
      <c r="I15" s="27" t="inlineStr">
        <is>
          <t>No</t>
        </is>
      </c>
      <c r="J15" s="43" t="inlineStr">
        <is>
          <t>Pass</t>
        </is>
      </c>
      <c r="K15" s="27" t="n"/>
      <c r="L15" s="27" t="n"/>
      <c r="M15" s="43" t="inlineStr">
        <is>
          <t>✅ Pass (không đổi)</t>
        </is>
      </c>
    </row>
    <row r="16" ht="30" customHeight="1">
      <c r="A16" s="31" t="inlineStr">
        <is>
          <t>L1-QUO-08</t>
        </is>
      </c>
      <c r="B16" s="37" t="inlineStr">
        <is>
          <t>State-Valid</t>
        </is>
      </c>
      <c r="C16" s="32" t="inlineStr">
        <is>
          <t>Rejection -&gt; back to Under Sales Review with reason</t>
        </is>
      </c>
      <c r="D16" s="32" t="inlineStr">
        <is>
          <t>FT-02 AC-04; BR-027</t>
        </is>
      </c>
      <c r="E16" s="28" t="inlineStr">
        <is>
          <t>P1</t>
        </is>
      </c>
      <c r="F16" s="32" t="inlineStr">
        <is>
          <t>Q1 Waiting Admin Approval</t>
        </is>
      </c>
      <c r="G16" s="32" t="inlineStr">
        <is>
          <t>quotationService.ManagerReviewVersionAsync(Q1, mgr, {approve=false, reason})</t>
        </is>
      </c>
      <c r="H16" s="32" t="inlineStr">
        <is>
          <t>Status = Under Sales Review; rejection reason stored and visible to Sales</t>
        </is>
      </c>
      <c r="I16" s="32" t="inlineStr">
        <is>
          <t>No</t>
        </is>
      </c>
      <c r="J16" s="43" t="inlineStr">
        <is>
          <t>Pass</t>
        </is>
      </c>
      <c r="K16" s="32" t="n"/>
      <c r="L16" s="32" t="n"/>
      <c r="M16" s="43" t="inlineStr">
        <is>
          <t>✅ Pass (không đổi)</t>
        </is>
      </c>
    </row>
    <row r="17" ht="30" customHeight="1">
      <c r="A17" s="26" t="inlineStr">
        <is>
          <t>L1-QUO-09</t>
        </is>
      </c>
      <c r="B17" s="37" t="inlineStr">
        <is>
          <t>EP-Invalid</t>
        </is>
      </c>
      <c r="C17" s="27" t="inlineStr">
        <is>
          <t>Approval attempted by non-approver role -&gt; HTTP 403</t>
        </is>
      </c>
      <c r="D17" s="27" t="inlineStr">
        <is>
          <t>FT-02 NAC-05; NFR-SEC03</t>
        </is>
      </c>
      <c r="E17" s="28" t="inlineStr">
        <is>
          <t>P1</t>
        </is>
      </c>
      <c r="F17" s="27" t="inlineStr">
        <is>
          <t>Caller role = Sales Staff</t>
        </is>
      </c>
      <c r="G17" s="27" t="inlineStr">
        <is>
          <t>quotationService.CeoReviewVersionAsync(Q1, salesUser, req)</t>
        </is>
      </c>
      <c r="H17" s="27" t="inlineStr">
        <is>
          <t>Throws forbidden (403); status unchanged</t>
        </is>
      </c>
      <c r="I17" s="29" t="inlineStr">
        <is>
          <t>Yes</t>
        </is>
      </c>
      <c r="J17" s="43" t="inlineStr">
        <is>
          <t>Blocked</t>
        </is>
      </c>
      <c r="K17" s="27" t="n"/>
      <c r="L17" s="27" t="inlineStr">
        <is>
          <t>role gate được enforce ở QuotationController [Authorize], không nằm trong service — cần integration test (L2/L3).</t>
        </is>
      </c>
      <c r="M17" s="43" t="inlineStr">
        <is>
          <t>🔒 CẦN L3 (không phải bug)
CeoReviewVersionAsync (253-286) không tự check role, nhưng [Authorize(Roles="CEO")] ở QuotationController.cs:187 đã chặn. Có test L3: VietTien.IntegrationTests/RoleGateTests.cs:91-112 (L1_QUO_09_...).</t>
        </is>
      </c>
    </row>
    <row r="18" ht="18" customHeight="1">
      <c r="A18" s="50" t="inlineStr">
        <is>
          <t xml:space="preserve">  ▶  Block: CustomerDecisionAsync()  |  4.4.3 rows 6-8; FT-02 AC-06, NAC-06, BV-03</t>
        </is>
      </c>
    </row>
    <row r="19" ht="43.5" customHeight="1">
      <c r="A19" s="26" t="inlineStr">
        <is>
          <t>L1-QUO-10</t>
        </is>
      </c>
      <c r="B19" s="37" t="inlineStr">
        <is>
          <t>State-Valid</t>
        </is>
      </c>
      <c r="C19" s="27" t="inlineStr">
        <is>
          <t>Customer accepts (round &lt;= 5) -&gt; Accepted, negotiated price saved to account</t>
        </is>
      </c>
      <c r="D19" s="27" t="inlineStr">
        <is>
          <t>FT-02 AC-05; BR-026</t>
        </is>
      </c>
      <c r="E19" s="28" t="inlineStr">
        <is>
          <t>P1</t>
        </is>
      </c>
      <c r="F19" s="27" t="inlineStr">
        <is>
          <t>Q1 Proposed to Customer, round = 2</t>
        </is>
      </c>
      <c r="G19" s="27" t="inlineStr">
        <is>
          <t>quotationService.CustomerDecisionAsync(Q1, U1, {accept=true})</t>
        </is>
      </c>
      <c r="H19" s="27" t="inlineStr">
        <is>
          <t>Status = Accepted (terminal)
Negotiated price persisted on CustomerProfile for future &gt;= 100M orders</t>
        </is>
      </c>
      <c r="I19" s="27" t="inlineStr">
        <is>
          <t>No</t>
        </is>
      </c>
      <c r="J19" s="43" t="inlineStr">
        <is>
          <t>Pass</t>
        </is>
      </c>
      <c r="K19" s="27" t="n"/>
      <c r="L19" s="27" t="n"/>
      <c r="M19" s="43" t="inlineStr">
        <is>
          <t>✅ Pass (không đổi)</t>
        </is>
      </c>
    </row>
    <row r="20" ht="43.5" customHeight="1">
      <c r="A20" s="31" t="inlineStr">
        <is>
          <t>L1-QUO-11</t>
        </is>
      </c>
      <c r="B20" s="37" t="inlineStr">
        <is>
          <t>BVA-Max</t>
        </is>
      </c>
      <c r="C20" s="32" t="inlineStr">
        <is>
          <t>Reject at round &lt; 5 -&gt; next negotiation round opens</t>
        </is>
      </c>
      <c r="D20" s="32" t="inlineStr">
        <is>
          <t>FT-02 AC-04; NAC-04</t>
        </is>
      </c>
      <c r="E20" s="28" t="inlineStr">
        <is>
          <t>P1</t>
        </is>
      </c>
      <c r="F20" s="32" t="inlineStr">
        <is>
          <t>Q1 Proposed to Customer, round = 4</t>
        </is>
      </c>
      <c r="G20" s="32" t="inlineStr">
        <is>
          <t>quotationService.CustomerDecisionAsync(Q1, U1, {accept=false})</t>
        </is>
      </c>
      <c r="H20" s="32" t="inlineStr">
        <is>
          <t>Status = Under Sales Review; round counter = 5
Negotiation continues</t>
        </is>
      </c>
      <c r="I20" s="32" t="inlineStr">
        <is>
          <t>No</t>
        </is>
      </c>
      <c r="J20" s="43" t="inlineStr">
        <is>
          <t>Pass</t>
        </is>
      </c>
      <c r="K20" s="32" t="n"/>
      <c r="L20" s="46" t="n"/>
      <c r="M20" s="43" t="inlineStr">
        <is>
          <t>✅ Pass (không đổi)</t>
        </is>
      </c>
    </row>
    <row r="21" ht="43.5" customHeight="1">
      <c r="A21" s="26" t="inlineStr">
        <is>
          <t>L1-QUO-12</t>
        </is>
      </c>
      <c r="B21" s="37" t="inlineStr">
        <is>
          <t>BVA-Max+1</t>
        </is>
      </c>
      <c r="C21" s="27" t="inlineStr">
        <is>
          <t>5th consecutive rejection -&gt; Cancelled, further rounds blocked</t>
        </is>
      </c>
      <c r="D21" s="27" t="inlineStr">
        <is>
          <t>FT-02 AC-04; NAC-04</t>
        </is>
      </c>
      <c r="E21" s="28" t="inlineStr">
        <is>
          <t>P1</t>
        </is>
      </c>
      <c r="F21" s="27" t="inlineStr">
        <is>
          <t>Q1 Proposed to Customer, round = 5</t>
        </is>
      </c>
      <c r="G21" s="27" t="inlineStr">
        <is>
          <t>quotationService.CustomerDecisionAsync(Q1, U1, {accept=false})</t>
        </is>
      </c>
      <c r="H21" s="27" t="inlineStr">
        <is>
          <t>Status = Cancelled; no round 6 permitted
Escalation/notification recorded</t>
        </is>
      </c>
      <c r="I21" s="29" t="inlineStr">
        <is>
          <t>Yes</t>
        </is>
      </c>
      <c r="J21" s="43" t="inlineStr">
        <is>
          <t>Blocked</t>
        </is>
      </c>
      <c r="K21" s="27" t="n"/>
      <c r="L21" s="44" t="inlineStr">
        <is>
          <t>giới hạn 5 vòng đàm phán (BV-03) chưa được cài đặt trong QuotationService — spec gap, ghi nhận vào Notes.</t>
        </is>
      </c>
      <c r="M21" s="43" t="inlineStr">
        <is>
          <t>✅ ĐÃ FIX
QuotationService.cs:288,290,319-330 MaxNegotiationRounds=5; ở vòng thứ 5 bị từ chối thì set Cancelled, chặn vòng 6.</t>
        </is>
      </c>
    </row>
    <row r="22" ht="30" customHeight="1">
      <c r="A22" s="31" t="inlineStr">
        <is>
          <t>L1-QUO-13</t>
        </is>
      </c>
      <c r="B22" s="37" t="inlineStr">
        <is>
          <t>EP-Invalid</t>
        </is>
      </c>
      <c r="C22" s="32" t="inlineStr">
        <is>
          <t>Decision by a customer who does not own the quotation -&gt; forbidden</t>
        </is>
      </c>
      <c r="D22" s="32" t="inlineStr">
        <is>
          <t>FT-02 NAC-05; NFR-SEC03</t>
        </is>
      </c>
      <c r="E22" s="28" t="inlineStr">
        <is>
          <t>P1</t>
        </is>
      </c>
      <c r="F22" s="32" t="inlineStr">
        <is>
          <t>Q1 belongs to customer U9</t>
        </is>
      </c>
      <c r="G22" s="32" t="inlineStr">
        <is>
          <t>quotationService.CustomerDecisionAsync(Q1, U1, req)</t>
        </is>
      </c>
      <c r="H22" s="32" t="inlineStr">
        <is>
          <t>Throws forbidden/not-found; status unchanged</t>
        </is>
      </c>
      <c r="I22" s="35" t="inlineStr">
        <is>
          <t>Yes</t>
        </is>
      </c>
      <c r="J22" s="43" t="inlineStr">
        <is>
          <t>Pass</t>
        </is>
      </c>
      <c r="K22" s="32" t="n"/>
      <c r="L22" s="32" t="n"/>
      <c r="M22" s="43" t="inlineStr">
        <is>
          <t>✅ Pass (không đổi)</t>
        </is>
      </c>
    </row>
    <row r="23" ht="18" customHeight="1">
      <c r="A23" s="50" t="inlineStr">
        <is>
          <t xml:space="preserve">  ▶  Block: CancelQuotationAsync()  |  4.4.3 terminal-state rules</t>
        </is>
      </c>
    </row>
    <row r="24" ht="30" customHeight="1">
      <c r="A24" s="26" t="inlineStr">
        <is>
          <t>L1-QUO-14</t>
        </is>
      </c>
      <c r="B24" s="37" t="inlineStr">
        <is>
          <t>State-Valid</t>
        </is>
      </c>
      <c r="C24" s="27" t="inlineStr">
        <is>
          <t>Customer cancels an open quotation -&gt; Cancelled</t>
        </is>
      </c>
      <c r="D24" s="27" t="inlineStr">
        <is>
          <t>FT-02 NAC-05</t>
        </is>
      </c>
      <c r="E24" s="34" t="inlineStr">
        <is>
          <t>P2</t>
        </is>
      </c>
      <c r="F24" s="27" t="inlineStr">
        <is>
          <t>Q1 Status = Requested, owner U1</t>
        </is>
      </c>
      <c r="G24" s="27" t="inlineStr">
        <is>
          <t>quotationService.CancelQuotationAsync(Q1, U1)</t>
        </is>
      </c>
      <c r="H24" s="27" t="inlineStr">
        <is>
          <t>Status = Cancelled; Sales notified</t>
        </is>
      </c>
      <c r="I24" s="27" t="inlineStr">
        <is>
          <t>No</t>
        </is>
      </c>
      <c r="J24" s="43" t="inlineStr">
        <is>
          <t>Pass</t>
        </is>
      </c>
      <c r="K24" s="27" t="n"/>
      <c r="L24" s="27" t="n"/>
      <c r="M24" s="43" t="inlineStr">
        <is>
          <t>✅ Pass (không đổi)</t>
        </is>
      </c>
    </row>
    <row r="25" ht="30" customHeight="1">
      <c r="A25" s="31" t="inlineStr">
        <is>
          <t>L1-QUO-15</t>
        </is>
      </c>
      <c r="B25" s="37" t="inlineStr">
        <is>
          <t>State-Invalid</t>
        </is>
      </c>
      <c r="C25" s="32" t="inlineStr">
        <is>
          <t>Cancel an Accepted quotation -&gt; conflict (terminal state)</t>
        </is>
      </c>
      <c r="D25" s="32" t="inlineStr">
        <is>
          <t>FT-02 NAC-05; BR-007</t>
        </is>
      </c>
      <c r="E25" s="28" t="inlineStr">
        <is>
          <t>P1</t>
        </is>
      </c>
      <c r="F25" s="32" t="inlineStr">
        <is>
          <t>Q1 Status = Accepted</t>
        </is>
      </c>
      <c r="G25" s="32" t="inlineStr">
        <is>
          <t>quotationService.CancelQuotationAsync(Q1, U1)</t>
        </is>
      </c>
      <c r="H25" s="32" t="inlineStr">
        <is>
          <t>Throws conflict (409) 'quotation closed'; negotiated price remains saved</t>
        </is>
      </c>
      <c r="I25" s="35" t="inlineStr">
        <is>
          <t>Yes</t>
        </is>
      </c>
      <c r="J25" s="43" t="inlineStr">
        <is>
          <t>Pass</t>
        </is>
      </c>
      <c r="K25" s="32" t="n"/>
      <c r="L25" s="32" t="n"/>
      <c r="M25" s="43" t="inlineStr">
        <is>
          <t>✅ Pass (không đổi)</t>
        </is>
      </c>
    </row>
    <row r="26" ht="18" customHeight="1">
      <c r="A26" s="50" t="inlineStr">
        <is>
          <t xml:space="preserve">  ▶  Block: SendMessageAsync() / GetMessagesAsync()</t>
        </is>
      </c>
    </row>
    <row r="27" ht="30" customHeight="1">
      <c r="A27" s="26" t="inlineStr">
        <is>
          <t>L1-QUO-16</t>
        </is>
      </c>
      <c r="B27" s="37" t="inlineStr">
        <is>
          <t>EP-Valid</t>
        </is>
      </c>
      <c r="C27" s="27" t="inlineStr">
        <is>
          <t>Participant sends negotiation message -&gt; persisted and returned in thread</t>
        </is>
      </c>
      <c r="D27" s="27" t="inlineStr">
        <is>
          <t>FT-02 AC-04; BR-020; NFR-P04</t>
        </is>
      </c>
      <c r="E27" s="34" t="inlineStr">
        <is>
          <t>P2</t>
        </is>
      </c>
      <c r="F27" s="27" t="inlineStr">
        <is>
          <t>Q1 open; sender = assigned Sales S1</t>
        </is>
      </c>
      <c r="G27" s="27" t="inlineStr">
        <is>
          <t>quotationService.SendMessageAsync(Q1, S1, {content})</t>
        </is>
      </c>
      <c r="H27" s="27" t="inlineStr">
        <is>
          <t>quotationRepo.AddMessageAsync() called once; DTO returned with sender info</t>
        </is>
      </c>
      <c r="I27" s="27" t="inlineStr">
        <is>
          <t>No</t>
        </is>
      </c>
      <c r="J27" s="43" t="inlineStr">
        <is>
          <t>Pass</t>
        </is>
      </c>
      <c r="K27" s="27" t="n"/>
      <c r="L27" s="45" t="n"/>
      <c r="M27" s="43" t="inlineStr">
        <is>
          <t>✅ Pass (không đổi)</t>
        </is>
      </c>
    </row>
    <row r="28" ht="30" customHeight="1">
      <c r="A28" s="31" t="inlineStr">
        <is>
          <t>L1-QUO-17</t>
        </is>
      </c>
      <c r="B28" s="37" t="inlineStr">
        <is>
          <t>EP-Invalid</t>
        </is>
      </c>
      <c r="C28" s="32" t="inlineStr">
        <is>
          <t>Non-participant reads quotation messages -&gt; forbidden</t>
        </is>
      </c>
      <c r="D28" s="32" t="inlineStr">
        <is>
          <t>FT-02 NAC-05; NFR-SEC03</t>
        </is>
      </c>
      <c r="E28" s="28" t="inlineStr">
        <is>
          <t>P1</t>
        </is>
      </c>
      <c r="F28" s="32" t="inlineStr">
        <is>
          <t>U5 is neither owner nor assigned staff of Q1</t>
        </is>
      </c>
      <c r="G28" s="32" t="inlineStr">
        <is>
          <t>quotationService.GetMessagesAsync(Q1, U5, 'Customer')</t>
        </is>
      </c>
      <c r="H28" s="32" t="inlineStr">
        <is>
          <t>Throws forbidden; no messages returned</t>
        </is>
      </c>
      <c r="I28" s="35" t="inlineStr">
        <is>
          <t>Yes</t>
        </is>
      </c>
      <c r="J28" s="43" t="inlineStr">
        <is>
          <t>Pass</t>
        </is>
      </c>
      <c r="K28" s="32" t="n"/>
      <c r="L28" s="32" t="n"/>
      <c r="M28" s="43" t="inlineStr">
        <is>
          <t>✅ Pass (không đổi)</t>
        </is>
      </c>
    </row>
    <row r="29" ht="15" customHeight="1">
      <c r="A29" s="52" t="inlineStr">
        <is>
          <t xml:space="preserve">  ▶  Template Row — copy khi thêm case mới</t>
        </is>
      </c>
    </row>
    <row r="30" ht="53.25" customHeight="1">
      <c r="A30" s="43" t="inlineStr">
        <is>
          <t>L1-XX-[NN]</t>
        </is>
      </c>
      <c r="B30" s="43" t="inlineStr">
        <is>
          <t>[BC-TRUE | BC-FALSE | CC | EP-Valid | EP-Invalid | BVA-* | State-* | Guard-* | Concurrency | Idempotency | Atomicity]</t>
        </is>
      </c>
      <c r="C30" s="43" t="inlineStr">
        <is>
          <t>[Branch / condition / partition]</t>
        </is>
      </c>
      <c r="D30" s="43" t="inlineStr">
        <is>
          <t>[FT-xx AC/NAC/BV-xx; BR-xxx; NFR-xxx]</t>
        </is>
      </c>
      <c r="E30" s="43" t="inlineStr">
        <is>
          <t>P2</t>
        </is>
      </c>
      <c r="F30" s="43" t="inlineStr">
        <is>
          <t>[Arrange: state + _mock.Setup(...)]</t>
        </is>
      </c>
      <c r="G30" s="43" t="inlineStr">
        <is>
          <t>service.Method(params)</t>
        </is>
      </c>
      <c r="H30" s="43" t="inlineStr">
        <is>
          <t>[result.Should().Be(...) / Throws / _mock.Verify(..., Times.Never)]</t>
        </is>
      </c>
      <c r="I30" s="43" t="inlineStr">
        <is>
          <t>No</t>
        </is>
      </c>
      <c r="J30" s="43" t="inlineStr">
        <is>
          <t>Not Run</t>
        </is>
      </c>
      <c r="K30" s="43" t="n"/>
      <c r="L30" s="43" t="n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6:L26"/>
    <mergeCell ref="A2:L2"/>
    <mergeCell ref="A29:L29"/>
    <mergeCell ref="A11:L11"/>
    <mergeCell ref="A1:L1"/>
    <mergeCell ref="A23:L23"/>
    <mergeCell ref="A5:L5"/>
    <mergeCell ref="A14:L14"/>
    <mergeCell ref="A8:L8"/>
    <mergeCell ref="A18:L18"/>
  </mergeCells>
  <dataValidations count="2">
    <dataValidation sqref="E6:E7 E9:E10 E12:E13 E15:E17 E19:E22 E24:E25 E27:E28 E30" showDropDown="0" showInputMessage="0" showErrorMessage="0" allowBlank="1" type="list">
      <formula1>"P1,P2,P3"</formula1>
      <formula2>0</formula2>
    </dataValidation>
    <dataValidation sqref="J6:J7 J9:J10 J12:J13 J15:J17 J19:J22 J24:J25 J27:J28 J30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ManualPaymentService  |  methods: ManualConfirmAsync, RetryAllocationAsync, GetExceptionsAsync  |  EF Core InMemory (injects ApplicationDbContext)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ManualConfirmAsync()  |  FT-03 AC-03, NAC-02; 4.4.2 rows 5-6; BR-08</t>
        </is>
      </c>
    </row>
    <row r="6" ht="43.5" customHeight="1">
      <c r="A6" s="26" t="inlineStr">
        <is>
          <t>L1-MP-01</t>
        </is>
      </c>
      <c r="B6" s="37" t="inlineStr">
        <is>
          <t>State-Valid</t>
        </is>
      </c>
      <c r="C6" s="27" t="inlineStr">
        <is>
          <t>Awaiting Manual Verify + matching bank record -&gt; Paid + 'PAID - DO NOT COLLECT' lock</t>
        </is>
      </c>
      <c r="D6" s="27" t="inlineStr">
        <is>
          <t>FT-03 AC-05; NAC-03; BR-016</t>
        </is>
      </c>
      <c r="E6" s="28" t="inlineStr">
        <is>
          <t>P1</t>
        </is>
      </c>
      <c r="F6" s="27" t="inlineStr">
        <is>
          <t>Order O1 'Awaiting Manual Verify'; request contains verified bank transfer reference</t>
        </is>
      </c>
      <c r="G6" s="27" t="inlineStr">
        <is>
          <t>manualPaymentService.ManualConfirmAsync(O1, req, adminId)</t>
        </is>
      </c>
      <c r="H6" s="27" t="inlineStr">
        <is>
          <t>Payment status = Paid (permanently locked)
PaidFlag set for delivery invoice; confirmedBy recorded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43.5" customHeight="1">
      <c r="A7" s="31" t="inlineStr">
        <is>
          <t>L1-MP-02</t>
        </is>
      </c>
      <c r="B7" s="37" t="inlineStr">
        <is>
          <t>State-Invalid</t>
        </is>
      </c>
      <c r="C7" s="32" t="inlineStr">
        <is>
          <t>Manual confirm with NO matching transfer record -&gt; rejected, temp order cancelled</t>
        </is>
      </c>
      <c r="D7" s="32" t="inlineStr">
        <is>
          <t>FT-03 NAC-04; BR-016</t>
        </is>
      </c>
      <c r="E7" s="28" t="inlineStr">
        <is>
          <t>P1</t>
        </is>
      </c>
      <c r="F7" s="32" t="inlineStr">
        <is>
          <t>Order O1 'Awaiting Manual Verify'; manual override log empty</t>
        </is>
      </c>
      <c r="G7" s="32" t="inlineStr">
        <is>
          <t>manualPaymentService.ManualConfirmAsync(O1, req{noBankRef}, adminId)</t>
        </is>
      </c>
      <c r="H7" s="32" t="inlineStr">
        <is>
          <t>Confirmation rejected (maps to 422)
Order cancelled; reserved stock released</t>
        </is>
      </c>
      <c r="I7" s="35" t="inlineStr">
        <is>
          <t>Yes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43.5" customHeight="1">
      <c r="A8" s="26" t="inlineStr">
        <is>
          <t>L1-MP-03</t>
        </is>
      </c>
      <c r="B8" s="37" t="inlineStr">
        <is>
          <t>State-Invalid</t>
        </is>
      </c>
      <c r="C8" s="27" t="inlineStr">
        <is>
          <t>Manual confirm on an already-Paid order -&gt; conflict</t>
        </is>
      </c>
      <c r="D8" s="27" t="inlineStr">
        <is>
          <t>FT-03 NAC-02; BR-016; BR-029</t>
        </is>
      </c>
      <c r="E8" s="28" t="inlineStr">
        <is>
          <t>P1</t>
        </is>
      </c>
      <c r="F8" s="27" t="inlineStr">
        <is>
          <t>Order O1 Paid</t>
        </is>
      </c>
      <c r="G8" s="27" t="inlineStr">
        <is>
          <t>manualPaymentService.ManualConfirmAsync(O1, req, adminId)</t>
        </is>
      </c>
      <c r="H8" s="27" t="inlineStr">
        <is>
          <t>Throws conflict (409); payment record unchanged
No duplicate ledger entry</t>
        </is>
      </c>
      <c r="I8" s="29" t="inlineStr">
        <is>
          <t>Yes</t>
        </is>
      </c>
      <c r="J8" s="43" t="inlineStr">
        <is>
          <t>Pass</t>
        </is>
      </c>
      <c r="K8" s="27" t="n"/>
      <c r="L8" s="27" t="n"/>
      <c r="M8" s="43" t="inlineStr">
        <is>
          <t>✅ Pass (không đổi)</t>
        </is>
      </c>
    </row>
    <row r="9" ht="18" customHeight="1">
      <c r="A9" s="50" t="inlineStr">
        <is>
          <t xml:space="preserve">  ▶  Block: RetryAllocationAsync() / GetExceptionsAsync()</t>
        </is>
      </c>
    </row>
    <row r="10" ht="30" customHeight="1">
      <c r="A10" s="26" t="inlineStr">
        <is>
          <t>L1-MP-04</t>
        </is>
      </c>
      <c r="B10" s="37" t="inlineStr">
        <is>
          <t>EP-Valid</t>
        </is>
      </c>
      <c r="C10" s="27" t="inlineStr">
        <is>
          <t>Retry allocation of an unmatched SePay transaction -&gt; re-matched to correct order</t>
        </is>
      </c>
      <c r="D10" s="27" t="inlineStr">
        <is>
          <t>FT-03 AC-03; AC-05</t>
        </is>
      </c>
      <c r="E10" s="34" t="inlineStr">
        <is>
          <t>P2</t>
        </is>
      </c>
      <c r="F10" s="27" t="inlineStr">
        <is>
          <t>Exception item E1 (webhook arrived without matched order); order now identifiable</t>
        </is>
      </c>
      <c r="G10" s="27" t="inlineStr">
        <is>
          <t>manualPaymentService.RetryAllocationAsync(O1, adminId, note)</t>
        </is>
      </c>
      <c r="H10" s="27" t="inlineStr">
        <is>
          <t>Transaction allocated to O1; removed from exception list; note stored</t>
        </is>
      </c>
      <c r="I10" s="27" t="inlineStr">
        <is>
          <t>No</t>
        </is>
      </c>
      <c r="J10" s="43" t="inlineStr">
        <is>
          <t>Pass</t>
        </is>
      </c>
      <c r="K10" s="27" t="n"/>
      <c r="L10" s="27" t="n"/>
      <c r="M10" s="43" t="inlineStr">
        <is>
          <t>✅ Pass (không đổi)</t>
        </is>
      </c>
    </row>
    <row r="11" ht="30" customHeight="1">
      <c r="A11" s="31" t="inlineStr">
        <is>
          <t>L1-MP-05</t>
        </is>
      </c>
      <c r="B11" s="37" t="inlineStr">
        <is>
          <t>EP-Valid</t>
        </is>
      </c>
      <c r="C11" s="32" t="inlineStr">
        <is>
          <t>GetExceptions returns ONLY unresolved SePay exceptions</t>
        </is>
      </c>
      <c r="D11" s="32" t="inlineStr">
        <is>
          <t>FT-03 AC-03</t>
        </is>
      </c>
      <c r="E11" s="36" t="inlineStr">
        <is>
          <t>P2</t>
        </is>
      </c>
      <c r="F11" s="32" t="inlineStr">
        <is>
          <t>DB: 2 unresolved + 1 resolved exception items</t>
        </is>
      </c>
      <c r="G11" s="32" t="inlineStr">
        <is>
          <t>manualPaymentService.GetExceptionsAsync()</t>
        </is>
      </c>
      <c r="H11" s="32" t="inlineStr">
        <is>
          <t>Returns exactly the 2 unresolved items</t>
        </is>
      </c>
      <c r="I11" s="32" t="inlineStr">
        <is>
          <t>No</t>
        </is>
      </c>
      <c r="J11" s="43" t="inlineStr">
        <is>
          <t>Pass</t>
        </is>
      </c>
      <c r="K11" s="32" t="n"/>
      <c r="L11" s="32" t="n"/>
      <c r="M11" s="43" t="inlineStr">
        <is>
          <t>✅ Pass (không đổi)</t>
        </is>
      </c>
    </row>
    <row r="12" ht="15" customHeight="1">
      <c r="A12" s="52" t="inlineStr">
        <is>
          <t xml:space="preserve">  ▶  Template Row — copy khi thêm case mới</t>
        </is>
      </c>
    </row>
    <row r="13" ht="53.25" customHeight="1">
      <c r="A13" s="43" t="inlineStr">
        <is>
          <t>L1-XX-[NN]</t>
        </is>
      </c>
      <c r="B13" s="43" t="inlineStr">
        <is>
          <t>[BC-TRUE | BC-FALSE | CC | EP-Valid | EP-Invalid | BVA-* | State-* | Guard-* | Concurrency | Idempotency | Atomicity]</t>
        </is>
      </c>
      <c r="C13" s="43" t="inlineStr">
        <is>
          <t>[Branch / condition / partition]</t>
        </is>
      </c>
      <c r="D13" s="43" t="inlineStr">
        <is>
          <t>[FT-xx AC/NAC/BV-xx; BR-xxx; NFR-xxx]</t>
        </is>
      </c>
      <c r="E13" s="43" t="inlineStr">
        <is>
          <t>P2</t>
        </is>
      </c>
      <c r="F13" s="43" t="inlineStr">
        <is>
          <t>[Arrange: state + _mock.Setup(...)]</t>
        </is>
      </c>
      <c r="G13" s="43" t="inlineStr">
        <is>
          <t>service.Method(params)</t>
        </is>
      </c>
      <c r="H13" s="43" t="inlineStr">
        <is>
          <t>[result.Should().Be(...) / Throws / _mock.Verify(..., Times.Never)]</t>
        </is>
      </c>
      <c r="I13" s="43" t="inlineStr">
        <is>
          <t>No</t>
        </is>
      </c>
      <c r="J13" s="43" t="inlineStr">
        <is>
          <t>Not Run</t>
        </is>
      </c>
      <c r="K13" s="43" t="n"/>
      <c r="L13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:L1"/>
    <mergeCell ref="A5:L5"/>
    <mergeCell ref="A9:L9"/>
    <mergeCell ref="A12:L12"/>
  </mergeCells>
  <dataValidations count="2">
    <dataValidation sqref="E6:E8 E10:E11 E13" showDropDown="0" showInputMessage="0" showErrorMessage="0" allowBlank="1" type="list">
      <formula1>"P1,P2,P3"</formula1>
      <formula2>0</formula2>
    </dataValidation>
    <dataValidation sqref="J6:J8 J10:J11 J13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WarehouseService  |  methods: GetOrdersForWarehouseAsync, GetOrderDetailAsync, AcceptOrderAsync, ReportShortageAsync, CompletePickTaskAsync, ConsolidateOrderAsync, HandoverOrderAsync, PostGoodsIssueAsync  |  EF Core InMemory + Mock: IHubContext&lt;SalesHub&gt;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GetOrdersForWarehouseAsync()  |  FT-04 BV-03 FIFO; BR-09</t>
        </is>
      </c>
    </row>
    <row r="6" ht="30" customHeight="1">
      <c r="A6" s="26" t="inlineStr">
        <is>
          <t>L1-WH-01</t>
        </is>
      </c>
      <c r="B6" s="37" t="inlineStr">
        <is>
          <t>EP-Valid</t>
        </is>
      </c>
      <c r="C6" s="27" t="inlineStr">
        <is>
          <t>FIFO ordering: order confirmed 08:00 listed before order confirmed 08:05</t>
        </is>
      </c>
      <c r="D6" s="27" t="inlineStr">
        <is>
          <t>FT-05 AC-01; BR-011</t>
        </is>
      </c>
      <c r="E6" s="28" t="inlineStr">
        <is>
          <t>P1</t>
        </is>
      </c>
      <c r="F6" s="27" t="inlineStr">
        <is>
          <t>Order A confirmed 08:00, Order B confirmed 08:05 (both Confirmed)</t>
        </is>
      </c>
      <c r="G6" s="27" t="inlineStr">
        <is>
          <t>warehouseService.GetOrdersForWarehouseAsync('pending', 1, 20)</t>
        </is>
      </c>
      <c r="H6" s="27" t="inlineStr">
        <is>
          <t>Result[0] = Order A, Result[1] = Order B (strict ascending confirmation time)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L1-WH-02</t>
        </is>
      </c>
      <c r="B7" s="37" t="inlineStr">
        <is>
          <t>EP-Valid</t>
        </is>
      </c>
      <c r="C7" s="32" t="inlineStr">
        <is>
          <t>tabType filter returns only orders in matching status</t>
        </is>
      </c>
      <c r="D7" s="32" t="inlineStr">
        <is>
          <t>FT-05 AC-01</t>
        </is>
      </c>
      <c r="E7" s="36" t="inlineStr">
        <is>
          <t>P2</t>
        </is>
      </c>
      <c r="F7" s="32" t="inlineStr">
        <is>
          <t>Orders in Confirmed, Packing, Packed states</t>
        </is>
      </c>
      <c r="G7" s="32" t="inlineStr">
        <is>
          <t>warehouseService.GetOrdersForWarehouseAsync('packing', 1, 20)</t>
        </is>
      </c>
      <c r="H7" s="32" t="inlineStr">
        <is>
          <t>Only Packing-state orders returned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18" customHeight="1">
      <c r="A8" s="50" t="inlineStr">
        <is>
          <t xml:space="preserve">  ▶  Block: AcceptOrderAsync()  |  4.4.1 row 4</t>
        </is>
      </c>
    </row>
    <row r="9" ht="43.5" customHeight="1">
      <c r="A9" s="26" t="inlineStr">
        <is>
          <t>L1-WH-03</t>
        </is>
      </c>
      <c r="B9" s="37" t="inlineStr">
        <is>
          <t>State-Valid</t>
        </is>
      </c>
      <c r="C9" s="27" t="inlineStr">
        <is>
          <t>Confirmed order accepted by Warehouse -&gt; Packing, ticket locked to staff</t>
        </is>
      </c>
      <c r="D9" s="27" t="inlineStr">
        <is>
          <t>FT-05 AC-01; AC-04</t>
        </is>
      </c>
      <c r="E9" s="28" t="inlineStr">
        <is>
          <t>P1</t>
        </is>
      </c>
      <c r="F9" s="27" t="inlineStr">
        <is>
          <t>Order O1 Confirmed, stock sufficient</t>
        </is>
      </c>
      <c r="G9" s="27" t="inlineStr">
        <is>
          <t>warehouseService.AcceptOrderAsync(O1, whStaffId)</t>
        </is>
      </c>
      <c r="H9" s="27" t="inlineStr">
        <is>
          <t>Status = Packing; ticket locked to whStaffId
SalesHub notification pushed</t>
        </is>
      </c>
      <c r="I9" s="27" t="inlineStr">
        <is>
          <t>No</t>
        </is>
      </c>
      <c r="J9" s="43" t="inlineStr">
        <is>
          <t>Pass</t>
        </is>
      </c>
      <c r="K9" s="27" t="n"/>
      <c r="L9" s="27" t="n"/>
      <c r="M9" s="43" t="inlineStr">
        <is>
          <t>✅ Pass (không đổi)</t>
        </is>
      </c>
    </row>
    <row r="10" ht="30" customHeight="1">
      <c r="A10" s="31" t="inlineStr">
        <is>
          <t>L1-WH-04</t>
        </is>
      </c>
      <c r="B10" s="37" t="inlineStr">
        <is>
          <t>State-Invalid</t>
        </is>
      </c>
      <c r="C10" s="32" t="inlineStr">
        <is>
          <t>Accept an order not in Confirmed state -&gt; conflict</t>
        </is>
      </c>
      <c r="D10" s="32" t="inlineStr">
        <is>
          <t>FT-05 NAC-05; BR-021</t>
        </is>
      </c>
      <c r="E10" s="28" t="inlineStr">
        <is>
          <t>P1</t>
        </is>
      </c>
      <c r="F10" s="32" t="inlineStr">
        <is>
          <t>Order O1 status = In Delivery</t>
        </is>
      </c>
      <c r="G10" s="32" t="inlineStr">
        <is>
          <t>warehouseService.AcceptOrderAsync(O1, whStaffId)</t>
        </is>
      </c>
      <c r="H10" s="32" t="inlineStr">
        <is>
          <t>Throws conflict (409) illegal state transition; no lock created</t>
        </is>
      </c>
      <c r="I10" s="35" t="inlineStr">
        <is>
          <t>Yes</t>
        </is>
      </c>
      <c r="J10" s="43" t="inlineStr">
        <is>
          <t>Pass</t>
        </is>
      </c>
      <c r="K10" s="32" t="n"/>
      <c r="L10" s="32" t="n"/>
      <c r="M10" s="43" t="inlineStr">
        <is>
          <t>✅ Pass (không đổi)</t>
        </is>
      </c>
    </row>
    <row r="11" ht="18" customHeight="1">
      <c r="A11" s="50" t="inlineStr">
        <is>
          <t xml:space="preserve">  ▶  Block: ReportShortageAsync()  |  4.4.1 row 6; FT-04 SB-1</t>
        </is>
      </c>
    </row>
    <row r="12" ht="43.5" customHeight="1">
      <c r="A12" s="26" t="inlineStr">
        <is>
          <t>L1-WH-05</t>
        </is>
      </c>
      <c r="B12" s="37" t="inlineStr">
        <is>
          <t>State-Valid</t>
        </is>
      </c>
      <c r="C12" s="27" t="inlineStr">
        <is>
          <t>Packing + insufficient line item -&gt; Shortage, packing halted, Sales notified</t>
        </is>
      </c>
      <c r="D12" s="27" t="inlineStr">
        <is>
          <t>FT-05 NAC-04; BR-032</t>
        </is>
      </c>
      <c r="E12" s="28" t="inlineStr">
        <is>
          <t>P1</t>
        </is>
      </c>
      <c r="F12" s="27" t="inlineStr">
        <is>
          <t>Order O1 Packing; alert lists short SKU + quantities</t>
        </is>
      </c>
      <c r="G12" s="27" t="inlineStr">
        <is>
          <t>warehouseService.ReportShortageAsync(O1, staff, alert)</t>
        </is>
      </c>
      <c r="H12" s="27" t="inlineStr">
        <is>
          <t>Status = Shortage; packing flow halted
Sales notified immediately to contact customer</t>
        </is>
      </c>
      <c r="I12" s="27" t="inlineStr">
        <is>
          <t>No</t>
        </is>
      </c>
      <c r="J12" s="43" t="inlineStr">
        <is>
          <t>Pass</t>
        </is>
      </c>
      <c r="K12" s="27" t="n"/>
      <c r="L12" s="27" t="n"/>
      <c r="M12" s="43" t="inlineStr">
        <is>
          <t>✅ Pass (không đổi)</t>
        </is>
      </c>
    </row>
    <row r="13" ht="30" customHeight="1">
      <c r="A13" s="31" t="inlineStr">
        <is>
          <t>L1-WH-06</t>
        </is>
      </c>
      <c r="B13" s="37" t="inlineStr">
        <is>
          <t>EP-Invalid</t>
        </is>
      </c>
      <c r="C13" s="32" t="inlineStr">
        <is>
          <t>Report shortage on an order not in Packing -&gt; rejected</t>
        </is>
      </c>
      <c r="D13" s="32" t="inlineStr">
        <is>
          <t>FT-05 NAC-04</t>
        </is>
      </c>
      <c r="E13" s="36" t="inlineStr">
        <is>
          <t>P2</t>
        </is>
      </c>
      <c r="F13" s="32" t="inlineStr">
        <is>
          <t>Order O1 status = Packed</t>
        </is>
      </c>
      <c r="G13" s="32" t="inlineStr">
        <is>
          <t>warehouseService.ReportShortageAsync(O1, staff, alert)</t>
        </is>
      </c>
      <c r="H13" s="32" t="inlineStr">
        <is>
          <t>Rejected; status unchanged; no notification</t>
        </is>
      </c>
      <c r="I13" s="35" t="inlineStr">
        <is>
          <t>Yes</t>
        </is>
      </c>
      <c r="J13" s="43" t="inlineStr">
        <is>
          <t>Pass</t>
        </is>
      </c>
      <c r="K13" s="32" t="n"/>
      <c r="L13" s="32" t="n"/>
      <c r="M13" s="43" t="inlineStr">
        <is>
          <t>✅ Pass (không đổi)</t>
        </is>
      </c>
    </row>
    <row r="14" ht="18" customHeight="1">
      <c r="A14" s="50" t="inlineStr">
        <is>
          <t xml:space="preserve">  ▶  Block: CompletePickTaskAsync() / ConsolidateOrderAsync()  |  fulfilment pipeline (v6.0 picking flow)</t>
        </is>
      </c>
    </row>
    <row r="15" ht="43.5" customHeight="1">
      <c r="A15" s="26" t="inlineStr">
        <is>
          <t>L1-WH-07</t>
        </is>
      </c>
      <c r="B15" s="37" t="inlineStr">
        <is>
          <t>State-Valid</t>
        </is>
      </c>
      <c r="C15" s="27" t="inlineStr">
        <is>
          <t>Complete pick task on a Packing order -&gt; pick completed, next stage enabled</t>
        </is>
      </c>
      <c r="D15" s="27" t="inlineStr">
        <is>
          <t>FT-05 AC-04; NAC-04</t>
        </is>
      </c>
      <c r="E15" s="28" t="inlineStr">
        <is>
          <t>P1</t>
        </is>
      </c>
      <c r="F15" s="27" t="inlineStr">
        <is>
          <t>Order O1 Packing, pick task locked to staff W1</t>
        </is>
      </c>
      <c r="G15" s="27" t="inlineStr">
        <is>
          <t>warehouseService.CompletePickTaskAsync(O1, W1)</t>
        </is>
      </c>
      <c r="H15" s="27" t="inlineStr">
        <is>
          <t>Pick task marked completed; order eligible for consolidation
Progress notification pushed</t>
        </is>
      </c>
      <c r="I15" s="27" t="inlineStr">
        <is>
          <t>No</t>
        </is>
      </c>
      <c r="J15" s="43" t="inlineStr">
        <is>
          <t>Pass</t>
        </is>
      </c>
      <c r="K15" s="27" t="n"/>
      <c r="L15" s="45" t="n"/>
      <c r="M15" s="43" t="inlineStr">
        <is>
          <t>✅ Pass (không đổi)</t>
        </is>
      </c>
    </row>
    <row r="16" ht="30" customHeight="1">
      <c r="A16" s="31" t="inlineStr">
        <is>
          <t>L1-WH-08</t>
        </is>
      </c>
      <c r="B16" s="37" t="inlineStr">
        <is>
          <t>EP-Invalid</t>
        </is>
      </c>
      <c r="C16" s="32" t="inlineStr">
        <is>
          <t>Complete pick task by a staff who does not own the lock -&gt; rejected</t>
        </is>
      </c>
      <c r="D16" s="32" t="inlineStr">
        <is>
          <t>FT-05 NAC-05; NFR-SEC03</t>
        </is>
      </c>
      <c r="E16" s="28" t="inlineStr">
        <is>
          <t>P1</t>
        </is>
      </c>
      <c r="F16" s="32" t="inlineStr">
        <is>
          <t>Pick task locked to W2</t>
        </is>
      </c>
      <c r="G16" s="32" t="inlineStr">
        <is>
          <t>warehouseService.CompletePickTaskAsync(O1, W1)</t>
        </is>
      </c>
      <c r="H16" s="32" t="inlineStr">
        <is>
          <t>Throws forbidden/conflict; task state unchanged</t>
        </is>
      </c>
      <c r="I16" s="35" t="inlineStr">
        <is>
          <t>Yes</t>
        </is>
      </c>
      <c r="J16" s="43" t="inlineStr">
        <is>
          <t>Pass</t>
        </is>
      </c>
      <c r="K16" s="32" t="n"/>
      <c r="L16" s="32" t="n"/>
      <c r="M16" s="43" t="inlineStr">
        <is>
          <t>✅ Pass (không đổi)</t>
        </is>
      </c>
    </row>
    <row r="17" ht="30" customHeight="1">
      <c r="A17" s="26" t="inlineStr">
        <is>
          <t>L1-WH-09</t>
        </is>
      </c>
      <c r="B17" s="37" t="inlineStr">
        <is>
          <t>State-Valid</t>
        </is>
      </c>
      <c r="C17" s="27" t="inlineStr">
        <is>
          <t>Consolidate after all pick tasks complete -&gt; order consolidated/Packed</t>
        </is>
      </c>
      <c r="D17" s="27" t="inlineStr">
        <is>
          <t>FT-05 AC-04; AC-03; BR-012</t>
        </is>
      </c>
      <c r="E17" s="34" t="inlineStr">
        <is>
          <t>P2</t>
        </is>
      </c>
      <c r="F17" s="27" t="inlineStr">
        <is>
          <t>Order O1 with all pick tasks completed</t>
        </is>
      </c>
      <c r="G17" s="27" t="inlineStr">
        <is>
          <t>warehouseService.ConsolidateOrderAsync(O1, W1)</t>
        </is>
      </c>
      <c r="H17" s="27" t="inlineStr">
        <is>
          <t>Order advances to consolidated/Packed; Sales notified ready for dispatch</t>
        </is>
      </c>
      <c r="I17" s="27" t="inlineStr">
        <is>
          <t>No</t>
        </is>
      </c>
      <c r="J17" s="43" t="inlineStr">
        <is>
          <t>Pass</t>
        </is>
      </c>
      <c r="K17" s="27" t="n"/>
      <c r="L17" s="45" t="n"/>
      <c r="M17" s="43" t="inlineStr">
        <is>
          <t>✅ Pass (không đổi)</t>
        </is>
      </c>
    </row>
    <row r="18" ht="18" customHeight="1">
      <c r="A18" s="50" t="inlineStr">
        <is>
          <t xml:space="preserve">  ▶  Block: HandoverOrderAsync() / PostGoodsIssueAsync()  |  FT-04 AC-02, NAC-03; BV-02</t>
        </is>
      </c>
    </row>
    <row r="19" ht="43.5" customHeight="1">
      <c r="A19" s="26" t="inlineStr">
        <is>
          <t>L1-WH-10</t>
        </is>
      </c>
      <c r="B19" s="37" t="inlineStr">
        <is>
          <t>EP-Valid</t>
        </is>
      </c>
      <c r="C19" s="27" t="inlineStr">
        <is>
          <t>Handover with signature -&gt; HandoverRecord created, order released to delivery</t>
        </is>
      </c>
      <c r="D19" s="27" t="inlineStr">
        <is>
          <t>FT-05 AC-05; BV-03; BR-034</t>
        </is>
      </c>
      <c r="E19" s="34" t="inlineStr">
        <is>
          <t>P2</t>
        </is>
      </c>
      <c r="F19" s="27" t="inlineStr">
        <is>
          <t>Order O1 Packed/consolidated; signature payload provided</t>
        </is>
      </c>
      <c r="G19" s="27" t="inlineStr">
        <is>
          <t>warehouseService.HandoverOrderAsync(O1, W1, signatureBase64)</t>
        </is>
      </c>
      <c r="H19" s="27" t="inlineStr">
        <is>
          <t>HandoverRecord persisted with signature + staff + timestamp
Order released to delivery scheduling</t>
        </is>
      </c>
      <c r="I19" s="27" t="inlineStr">
        <is>
          <t>No</t>
        </is>
      </c>
      <c r="J19" s="43" t="inlineStr">
        <is>
          <t>Pass</t>
        </is>
      </c>
      <c r="K19" s="27" t="n"/>
      <c r="L19" s="45" t="n"/>
      <c r="M19" s="43" t="inlineStr">
        <is>
          <t>✅ Pass (không đổi)</t>
        </is>
      </c>
    </row>
    <row r="20" ht="43.5" customHeight="1">
      <c r="A20" s="31" t="inlineStr">
        <is>
          <t>L1-WH-11</t>
        </is>
      </c>
      <c r="B20" s="37" t="inlineStr">
        <is>
          <t>State-Valid</t>
        </is>
      </c>
      <c r="C20" s="32" t="inlineStr">
        <is>
          <t>Post goods issue -&gt; finished-goods stock decremented atomically</t>
        </is>
      </c>
      <c r="D20" s="32" t="inlineStr">
        <is>
          <t>FT-05 AC-05; BV-01; BV-02; BR-032; NFR-A05</t>
        </is>
      </c>
      <c r="E20" s="28" t="inlineStr">
        <is>
          <t>P1</t>
        </is>
      </c>
      <c r="F20" s="32" t="inlineStr">
        <is>
          <t>Order O1 lines: P1 qty=4; stock P1 = 10</t>
        </is>
      </c>
      <c r="G20" s="32" t="inlineStr">
        <is>
          <t>warehouseService.PostGoodsIssueAsync(O1, W1)</t>
        </is>
      </c>
      <c r="H20" s="32" t="inlineStr">
        <is>
          <t>Stock P1 = 6; StockTransaction logged
Decrement + status update in ONE transaction</t>
        </is>
      </c>
      <c r="I20" s="32" t="inlineStr">
        <is>
          <t>No</t>
        </is>
      </c>
      <c r="J20" s="43" t="inlineStr">
        <is>
          <t>Pass</t>
        </is>
      </c>
      <c r="K20" s="32" t="n"/>
      <c r="L20" s="32" t="n"/>
      <c r="M20" s="43" t="inlineStr">
        <is>
          <t>✅ Pass (không đổi)</t>
        </is>
      </c>
    </row>
    <row r="21" ht="43.5" customHeight="1">
      <c r="A21" s="26" t="inlineStr">
        <is>
          <t>L1-WH-12</t>
        </is>
      </c>
      <c r="B21" s="37" t="inlineStr">
        <is>
          <t>EP-Invalid</t>
        </is>
      </c>
      <c r="C21" s="27" t="inlineStr">
        <is>
          <t>Post goods issue when stock would go negative -&gt; blocked, no partial decrement</t>
        </is>
      </c>
      <c r="D21" s="27" t="inlineStr">
        <is>
          <t>FT-05 NAC-01; BV-01; BR-032</t>
        </is>
      </c>
      <c r="E21" s="28" t="inlineStr">
        <is>
          <t>P1</t>
        </is>
      </c>
      <c r="F21" s="27" t="inlineStr">
        <is>
          <t>Order O1 lines: P1 qty=4, P2 qty=2; stock P1=10, P2=1</t>
        </is>
      </c>
      <c r="G21" s="27" t="inlineStr">
        <is>
          <t>warehouseService.PostGoodsIssueAsync(O1, W1)</t>
        </is>
      </c>
      <c r="H21" s="27" t="inlineStr">
        <is>
          <t>Rejected: insufficient stock
P1 stock still 10 (full rollback — all-or-nothing)</t>
        </is>
      </c>
      <c r="I21" s="29" t="inlineStr">
        <is>
          <t>Yes</t>
        </is>
      </c>
      <c r="J21" s="43" t="inlineStr">
        <is>
          <t>Pass</t>
        </is>
      </c>
      <c r="K21" s="27" t="n"/>
      <c r="L21" s="27" t="n"/>
      <c r="M21" s="43" t="inlineStr">
        <is>
          <t>✅ Pass (không đổi)</t>
        </is>
      </c>
    </row>
    <row r="22" ht="15" customHeight="1">
      <c r="A22" s="52" t="inlineStr">
        <is>
          <t xml:space="preserve">  ▶  Template Row — copy khi thêm case mới</t>
        </is>
      </c>
    </row>
    <row r="23" ht="53.25" customHeight="1">
      <c r="A23" s="43" t="inlineStr">
        <is>
          <t>L1-XX-[NN]</t>
        </is>
      </c>
      <c r="B23" s="43" t="inlineStr">
        <is>
          <t>[BC-TRUE | BC-FALSE | CC | EP-Valid | EP-Invalid | BVA-* | State-* | Guard-* | Concurrency | Idempotency | Atomicity]</t>
        </is>
      </c>
      <c r="C23" s="43" t="inlineStr">
        <is>
          <t>[Branch / condition / partition]</t>
        </is>
      </c>
      <c r="D23" s="43" t="inlineStr">
        <is>
          <t>[FT-xx AC/NAC/BV-xx; BR-xxx; NFR-xxx]</t>
        </is>
      </c>
      <c r="E23" s="43" t="inlineStr">
        <is>
          <t>P2</t>
        </is>
      </c>
      <c r="F23" s="43" t="inlineStr">
        <is>
          <t>[Arrange: state + _mock.Setup(...)]</t>
        </is>
      </c>
      <c r="G23" s="43" t="inlineStr">
        <is>
          <t>service.Method(params)</t>
        </is>
      </c>
      <c r="H23" s="43" t="inlineStr">
        <is>
          <t>[result.Should().Be(...) / Throws / _mock.Verify(..., Times.Never)]</t>
        </is>
      </c>
      <c r="I23" s="43" t="inlineStr">
        <is>
          <t>No</t>
        </is>
      </c>
      <c r="J23" s="43" t="inlineStr">
        <is>
          <t>Not Run</t>
        </is>
      </c>
      <c r="K23" s="43" t="n"/>
      <c r="L23" s="43" t="n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L2"/>
    <mergeCell ref="A11:L11"/>
    <mergeCell ref="A1:L1"/>
    <mergeCell ref="A5:L5"/>
    <mergeCell ref="A14:L14"/>
    <mergeCell ref="A8:L8"/>
    <mergeCell ref="A22:L22"/>
    <mergeCell ref="A18:L18"/>
  </mergeCells>
  <dataValidations count="2">
    <dataValidation sqref="E6:E7 E9:E10 E12:E13 E15:E17 E19:E21 E23" showDropDown="0" showInputMessage="0" showErrorMessage="0" allowBlank="1" type="list">
      <formula1>"P1,P2,P3"</formula1>
      <formula2>0</formula2>
    </dataValidation>
    <dataValidation sqref="J6:J7 J9:J10 J12:J13 J15:J17 J19:J21 J23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PurchaseOrderService  |  methods: CreateAsync, UpdateDraftAsync, IssueAsync, SendToWarehouseAsync, CancelAsync, ResolveDiscrepancyAsync, ClosePurchaseOrderAsync  |  EF Core InMemory  |  ⚠ SRS trace TBD (purchasing domain pending BRD v6.0 scope)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Draft lifecycle: CreateAsync() / UpdateDraftAsync()</t>
        </is>
      </c>
    </row>
    <row r="6" ht="30" customHeight="1">
      <c r="A6" s="26" t="inlineStr">
        <is>
          <t>L1-PO-01</t>
        </is>
      </c>
      <c r="B6" s="37" t="inlineStr">
        <is>
          <t>EP-Valid</t>
        </is>
      </c>
      <c r="C6" s="27" t="inlineStr">
        <is>
          <t>Create PO -&gt; status Draft with line items persisted</t>
        </is>
      </c>
      <c r="D6" s="27" t="inlineStr">
        <is>
          <t>FT-06 AC-01</t>
        </is>
      </c>
      <c r="E6" s="34" t="inlineStr">
        <is>
          <t>P2</t>
        </is>
      </c>
      <c r="F6" s="27" t="inlineStr">
        <is>
          <t>Valid request with supplier + 2 line items; caller = CEO</t>
        </is>
      </c>
      <c r="G6" s="27" t="inlineStr">
        <is>
          <t>purchaseOrderService.CreateAsync(ceoId, request)</t>
        </is>
      </c>
      <c r="H6" s="27" t="inlineStr">
        <is>
          <t>PO persisted; Status = Draft; 2 lines with qty/price as submitted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L1-PO-02</t>
        </is>
      </c>
      <c r="B7" s="37" t="inlineStr">
        <is>
          <t>State-Invalid</t>
        </is>
      </c>
      <c r="C7" s="32" t="inlineStr">
        <is>
          <t>UpdateDraft on an Issued PO -&gt; rejected</t>
        </is>
      </c>
      <c r="D7" s="32" t="inlineStr">
        <is>
          <t>FT-06 NAC-04; BR-021</t>
        </is>
      </c>
      <c r="E7" s="28" t="inlineStr">
        <is>
          <t>P1</t>
        </is>
      </c>
      <c r="F7" s="32" t="inlineStr">
        <is>
          <t>PO-1 Status = Issued</t>
        </is>
      </c>
      <c r="G7" s="32" t="inlineStr">
        <is>
          <t>purchaseOrderService.UpdateDraftAsync(PO-1, ceoId, request)</t>
        </is>
      </c>
      <c r="H7" s="32" t="inlineStr">
        <is>
          <t>Throws conflict; PO content unchanged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18" customHeight="1">
      <c r="A8" s="50" t="inlineStr">
        <is>
          <t xml:space="preserve">  ▶  Block: IssueAsync() / SendToWarehouseAsync()</t>
        </is>
      </c>
    </row>
    <row r="9" ht="30" customHeight="1">
      <c r="A9" s="26" t="inlineStr">
        <is>
          <t>L1-PO-03</t>
        </is>
      </c>
      <c r="B9" s="37" t="inlineStr">
        <is>
          <t>State-Valid</t>
        </is>
      </c>
      <c r="C9" s="27" t="inlineStr">
        <is>
          <t>Issue a Draft PO -&gt; Issued</t>
        </is>
      </c>
      <c r="D9" s="27" t="inlineStr">
        <is>
          <t>FT-06 AC-01</t>
        </is>
      </c>
      <c r="E9" s="28" t="inlineStr">
        <is>
          <t>P1</t>
        </is>
      </c>
      <c r="F9" s="27" t="inlineStr">
        <is>
          <t>PO-1 Status = Draft with &gt;= 1 line</t>
        </is>
      </c>
      <c r="G9" s="27" t="inlineStr">
        <is>
          <t>purchaseOrderService.IssueAsync(PO-1, ceoId)</t>
        </is>
      </c>
      <c r="H9" s="27" t="inlineStr">
        <is>
          <t>Status = Issued; issue timestamp recorded</t>
        </is>
      </c>
      <c r="I9" s="27" t="inlineStr">
        <is>
          <t>No</t>
        </is>
      </c>
      <c r="J9" s="43" t="inlineStr">
        <is>
          <t>Pass</t>
        </is>
      </c>
      <c r="K9" s="27" t="n"/>
      <c r="L9" s="45" t="n"/>
      <c r="M9" s="43" t="inlineStr">
        <is>
          <t>✅ Pass (không đổi)</t>
        </is>
      </c>
    </row>
    <row r="10" ht="30" customHeight="1">
      <c r="A10" s="31" t="inlineStr">
        <is>
          <t>L1-PO-04</t>
        </is>
      </c>
      <c r="B10" s="37" t="inlineStr">
        <is>
          <t>State-Invalid</t>
        </is>
      </c>
      <c r="C10" s="32" t="inlineStr">
        <is>
          <t>Issue a PO not in Draft -&gt; rejected</t>
        </is>
      </c>
      <c r="D10" s="32" t="inlineStr">
        <is>
          <t>FT-06 NAC-04</t>
        </is>
      </c>
      <c r="E10" s="28" t="inlineStr">
        <is>
          <t>P1</t>
        </is>
      </c>
      <c r="F10" s="32" t="inlineStr">
        <is>
          <t>PO-1 Status = Cancelled</t>
        </is>
      </c>
      <c r="G10" s="32" t="inlineStr">
        <is>
          <t>purchaseOrderService.IssueAsync(PO-1, ceoId)</t>
        </is>
      </c>
      <c r="H10" s="32" t="inlineStr">
        <is>
          <t>Throws conflict; status unchanged</t>
        </is>
      </c>
      <c r="I10" s="35" t="inlineStr">
        <is>
          <t>Yes</t>
        </is>
      </c>
      <c r="J10" s="43" t="inlineStr">
        <is>
          <t>Pass</t>
        </is>
      </c>
      <c r="K10" s="32" t="n"/>
      <c r="L10" s="46" t="n"/>
      <c r="M10" s="43" t="inlineStr">
        <is>
          <t>✅ Pass (không đổi)</t>
        </is>
      </c>
    </row>
    <row r="11" ht="30" customHeight="1">
      <c r="A11" s="26" t="inlineStr">
        <is>
          <t>L1-PO-05</t>
        </is>
      </c>
      <c r="B11" s="37" t="inlineStr">
        <is>
          <t>State-Valid</t>
        </is>
      </c>
      <c r="C11" s="27" t="inlineStr">
        <is>
          <t>SendToWarehouse on Issued PO -&gt; visible to warehouse for goods receipt</t>
        </is>
      </c>
      <c r="D11" s="27" t="inlineStr">
        <is>
          <t>FT-06 AC-01; AC-04</t>
        </is>
      </c>
      <c r="E11" s="34" t="inlineStr">
        <is>
          <t>P2</t>
        </is>
      </c>
      <c r="F11" s="27" t="inlineStr">
        <is>
          <t>PO-1 Status = Issued</t>
        </is>
      </c>
      <c r="G11" s="27" t="inlineStr">
        <is>
          <t>purchaseOrderService.SendToWarehouseAsync(PO-1, ceoId)</t>
        </is>
      </c>
      <c r="H11" s="27" t="inlineStr">
        <is>
          <t>Status advances to SentToWarehouse; GoodsReceipt creation now allowed</t>
        </is>
      </c>
      <c r="I11" s="27" t="inlineStr">
        <is>
          <t>No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18" customHeight="1">
      <c r="A12" s="50" t="inlineStr">
        <is>
          <t xml:space="preserve">  ▶  Block: CancelAsync() / ResolveDiscrepancyAsync() / ClosePurchaseOrderAsync()</t>
        </is>
      </c>
    </row>
    <row r="13" ht="30" customHeight="1">
      <c r="A13" s="26" t="inlineStr">
        <is>
          <t>L1-PO-06</t>
        </is>
      </c>
      <c r="B13" s="37" t="inlineStr">
        <is>
          <t>State-Valid</t>
        </is>
      </c>
      <c r="C13" s="27" t="inlineStr">
        <is>
          <t>Cancel a Draft PO -&gt; Cancelled (terminal)</t>
        </is>
      </c>
      <c r="D13" s="27" t="inlineStr">
        <is>
          <t>FT-06 AC-01</t>
        </is>
      </c>
      <c r="E13" s="34" t="inlineStr">
        <is>
          <t>P2</t>
        </is>
      </c>
      <c r="F13" s="27" t="inlineStr">
        <is>
          <t>PO-1 Status = Draft</t>
        </is>
      </c>
      <c r="G13" s="27" t="inlineStr">
        <is>
          <t>purchaseOrderService.CancelAsync(PO-1, ceoId)</t>
        </is>
      </c>
      <c r="H13" s="27" t="inlineStr">
        <is>
          <t>Status = Cancelled; further Issue/Update rejected</t>
        </is>
      </c>
      <c r="I13" s="27" t="inlineStr">
        <is>
          <t>No</t>
        </is>
      </c>
      <c r="J13" s="43" t="inlineStr">
        <is>
          <t>Pass</t>
        </is>
      </c>
      <c r="K13" s="27" t="n"/>
      <c r="L13" s="45" t="n"/>
      <c r="M13" s="43" t="inlineStr">
        <is>
          <t>✅ Pass (không đổi)</t>
        </is>
      </c>
    </row>
    <row r="14" ht="30" customHeight="1">
      <c r="A14" s="31" t="inlineStr">
        <is>
          <t>L1-PO-07</t>
        </is>
      </c>
      <c r="B14" s="37" t="inlineStr">
        <is>
          <t>State-Invalid</t>
        </is>
      </c>
      <c r="C14" s="32" t="inlineStr">
        <is>
          <t>Close PO with unresolved receipt discrepancy -&gt; blocked</t>
        </is>
      </c>
      <c r="D14" s="32" t="inlineStr">
        <is>
          <t>FT-06 AC-05; NAC-03; BR-036</t>
        </is>
      </c>
      <c r="E14" s="28" t="inlineStr">
        <is>
          <t>P1</t>
        </is>
      </c>
      <c r="F14" s="32" t="inlineStr">
        <is>
          <t>PO-1 has GoodsReceipt with qty discrepancy, not yet resolved</t>
        </is>
      </c>
      <c r="G14" s="32" t="inlineStr">
        <is>
          <t>purchaseOrderService.ClosePurchaseOrderAsync(PO-1, ceoId)</t>
        </is>
      </c>
      <c r="H14" s="32" t="inlineStr">
        <is>
          <t>Rejected: discrepancy must be resolved first; status unchanged</t>
        </is>
      </c>
      <c r="I14" s="35" t="inlineStr">
        <is>
          <t>Yes</t>
        </is>
      </c>
      <c r="J14" s="43" t="inlineStr">
        <is>
          <t>Pass</t>
        </is>
      </c>
      <c r="K14" s="32" t="n"/>
      <c r="L14" s="46" t="n"/>
      <c r="M14" s="43" t="inlineStr">
        <is>
          <t>✅ Pass (không đổi)</t>
        </is>
      </c>
    </row>
    <row r="15" ht="15" customHeight="1">
      <c r="A15" s="52" t="inlineStr">
        <is>
          <t xml:space="preserve">  ▶  Template Row — copy khi thêm case mới</t>
        </is>
      </c>
    </row>
    <row r="16" ht="53.25" customHeight="1">
      <c r="A16" s="43" t="inlineStr">
        <is>
          <t>L1-XX-[NN]</t>
        </is>
      </c>
      <c r="B16" s="43" t="inlineStr">
        <is>
          <t>[BC-TRUE | BC-FALSE | CC | EP-Valid | EP-Invalid | BVA-* | State-* | Guard-* | Concurrency | Idempotency | Atomicity]</t>
        </is>
      </c>
      <c r="C16" s="43" t="inlineStr">
        <is>
          <t>[Branch / condition / partition]</t>
        </is>
      </c>
      <c r="D16" s="43" t="inlineStr">
        <is>
          <t>[FT-xx AC/NAC/BV-xx; BR-xxx; NFR-xxx]</t>
        </is>
      </c>
      <c r="E16" s="43" t="inlineStr">
        <is>
          <t>P2</t>
        </is>
      </c>
      <c r="F16" s="43" t="inlineStr">
        <is>
          <t>[Arrange: state + _mock.Setup(...)]</t>
        </is>
      </c>
      <c r="G16" s="43" t="inlineStr">
        <is>
          <t>service.Method(params)</t>
        </is>
      </c>
      <c r="H16" s="43" t="inlineStr">
        <is>
          <t>[result.Should().Be(...) / Throws / _mock.Verify(..., Times.Never)]</t>
        </is>
      </c>
      <c r="I16" s="43" t="inlineStr">
        <is>
          <t>No</t>
        </is>
      </c>
      <c r="J16" s="43" t="inlineStr">
        <is>
          <t>Not Run</t>
        </is>
      </c>
      <c r="K16" s="43" t="n"/>
      <c r="L16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L2"/>
    <mergeCell ref="A15:L15"/>
    <mergeCell ref="A1:L1"/>
    <mergeCell ref="A5:L5"/>
    <mergeCell ref="A8:L8"/>
    <mergeCell ref="A12:L12"/>
  </mergeCells>
  <dataValidations count="2">
    <dataValidation sqref="E6:E7 E9:E11 E13:E14 E16" showDropDown="0" showInputMessage="0" showErrorMessage="0" allowBlank="1" type="list">
      <formula1>"P1,P2,P3"</formula1>
      <formula2>0</formula2>
    </dataValidation>
    <dataValidation sqref="J6:J7 J9:J11 J13:J14 J16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GoodsReceiptService  |  methods: CreateFromPOAsync, PostReceiptAsync, GetByPurchaseOrderIdAsync  |  EF Core InMemory  |  ⚠ SRS trace TBD (purchasing domain)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CreateFromPOAsync()</t>
        </is>
      </c>
    </row>
    <row r="6" ht="30" customHeight="1">
      <c r="A6" s="26" t="inlineStr">
        <is>
          <t>L1-GR-01</t>
        </is>
      </c>
      <c r="B6" s="37" t="inlineStr">
        <is>
          <t>EP-Valid</t>
        </is>
      </c>
      <c r="C6" s="27" t="inlineStr">
        <is>
          <t>Create receipt from a SentToWarehouse PO -&gt; draft receipt with PO lines</t>
        </is>
      </c>
      <c r="D6" s="27" t="inlineStr">
        <is>
          <t>FT-06 AC-03; NAC-01; BR-014</t>
        </is>
      </c>
      <c r="E6" s="34" t="inlineStr">
        <is>
          <t>P2</t>
        </is>
      </c>
      <c r="F6" s="27" t="inlineStr">
        <is>
          <t>PO-1 Status = SentToWarehouse with 2 lines</t>
        </is>
      </c>
      <c r="G6" s="27" t="inlineStr">
        <is>
          <t>goodsReceiptService.CreateFromPOAsync(PO-1, whStaff, request)</t>
        </is>
      </c>
      <c r="H6" s="27" t="inlineStr">
        <is>
          <t>Receipt persisted referencing PO-1; lines mirror PO quantities as expected qty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L1-GR-02</t>
        </is>
      </c>
      <c r="B7" s="37" t="inlineStr">
        <is>
          <t>State-Invalid</t>
        </is>
      </c>
      <c r="C7" s="32" t="inlineStr">
        <is>
          <t>Create receipt from PO not sent to warehouse -&gt; rejected</t>
        </is>
      </c>
      <c r="D7" s="32" t="inlineStr">
        <is>
          <t>FT-06 NAC-01; BR-014</t>
        </is>
      </c>
      <c r="E7" s="28" t="inlineStr">
        <is>
          <t>P1</t>
        </is>
      </c>
      <c r="F7" s="32" t="inlineStr">
        <is>
          <t>PO-1 Status = Draft</t>
        </is>
      </c>
      <c r="G7" s="32" t="inlineStr">
        <is>
          <t>goodsReceiptService.CreateFromPOAsync(PO-1, whStaff, request)</t>
        </is>
      </c>
      <c r="H7" s="32" t="inlineStr">
        <is>
          <t>Throws conflict; no receipt created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18" customHeight="1">
      <c r="A8" s="50" t="inlineStr">
        <is>
          <t xml:space="preserve">  ▶  Block: PostReceiptAsync()</t>
        </is>
      </c>
    </row>
    <row r="9" ht="43.5" customHeight="1">
      <c r="A9" s="26" t="inlineStr">
        <is>
          <t>L1-GR-03</t>
        </is>
      </c>
      <c r="B9" s="37" t="inlineStr">
        <is>
          <t>EP-Valid</t>
        </is>
      </c>
      <c r="C9" s="27" t="inlineStr">
        <is>
          <t>Post receipt -&gt; inventory increased atomically by received qty</t>
        </is>
      </c>
      <c r="D9" s="27" t="inlineStr">
        <is>
          <t>FT-06 AC-03; BV-01; BR-014</t>
        </is>
      </c>
      <c r="E9" s="28" t="inlineStr">
        <is>
          <t>P1</t>
        </is>
      </c>
      <c r="F9" s="27" t="inlineStr">
        <is>
          <t>Receipt R1 draft: P1 received qty = 50; stock P1 = 10</t>
        </is>
      </c>
      <c r="G9" s="27" t="inlineStr">
        <is>
          <t>goodsReceiptService.PostReceiptAsync(R1, whStaff)</t>
        </is>
      </c>
      <c r="H9" s="27" t="inlineStr">
        <is>
          <t>Stock P1 = 60; receipt Status = Posted
Inventory + receipt updated in one transaction</t>
        </is>
      </c>
      <c r="I9" s="27" t="inlineStr">
        <is>
          <t>No</t>
        </is>
      </c>
      <c r="J9" s="43" t="inlineStr">
        <is>
          <t>Pass</t>
        </is>
      </c>
      <c r="K9" s="27" t="n"/>
      <c r="L9" s="45" t="n"/>
      <c r="M9" s="43" t="inlineStr">
        <is>
          <t>✅ Pass (không đổi)</t>
        </is>
      </c>
    </row>
    <row r="10" ht="30" customHeight="1">
      <c r="A10" s="31" t="inlineStr">
        <is>
          <t>L1-GR-04</t>
        </is>
      </c>
      <c r="B10" s="37" t="inlineStr">
        <is>
          <t>State-Invalid</t>
        </is>
      </c>
      <c r="C10" s="32" t="inlineStr">
        <is>
          <t>Post an already-posted receipt -&gt; rejected (idempotency)</t>
        </is>
      </c>
      <c r="D10" s="32" t="inlineStr">
        <is>
          <t>FT-06 NAC-05; BR-029</t>
        </is>
      </c>
      <c r="E10" s="28" t="inlineStr">
        <is>
          <t>P1</t>
        </is>
      </c>
      <c r="F10" s="32" t="inlineStr">
        <is>
          <t>Receipt R1 Status = Posted; stock P1 = 60</t>
        </is>
      </c>
      <c r="G10" s="32" t="inlineStr">
        <is>
          <t>goodsReceiptService.PostReceiptAsync(R1, whStaff)</t>
        </is>
      </c>
      <c r="H10" s="32" t="inlineStr">
        <is>
          <t>Throws conflict; stock remains 60 (no double increment)</t>
        </is>
      </c>
      <c r="I10" s="35" t="inlineStr">
        <is>
          <t>Yes</t>
        </is>
      </c>
      <c r="J10" s="43" t="inlineStr">
        <is>
          <t>Pass</t>
        </is>
      </c>
      <c r="K10" s="32" t="n"/>
      <c r="L10" s="46" t="n"/>
      <c r="M10" s="43" t="inlineStr">
        <is>
          <t>✅ Pass (không đổi)</t>
        </is>
      </c>
    </row>
    <row r="11" ht="18" customHeight="1">
      <c r="A11" s="50" t="inlineStr">
        <is>
          <t xml:space="preserve">  ▶  Block: ⊕ v2.1 — Chứng từ &amp; danh sách  |  UploadProofAsync, GetAllAsync  |  FT-06; NFR-SEC07</t>
        </is>
      </c>
    </row>
    <row r="12" ht="30" customHeight="1">
      <c r="A12" s="26" t="inlineStr">
        <is>
          <t>L1-GR-05</t>
        </is>
      </c>
      <c r="B12" s="37" t="inlineStr">
        <is>
          <t>EP-Valid</t>
        </is>
      </c>
      <c r="C12" s="27" t="inlineStr">
        <is>
          <t>Upload chứng từ nhận hàng -&gt; lưu URL vào phiếu</t>
        </is>
      </c>
      <c r="D12" s="27" t="inlineStr">
        <is>
          <t>FT-06 AC-05; NFR-SEC07</t>
        </is>
      </c>
      <c r="E12" s="34" t="inlineStr">
        <is>
          <t>P2</t>
        </is>
      </c>
      <c r="F12" s="27" t="inlineStr">
        <is>
          <t>Phiếu R1 Draft; mock cloudinary trả url</t>
        </is>
      </c>
      <c r="G12" s="27" t="inlineStr">
        <is>
          <t>goodsReceiptService.UploadProofAsync(R1, file)</t>
        </is>
      </c>
      <c r="H12" s="27" t="inlineStr">
        <is>
          <t>cloudinary được gọi 1 lần; R1.ProofUrl = url trả về</t>
        </is>
      </c>
      <c r="I12" s="27" t="inlineStr">
        <is>
          <t>No</t>
        </is>
      </c>
      <c r="J12" s="43" t="inlineStr">
        <is>
          <t>Pass</t>
        </is>
      </c>
      <c r="K12" s="27" t="n"/>
      <c r="L12" s="45" t="n"/>
      <c r="M12" s="43" t="inlineStr">
        <is>
          <t>✅ Pass (không đổi)</t>
        </is>
      </c>
    </row>
    <row r="13" ht="30" customHeight="1">
      <c r="A13" s="31" t="inlineStr">
        <is>
          <t>L1-GR-06</t>
        </is>
      </c>
      <c r="B13" s="37" t="inlineStr">
        <is>
          <t>EP-Invalid</t>
        </is>
      </c>
      <c r="C13" s="32" t="inlineStr">
        <is>
          <t>Upload file ngoài allowlist / vượt kích thước -&gt; từ chối</t>
        </is>
      </c>
      <c r="D13" s="32" t="inlineStr">
        <is>
          <t>NFR-SEC07</t>
        </is>
      </c>
      <c r="E13" s="28" t="inlineStr">
        <is>
          <t>P1</t>
        </is>
      </c>
      <c r="F13" s="32" t="inlineStr">
        <is>
          <t>File .exe hoặc vượt giới hạn cấu hình</t>
        </is>
      </c>
      <c r="G13" s="32" t="inlineStr">
        <is>
          <t>goodsReceiptService.UploadProofAsync(R1, badFile)</t>
        </is>
      </c>
      <c r="H13" s="32" t="inlineStr">
        <is>
          <t>Từ chối; không gọi cloudinary; không lưu URL</t>
        </is>
      </c>
      <c r="I13" s="35" t="inlineStr">
        <is>
          <t>Yes</t>
        </is>
      </c>
      <c r="J13" s="43" t="inlineStr">
        <is>
          <t>Pass</t>
        </is>
      </c>
      <c r="K13" s="32" t="n"/>
      <c r="L13" s="46" t="n"/>
      <c r="M13" s="43" t="inlineStr">
        <is>
          <t>✅ Pass (không đổi)</t>
        </is>
      </c>
    </row>
    <row r="14" ht="30" customHeight="1">
      <c r="A14" s="26" t="inlineStr">
        <is>
          <t>L1-GR-07</t>
        </is>
      </c>
      <c r="B14" s="37" t="inlineStr">
        <is>
          <t>EP-Valid</t>
        </is>
      </c>
      <c r="C14" s="27" t="inlineStr">
        <is>
          <t>GetAll lọc theo trạng thái và phân trang đúng</t>
        </is>
      </c>
      <c r="D14" s="27" t="inlineStr">
        <is>
          <t>FT-06 AC-04</t>
        </is>
      </c>
      <c r="E14" s="34" t="inlineStr">
        <is>
          <t>P3</t>
        </is>
      </c>
      <c r="F14" s="27" t="inlineStr">
        <is>
          <t>5 phiếu: 3 Posted, 2 Draft</t>
        </is>
      </c>
      <c r="G14" s="27" t="inlineStr">
        <is>
          <t>goodsReceiptService.GetAllAsync(query{status:'Posted', page:1})</t>
        </is>
      </c>
      <c r="H14" s="27" t="inlineStr">
        <is>
          <t>Trả đúng 3 phiếu Posted; TotalCount = 3</t>
        </is>
      </c>
      <c r="I14" s="27" t="inlineStr">
        <is>
          <t>No</t>
        </is>
      </c>
      <c r="J14" s="43" t="inlineStr">
        <is>
          <t>Pass</t>
        </is>
      </c>
      <c r="K14" s="27" t="n"/>
      <c r="L14" s="45" t="n"/>
      <c r="M14" s="43" t="inlineStr">
        <is>
          <t>✅ Pass (không đổi)</t>
        </is>
      </c>
    </row>
    <row r="15" ht="15" customHeight="1">
      <c r="A15" s="52" t="inlineStr">
        <is>
          <t xml:space="preserve">  ▶  Template Row — copy khi thêm case mới</t>
        </is>
      </c>
    </row>
    <row r="16" ht="53.25" customHeight="1">
      <c r="A16" s="43" t="inlineStr">
        <is>
          <t>L1-XX-[NN]</t>
        </is>
      </c>
      <c r="B16" s="43" t="inlineStr">
        <is>
          <t>[BC-TRUE | BC-FALSE | CC | EP-Valid | EP-Invalid | BVA-* | State-* | Guard-* | Concurrency | Idempotency | Atomicity]</t>
        </is>
      </c>
      <c r="C16" s="43" t="inlineStr">
        <is>
          <t>[Branch / condition / partition]</t>
        </is>
      </c>
      <c r="D16" s="43" t="inlineStr">
        <is>
          <t>[FT-xx AC/NAC/BV-xx; BR-xxx; NFR-xxx]</t>
        </is>
      </c>
      <c r="E16" s="43" t="inlineStr">
        <is>
          <t>P2</t>
        </is>
      </c>
      <c r="F16" s="43" t="inlineStr">
        <is>
          <t>[Arrange: state + _mock.Setup(...)]</t>
        </is>
      </c>
      <c r="G16" s="43" t="inlineStr">
        <is>
          <t>service.Method(params)</t>
        </is>
      </c>
      <c r="H16" s="43" t="inlineStr">
        <is>
          <t>[result.Should().Be(...) / Throws / _mock.Verify(..., Times.Never)]</t>
        </is>
      </c>
      <c r="I16" s="43" t="inlineStr">
        <is>
          <t>No</t>
        </is>
      </c>
      <c r="J16" s="43" t="inlineStr">
        <is>
          <t>Not Run</t>
        </is>
      </c>
      <c r="K16" s="43" t="n"/>
      <c r="L16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L2"/>
    <mergeCell ref="A15:L15"/>
    <mergeCell ref="A11:L11"/>
    <mergeCell ref="A1:L1"/>
    <mergeCell ref="A5:L5"/>
    <mergeCell ref="A8:L8"/>
  </mergeCells>
  <dataValidations count="2">
    <dataValidation sqref="E6:E7 E9:E10 E12:E14 E16" showDropDown="0" showInputMessage="0" showErrorMessage="0" allowBlank="1" type="list">
      <formula1>"P1,P2,P3"</formula1>
      <formula2>0</formula2>
    </dataValidation>
    <dataValidation sqref="J6:J7 J9:J10 J12:J14 J16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SalesAllocationService  |  methods: AutoAssignCustomerAsync, AssignUnassignedCustomersAsync, GetMyCustomersAsync, GetMyCustomerDetailAsync, UpdateCustomerNoteAsync, UpdateRoundRobinAsync  |  EF Core InMemory  |  ⚠ SRS trace TBD (round-robin allocation not in SRS v1.5)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AutoAssignCustomerAsync() — round-robin</t>
        </is>
      </c>
    </row>
    <row r="6" ht="30" customHeight="1">
      <c r="A6" s="26" t="inlineStr">
        <is>
          <t>L1-SA-01</t>
        </is>
      </c>
      <c r="B6" s="37" t="inlineStr">
        <is>
          <t>EP-Valid</t>
        </is>
      </c>
      <c r="C6" s="27" t="inlineStr">
        <is>
          <t>New customer auto-assigned to next staff in round-robin order</t>
        </is>
      </c>
      <c r="D6" s="27" t="inlineStr">
        <is>
          <t>FT-04 AC-02; BV-02; BR-002</t>
        </is>
      </c>
      <c r="E6" s="34" t="inlineStr">
        <is>
          <t>P2</t>
        </is>
      </c>
      <c r="F6" s="27" t="inlineStr">
        <is>
          <t>Staff S1, S2 active; round-robin pointer at S1</t>
        </is>
      </c>
      <c r="G6" s="27" t="inlineStr">
        <is>
          <t>salesAllocationService.AutoAssignCustomerAsync(newUserId)</t>
        </is>
      </c>
      <c r="H6" s="27" t="inlineStr">
        <is>
          <t>Customer assigned to S1; pointer advances to S2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L1-SA-02</t>
        </is>
      </c>
      <c r="B7" s="37" t="inlineStr">
        <is>
          <t>EP-Valid</t>
        </is>
      </c>
      <c r="C7" s="32" t="inlineStr">
        <is>
          <t>Round-robin wraps: pointer at last staff -&gt; next assignment returns to first</t>
        </is>
      </c>
      <c r="D7" s="32" t="inlineStr">
        <is>
          <t>FT-04 BV-02; BR-002</t>
        </is>
      </c>
      <c r="E7" s="36" t="inlineStr">
        <is>
          <t>P2</t>
        </is>
      </c>
      <c r="F7" s="32" t="inlineStr">
        <is>
          <t>Staff S1, S2; pointer at S2</t>
        </is>
      </c>
      <c r="G7" s="32" t="inlineStr">
        <is>
          <t>salesAllocationService.AutoAssignCustomerAsync(newUserId)</t>
        </is>
      </c>
      <c r="H7" s="32" t="inlineStr">
        <is>
          <t>Customer assigned to S2; pointer wraps back to S1</t>
        </is>
      </c>
      <c r="I7" s="32" t="inlineStr">
        <is>
          <t>No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18" customHeight="1">
      <c r="A8" s="50" t="inlineStr">
        <is>
          <t xml:space="preserve">  ▶  Block: AssignUnassignedCustomersAsync()</t>
        </is>
      </c>
    </row>
    <row r="9" ht="43.5" customHeight="1">
      <c r="A9" s="26" t="inlineStr">
        <is>
          <t>L1-SA-03</t>
        </is>
      </c>
      <c r="B9" s="37" t="inlineStr">
        <is>
          <t>EP-Valid</t>
        </is>
      </c>
      <c r="C9" s="27" t="inlineStr">
        <is>
          <t>Bulk-assign distributes ALL unassigned customers and reports count</t>
        </is>
      </c>
      <c r="D9" s="27" t="inlineStr">
        <is>
          <t>FT-04 AC-02; AC-03; BR-002</t>
        </is>
      </c>
      <c r="E9" s="34" t="inlineStr">
        <is>
          <t>P2</t>
        </is>
      </c>
      <c r="F9" s="27" t="inlineStr">
        <is>
          <t>3 unassigned customers; 2 active staff</t>
        </is>
      </c>
      <c r="G9" s="27" t="inlineStr">
        <is>
          <t>salesAllocationService.AssignUnassignedCustomersAsync(managerId)</t>
        </is>
      </c>
      <c r="H9" s="27" t="inlineStr">
        <is>
          <t>Result.AssignedCount = 3; no customer left unassigned
Distribution follows round-robin sequence</t>
        </is>
      </c>
      <c r="I9" s="27" t="inlineStr">
        <is>
          <t>No</t>
        </is>
      </c>
      <c r="J9" s="43" t="inlineStr">
        <is>
          <t>Pass</t>
        </is>
      </c>
      <c r="K9" s="27" t="n"/>
      <c r="L9" s="45" t="n"/>
      <c r="M9" s="43" t="inlineStr">
        <is>
          <t>✅ Pass (không đổi)</t>
        </is>
      </c>
    </row>
    <row r="10" ht="18" customHeight="1">
      <c r="A10" s="50" t="inlineStr">
        <is>
          <t xml:space="preserve">  ▶  Block: GetMyCustomerDetailAsync() / UpdateCustomerNoteAsync()</t>
        </is>
      </c>
    </row>
    <row r="11" ht="30" customHeight="1">
      <c r="A11" s="26" t="inlineStr">
        <is>
          <t>L1-SA-04</t>
        </is>
      </c>
      <c r="B11" s="37" t="inlineStr">
        <is>
          <t>EP-Invalid</t>
        </is>
      </c>
      <c r="C11" s="27" t="inlineStr">
        <is>
          <t>Staff opens detail of a customer NOT allocated to them -&gt; forbidden</t>
        </is>
      </c>
      <c r="D11" s="27" t="inlineStr">
        <is>
          <t>FT-04 NAC-04; NFR-SEC03</t>
        </is>
      </c>
      <c r="E11" s="28" t="inlineStr">
        <is>
          <t>P1</t>
        </is>
      </c>
      <c r="F11" s="27" t="inlineStr">
        <is>
          <t>Customer C9 allocated to staff S2</t>
        </is>
      </c>
      <c r="G11" s="27" t="inlineStr">
        <is>
          <t>salesAllocationService.GetMyCustomerDetailAsync(S1, C9)</t>
        </is>
      </c>
      <c r="H11" s="27" t="inlineStr">
        <is>
          <t>Throws forbidden/not-found; no data returned</t>
        </is>
      </c>
      <c r="I11" s="29" t="inlineStr">
        <is>
          <t>Yes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30" customHeight="1">
      <c r="A12" s="31" t="inlineStr">
        <is>
          <t>L1-SA-05</t>
        </is>
      </c>
      <c r="B12" s="37" t="inlineStr">
        <is>
          <t>EP-Valid</t>
        </is>
      </c>
      <c r="C12" s="32" t="inlineStr">
        <is>
          <t>Update note persists against the correct customer only</t>
        </is>
      </c>
      <c r="D12" s="32" t="inlineStr">
        <is>
          <t>FT-04 AC-04</t>
        </is>
      </c>
      <c r="E12" s="36" t="inlineStr">
        <is>
          <t>P3</t>
        </is>
      </c>
      <c r="F12" s="32" t="inlineStr">
        <is>
          <t>Customer C1 allocated to S1</t>
        </is>
      </c>
      <c r="G12" s="32" t="inlineStr">
        <is>
          <t>salesAllocationService.UpdateCustomerNoteAsync(S1, C1, 'VIP')</t>
        </is>
      </c>
      <c r="H12" s="32" t="inlineStr">
        <is>
          <t>C1.Note = 'VIP'; other customers untouched</t>
        </is>
      </c>
      <c r="I12" s="32" t="inlineStr">
        <is>
          <t>No</t>
        </is>
      </c>
      <c r="J12" s="43" t="inlineStr">
        <is>
          <t>Pass</t>
        </is>
      </c>
      <c r="K12" s="32" t="n"/>
      <c r="L12" s="46" t="n"/>
      <c r="M12" s="43" t="inlineStr">
        <is>
          <t>✅ Pass (không đổi)</t>
        </is>
      </c>
    </row>
    <row r="13" ht="18" customHeight="1">
      <c r="A13" s="50" t="inlineStr">
        <is>
          <t xml:space="preserve">  ▶  Block: ⊕ v2.1 — Referral &amp; cấu hình round-robin  |  ResolveReferralStaffAsync, EnsureCustomerProfileAsync, UpdateRoundRobinAsync, GetRoundRobinStateAsync  |  FT-04</t>
        </is>
      </c>
    </row>
    <row r="14" ht="30" customHeight="1">
      <c r="A14" s="26" t="inlineStr">
        <is>
          <t>L1-SA-06</t>
        </is>
      </c>
      <c r="B14" s="37" t="inlineStr">
        <is>
          <t>EP-Valid</t>
        </is>
      </c>
      <c r="C14" s="27" t="inlineStr">
        <is>
          <t>Mã giới thiệu hợp lệ, duy nhất -&gt; trả đúng Sales được giới thiệu</t>
        </is>
      </c>
      <c r="D14" s="27" t="inlineStr">
        <is>
          <t>FT-04 AC-02; BR-002</t>
        </is>
      </c>
      <c r="E14" s="28" t="inlineStr">
        <is>
          <t>P1</t>
        </is>
      </c>
      <c r="F14" s="27" t="inlineStr">
        <is>
          <t>Mã 'S1-REF' thuộc Sales S1 đang hoạt động</t>
        </is>
      </c>
      <c r="G14" s="27" t="inlineStr">
        <is>
          <t>salesAllocationService.ResolveReferralStaffAsync('S1-REF')</t>
        </is>
      </c>
      <c r="H14" s="27" t="inlineStr">
        <is>
          <t>Trả về S1; nguồn phân công = REFERRAL</t>
        </is>
      </c>
      <c r="I14" s="27" t="inlineStr">
        <is>
          <t>No</t>
        </is>
      </c>
      <c r="J14" s="43" t="inlineStr">
        <is>
          <t>Pass</t>
        </is>
      </c>
      <c r="K14" s="27" t="n"/>
      <c r="L14" s="45" t="n"/>
      <c r="M14" s="43" t="inlineStr">
        <is>
          <t>✅ Pass (không đổi)</t>
        </is>
      </c>
    </row>
    <row r="15" ht="30" customHeight="1">
      <c r="A15" s="31" t="inlineStr">
        <is>
          <t>L1-SA-07</t>
        </is>
      </c>
      <c r="B15" s="37" t="inlineStr">
        <is>
          <t>EP-Invalid</t>
        </is>
      </c>
      <c r="C15" s="32" t="inlineStr">
        <is>
          <t>Mã giới thiệu không tồn tại -&gt; không gán sai người</t>
        </is>
      </c>
      <c r="D15" s="32" t="inlineStr">
        <is>
          <t>FT-04 NAC-02</t>
        </is>
      </c>
      <c r="E15" s="28" t="inlineStr">
        <is>
          <t>P1</t>
        </is>
      </c>
      <c r="F15" s="32" t="inlineStr">
        <is>
          <t>Không có mã 'XXX'</t>
        </is>
      </c>
      <c r="G15" s="32" t="inlineStr">
        <is>
          <t>salesAllocationService.ResolveReferralStaffAsync('XXX')</t>
        </is>
      </c>
      <c r="H15" s="32" t="inlineStr">
        <is>
          <t>Trả null / báo lỗi; KHÔNG chọn bừa một Sales bất kỳ</t>
        </is>
      </c>
      <c r="I15" s="35" t="inlineStr">
        <is>
          <t>Yes</t>
        </is>
      </c>
      <c r="J15" s="43" t="inlineStr">
        <is>
          <t>Pass</t>
        </is>
      </c>
      <c r="K15" s="32" t="n"/>
      <c r="L15" s="46" t="n"/>
      <c r="M15" s="43" t="inlineStr">
        <is>
          <t>✅ Pass (không đổi)</t>
        </is>
      </c>
    </row>
    <row r="16" ht="30" customHeight="1">
      <c r="A16" s="26" t="inlineStr">
        <is>
          <t>L1-SA-08</t>
        </is>
      </c>
      <c r="B16" s="37" t="inlineStr">
        <is>
          <t>EP-Invalid</t>
        </is>
      </c>
      <c r="C16" s="27" t="inlineStr">
        <is>
          <t>Mã giới thiệu thuộc Sales đã ngừng hoạt động -&gt; không gán</t>
        </is>
      </c>
      <c r="D16" s="27" t="inlineStr">
        <is>
          <t>FT-04 NAC-02</t>
        </is>
      </c>
      <c r="E16" s="28" t="inlineStr">
        <is>
          <t>P1</t>
        </is>
      </c>
      <c r="F16" s="27" t="inlineStr">
        <is>
          <t>S3 inactive nhưng còn mã 'S3-REF'</t>
        </is>
      </c>
      <c r="G16" s="27" t="inlineStr">
        <is>
          <t>salesAllocationService.ResolveReferralStaffAsync('S3-REF')</t>
        </is>
      </c>
      <c r="H16" s="27" t="inlineStr">
        <is>
          <t>Không gán S3; chuyển sang xử lý theo quy tắc khác</t>
        </is>
      </c>
      <c r="I16" s="29" t="inlineStr">
        <is>
          <t>Yes</t>
        </is>
      </c>
      <c r="J16" s="43" t="inlineStr">
        <is>
          <t>Fail</t>
        </is>
      </c>
      <c r="K16" s="27" t="n"/>
      <c r="L16" s="45" t="n"/>
      <c r="M16" s="43" t="inlineStr">
        <is>
          <t>✅ ĐÃ FIX
SalesAllocationService.cs:373-374 lọc IsActive trong ResolveReferralStaffAsync, referral của NV nghỉ việc không được gán.</t>
        </is>
      </c>
    </row>
    <row r="17" ht="30" customHeight="1">
      <c r="A17" s="31" t="inlineStr">
        <is>
          <t>L1-SA-09</t>
        </is>
      </c>
      <c r="B17" s="37" t="inlineStr">
        <is>
          <t>EP-Invalid</t>
        </is>
      </c>
      <c r="C17" s="32" t="inlineStr">
        <is>
          <t>Mã giới thiệu khớp NHIỀU Sales -&gt; yêu cầu làm rõ, không tự chọn</t>
        </is>
      </c>
      <c r="D17" s="32" t="inlineStr">
        <is>
          <t>FT-04 NAC-02</t>
        </is>
      </c>
      <c r="E17" s="28" t="inlineStr">
        <is>
          <t>P1</t>
        </is>
      </c>
      <c r="F17" s="32" t="inlineStr">
        <is>
          <t>2 Sales cùng khớp mã nhập vào</t>
        </is>
      </c>
      <c r="G17" s="32" t="inlineStr">
        <is>
          <t>salesAllocationService.ResolveReferralStaffAsync(ambiguousCode)</t>
        </is>
      </c>
      <c r="H17" s="32" t="inlineStr">
        <is>
          <t>Báo mơ hồ; KHÔNG tự chọn một trong hai</t>
        </is>
      </c>
      <c r="I17" s="35" t="inlineStr">
        <is>
          <t>Yes</t>
        </is>
      </c>
      <c r="J17" s="43" t="inlineStr">
        <is>
          <t>Pass</t>
        </is>
      </c>
      <c r="K17" s="32" t="n"/>
      <c r="L17" s="46" t="n"/>
      <c r="M17" s="43" t="inlineStr">
        <is>
          <t>✅ Pass (không đổi)</t>
        </is>
      </c>
    </row>
    <row r="18" ht="30" customHeight="1">
      <c r="A18" s="26" t="inlineStr">
        <is>
          <t>L1-SA-10</t>
        </is>
      </c>
      <c r="B18" s="37" t="inlineStr">
        <is>
          <t>EP-Valid</t>
        </is>
      </c>
      <c r="C18" s="27" t="inlineStr">
        <is>
          <t>EnsureCustomerProfile: gọi 2 lần không tạo profile trùng</t>
        </is>
      </c>
      <c r="D18" s="27" t="inlineStr">
        <is>
          <t>FT-04 AC-01; BV-01</t>
        </is>
      </c>
      <c r="E18" s="28" t="inlineStr">
        <is>
          <t>P1</t>
        </is>
      </c>
      <c r="F18" s="27" t="inlineStr">
        <is>
          <t>U1 chưa có CustomerProfile</t>
        </is>
      </c>
      <c r="G18" s="27" t="inlineStr">
        <is>
          <t>Gọi EnsureCustomerProfileAsync(U1) hai lần liên tiếp</t>
        </is>
      </c>
      <c r="H18" s="27" t="inlineStr">
        <is>
          <t>Chỉ tồn tại đúng 1 CustomerProfile cho U1</t>
        </is>
      </c>
      <c r="I18" s="27" t="inlineStr">
        <is>
          <t>No</t>
        </is>
      </c>
      <c r="J18" s="43" t="inlineStr">
        <is>
          <t>Pass</t>
        </is>
      </c>
      <c r="K18" s="27" t="n"/>
      <c r="L18" s="45" t="n"/>
      <c r="M18" s="43" t="inlineStr">
        <is>
          <t>✅ Pass (không đổi)</t>
        </is>
      </c>
    </row>
    <row r="19" ht="43.5" customHeight="1">
      <c r="A19" s="31" t="inlineStr">
        <is>
          <t>L1-SA-11</t>
        </is>
      </c>
      <c r="B19" s="37" t="inlineStr">
        <is>
          <t>EP-Valid</t>
        </is>
      </c>
      <c r="C19" s="32" t="inlineStr">
        <is>
          <t>UpdateRoundRobin: bỏ staff khỏi danh sách -&gt; lần gán sau không rơi vào staff đó</t>
        </is>
      </c>
      <c r="D19" s="32" t="inlineStr">
        <is>
          <t>FT-04 BV-02; BR-002</t>
        </is>
      </c>
      <c r="E19" s="28" t="inlineStr">
        <is>
          <t>P1</t>
        </is>
      </c>
      <c r="F19" s="32" t="inlineStr">
        <is>
          <t>Danh sách tham gia: S1, S2, S3; con trỏ ở S1</t>
        </is>
      </c>
      <c r="G19" s="32" t="inlineStr">
        <is>
          <t>salesAllocationService.UpdateRoundRobinAsync(dto{participants:[S1,S3]})</t>
        </is>
      </c>
      <c r="H19" s="32" t="inlineStr">
        <is>
          <t>S2 bị loại; lần gán kế tiếp chỉ chọn trong S1/S3
Con trỏ vẫn hợp lệ (không trỏ ra ngoài danh sách)</t>
        </is>
      </c>
      <c r="I19" s="32" t="inlineStr">
        <is>
          <t>No</t>
        </is>
      </c>
      <c r="J19" s="43" t="inlineStr">
        <is>
          <t>Pass</t>
        </is>
      </c>
      <c r="K19" s="32" t="n"/>
      <c r="L19" s="46" t="n"/>
      <c r="M19" s="43" t="inlineStr">
        <is>
          <t>✅ Pass (không đổi)</t>
        </is>
      </c>
    </row>
    <row r="20" ht="30" customHeight="1">
      <c r="A20" s="26" t="inlineStr">
        <is>
          <t>L1-SA-12</t>
        </is>
      </c>
      <c r="B20" s="37" t="inlineStr">
        <is>
          <t>EP-Invalid</t>
        </is>
      </c>
      <c r="C20" s="27" t="inlineStr">
        <is>
          <t>UpdateRoundRobin với danh sách rỗng -&gt; từ chối</t>
        </is>
      </c>
      <c r="D20" s="27" t="inlineStr">
        <is>
          <t>FT-04 BV-02; NAC-03</t>
        </is>
      </c>
      <c r="E20" s="28" t="inlineStr">
        <is>
          <t>P1</t>
        </is>
      </c>
      <c r="F20" s="27" t="inlineStr">
        <is>
          <t>Đang có 3 staff tham gia</t>
        </is>
      </c>
      <c r="G20" s="27" t="inlineStr">
        <is>
          <t>salesAllocationService.UpdateRoundRobinAsync(dto{participants:[]})</t>
        </is>
      </c>
      <c r="H20" s="27" t="inlineStr">
        <is>
          <t>Từ chối; cấu hình cũ giữ nguyên (tránh không còn ai để phân công)</t>
        </is>
      </c>
      <c r="I20" s="29" t="inlineStr">
        <is>
          <t>Yes</t>
        </is>
      </c>
      <c r="J20" s="43" t="inlineStr">
        <is>
          <t>Pass</t>
        </is>
      </c>
      <c r="K20" s="27" t="n"/>
      <c r="L20" s="45" t="n"/>
      <c r="M20" s="43" t="inlineStr">
        <is>
          <t>✅ Pass (không đổi)</t>
        </is>
      </c>
    </row>
    <row r="21" ht="30" customHeight="1">
      <c r="A21" s="31" t="inlineStr">
        <is>
          <t>L1-SA-13</t>
        </is>
      </c>
      <c r="B21" s="37" t="inlineStr">
        <is>
          <t>EP-Valid</t>
        </is>
      </c>
      <c r="C21" s="32" t="inlineStr">
        <is>
          <t>GetRoundRobinState trả đúng vị trí con trỏ và danh sách hiện hành</t>
        </is>
      </c>
      <c r="D21" s="32" t="inlineStr">
        <is>
          <t>FT-04 BV-02</t>
        </is>
      </c>
      <c r="E21" s="36" t="inlineStr">
        <is>
          <t>P2</t>
        </is>
      </c>
      <c r="F21" s="32" t="inlineStr">
        <is>
          <t>Con trỏ đang ở S2</t>
        </is>
      </c>
      <c r="G21" s="32" t="inlineStr">
        <is>
          <t>salesAllocationService.GetRoundRobinStateAsync()</t>
        </is>
      </c>
      <c r="H21" s="32" t="inlineStr">
        <is>
          <t>Trả danh sách tham gia + con trỏ = S2 (khớp với lần gán kế tiếp)</t>
        </is>
      </c>
      <c r="I21" s="32" t="inlineStr">
        <is>
          <t>No</t>
        </is>
      </c>
      <c r="J21" s="43" t="inlineStr">
        <is>
          <t>Pass</t>
        </is>
      </c>
      <c r="K21" s="32" t="n"/>
      <c r="L21" s="46" t="n"/>
      <c r="M21" s="43" t="inlineStr">
        <is>
          <t>✅ Pass (không đổi)</t>
        </is>
      </c>
    </row>
    <row r="22" ht="15" customHeight="1">
      <c r="A22" s="52" t="inlineStr">
        <is>
          <t xml:space="preserve">  ▶  Template Row — copy khi thêm case mới</t>
        </is>
      </c>
    </row>
    <row r="23" ht="53.25" customHeight="1">
      <c r="A23" s="43" t="inlineStr">
        <is>
          <t>L1-XX-[NN]</t>
        </is>
      </c>
      <c r="B23" s="43" t="inlineStr">
        <is>
          <t>[BC-TRUE | BC-FALSE | CC | EP-Valid | EP-Invalid | BVA-* | State-* | Guard-* | Concurrency | Idempotency | Atomicity]</t>
        </is>
      </c>
      <c r="C23" s="43" t="inlineStr">
        <is>
          <t>[Branch / condition / partition]</t>
        </is>
      </c>
      <c r="D23" s="43" t="inlineStr">
        <is>
          <t>[FT-xx AC/NAC/BV-xx; BR-xxx; NFR-xxx]</t>
        </is>
      </c>
      <c r="E23" s="43" t="inlineStr">
        <is>
          <t>P2</t>
        </is>
      </c>
      <c r="F23" s="43" t="inlineStr">
        <is>
          <t>[Arrange: state + _mock.Setup(...)]</t>
        </is>
      </c>
      <c r="G23" s="43" t="inlineStr">
        <is>
          <t>service.Method(params)</t>
        </is>
      </c>
      <c r="H23" s="43" t="inlineStr">
        <is>
          <t>[result.Should().Be(...) / Throws / _mock.Verify(..., Times.Never)]</t>
        </is>
      </c>
      <c r="I23" s="43" t="inlineStr">
        <is>
          <t>No</t>
        </is>
      </c>
      <c r="J23" s="43" t="inlineStr">
        <is>
          <t>Not Run</t>
        </is>
      </c>
      <c r="K23" s="43" t="n"/>
      <c r="L23" s="43" t="n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L2"/>
    <mergeCell ref="A10:L10"/>
    <mergeCell ref="A1:L1"/>
    <mergeCell ref="A5:L5"/>
    <mergeCell ref="A13:L13"/>
    <mergeCell ref="A8:L8"/>
    <mergeCell ref="A22:L22"/>
  </mergeCells>
  <dataValidations count="2">
    <dataValidation sqref="E6:E7 E9 E11:E12 E14:E21 E23" showDropDown="0" showInputMessage="0" showErrorMessage="0" allowBlank="1" type="list">
      <formula1>"P1,P2,P3"</formula1>
      <formula2>0</formula2>
    </dataValidation>
    <dataValidation sqref="J6:J7 J9 J11:J12 J14:J21 J23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JwtService  |  methods: GenerateAccessToken, GenerateRefreshToken, GetPrincipalFromExpiredToken, GetAccessTokenExpiry  |  Pure logic — Mock: IOptions&lt;JwtSettings&gt;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GenerateAccessToken() / GetAccessTokenExpiry()  |  NFR-SEC04</t>
        </is>
      </c>
    </row>
    <row r="6" ht="43.5" customHeight="1">
      <c r="A6" s="26" t="inlineStr">
        <is>
          <t>L1-JWT-01</t>
        </is>
      </c>
      <c r="B6" s="37" t="inlineStr">
        <is>
          <t>EP-Valid</t>
        </is>
      </c>
      <c r="C6" s="27" t="inlineStr">
        <is>
          <t>Token contains correct userId + role claims, signed with configured key</t>
        </is>
      </c>
      <c r="D6" s="27" t="inlineStr">
        <is>
          <t>NFR-SEC03</t>
        </is>
      </c>
      <c r="E6" s="28" t="inlineStr">
        <is>
          <t>P1</t>
        </is>
      </c>
      <c r="F6" s="27" t="inlineStr">
        <is>
          <t>JwtSettings{key, issuer, expiry=15min}; user U1 role='Customer'</t>
        </is>
      </c>
      <c r="G6" s="27" t="inlineStr">
        <is>
          <t>jwtService.GenerateAccessToken(user)</t>
        </is>
      </c>
      <c r="H6" s="27" t="inlineStr">
        <is>
          <t>Decoded token: sub/nameid = U1; role claim = 'Customer'
Issuer/audience match settings; signature valid</t>
        </is>
      </c>
      <c r="I6" s="27" t="inlineStr">
        <is>
          <t>No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30" customHeight="1">
      <c r="A7" s="31" t="inlineStr">
        <is>
          <t>L1-JWT-02</t>
        </is>
      </c>
      <c r="B7" s="37" t="inlineStr">
        <is>
          <t>EP-Valid</t>
        </is>
      </c>
      <c r="C7" s="32" t="inlineStr">
        <is>
          <t>Access token expiry equals configured lifetime</t>
        </is>
      </c>
      <c r="D7" s="32" t="inlineStr">
        <is>
          <t>NFR-SEC02</t>
        </is>
      </c>
      <c r="E7" s="36" t="inlineStr">
        <is>
          <t>P2</t>
        </is>
      </c>
      <c r="F7" s="32" t="inlineStr">
        <is>
          <t>JwtSettings.ExpiryMinutes = 15 (mock clock)</t>
        </is>
      </c>
      <c r="G7" s="32" t="inlineStr">
        <is>
          <t>jwtService.GetAccessTokenExpiry()</t>
        </is>
      </c>
      <c r="H7" s="32" t="inlineStr">
        <is>
          <t>Expiry = NOW + 15min (within 1s tolerance)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18" customHeight="1">
      <c r="A8" s="50" t="inlineStr">
        <is>
          <t xml:space="preserve">  ▶  Block: GenerateRefreshToken()</t>
        </is>
      </c>
    </row>
    <row r="9" ht="30" customHeight="1">
      <c r="A9" s="26" t="inlineStr">
        <is>
          <t>L1-JWT-03</t>
        </is>
      </c>
      <c r="B9" s="37" t="inlineStr">
        <is>
          <t>EP-Valid</t>
        </is>
      </c>
      <c r="C9" s="27" t="inlineStr">
        <is>
          <t>Two consecutive refresh tokens are distinct and cryptographically sized</t>
        </is>
      </c>
      <c r="D9" s="27" t="inlineStr">
        <is>
          <t>NFR-SEC02</t>
        </is>
      </c>
      <c r="E9" s="34" t="inlineStr">
        <is>
          <t>P2</t>
        </is>
      </c>
      <c r="F9" s="27" t="inlineStr">
        <is>
          <t>—</t>
        </is>
      </c>
      <c r="G9" s="27" t="inlineStr">
        <is>
          <t>var a = GenerateRefreshToken(); var b = GenerateRefreshToken()</t>
        </is>
      </c>
      <c r="H9" s="27" t="inlineStr">
        <is>
          <t>a != b; length &gt;= 32 bytes base64 (non-guessable)</t>
        </is>
      </c>
      <c r="I9" s="27" t="inlineStr">
        <is>
          <t>No</t>
        </is>
      </c>
      <c r="J9" s="43" t="inlineStr">
        <is>
          <t>Pass</t>
        </is>
      </c>
      <c r="K9" s="27" t="n"/>
      <c r="L9" s="27" t="n"/>
      <c r="M9" s="43" t="inlineStr">
        <is>
          <t>✅ Pass (không đổi)</t>
        </is>
      </c>
    </row>
    <row r="10" ht="18" customHeight="1">
      <c r="A10" s="50" t="inlineStr">
        <is>
          <t xml:space="preserve">  ▶  Block: GetPrincipalFromExpiredToken()  |  silent-refresh support</t>
        </is>
      </c>
    </row>
    <row r="11" ht="43.5" customHeight="1">
      <c r="A11" s="26" t="inlineStr">
        <is>
          <t>L1-JWT-04</t>
        </is>
      </c>
      <c r="B11" s="37" t="inlineStr">
        <is>
          <t>EP-Valid</t>
        </is>
      </c>
      <c r="C11" s="27" t="inlineStr">
        <is>
          <t>Expired-but-correctly-signed token -&gt; principal extracted (lifetime NOT validated)</t>
        </is>
      </c>
      <c r="D11" s="27" t="inlineStr">
        <is>
          <t>NFR-SEC02</t>
        </is>
      </c>
      <c r="E11" s="28" t="inlineStr">
        <is>
          <t>P1</t>
        </is>
      </c>
      <c r="F11" s="27" t="inlineStr">
        <is>
          <t>Token generated with settings key, expiry in the past</t>
        </is>
      </c>
      <c r="G11" s="27" t="inlineStr">
        <is>
          <t>jwtService.GetPrincipalFromExpiredToken(expiredToken)</t>
        </is>
      </c>
      <c r="H11" s="27" t="inlineStr">
        <is>
          <t>Returns ClaimsPrincipal with original userId claim
No exception despite expiry</t>
        </is>
      </c>
      <c r="I11" s="27" t="inlineStr">
        <is>
          <t>No</t>
        </is>
      </c>
      <c r="J11" s="43" t="inlineStr">
        <is>
          <t>Pass</t>
        </is>
      </c>
      <c r="K11" s="27" t="n"/>
      <c r="L11" s="27" t="n"/>
      <c r="M11" s="43" t="inlineStr">
        <is>
          <t>✅ Pass (không đổi)</t>
        </is>
      </c>
    </row>
    <row r="12" ht="43.5" customHeight="1">
      <c r="A12" s="31" t="inlineStr">
        <is>
          <t>L1-JWT-05</t>
        </is>
      </c>
      <c r="B12" s="37" t="inlineStr">
        <is>
          <t>EP-Invalid</t>
        </is>
      </c>
      <c r="C12" s="32" t="inlineStr">
        <is>
          <t>Token signed with a DIFFERENT key -&gt; rejected (null/exception)</t>
        </is>
      </c>
      <c r="D12" s="32" t="inlineStr">
        <is>
          <t>NFR-SEC02</t>
        </is>
      </c>
      <c r="E12" s="28" t="inlineStr">
        <is>
          <t>P1</t>
        </is>
      </c>
      <c r="F12" s="32" t="inlineStr">
        <is>
          <t>Token signed with attacker key</t>
        </is>
      </c>
      <c r="G12" s="32" t="inlineStr">
        <is>
          <t>jwtService.GetPrincipalFromExpiredToken(forgedToken)</t>
        </is>
      </c>
      <c r="H12" s="32" t="inlineStr">
        <is>
          <t>Returns null or throws SecurityTokenException
No principal issued</t>
        </is>
      </c>
      <c r="I12" s="35" t="inlineStr">
        <is>
          <t>Yes</t>
        </is>
      </c>
      <c r="J12" s="43" t="inlineStr">
        <is>
          <t>Pass</t>
        </is>
      </c>
      <c r="K12" s="32" t="n"/>
      <c r="L12" s="32" t="n"/>
      <c r="M12" s="43" t="inlineStr">
        <is>
          <t>✅ Pass (không đổi)</t>
        </is>
      </c>
    </row>
    <row r="13" ht="15" customHeight="1">
      <c r="A13" s="52" t="inlineStr">
        <is>
          <t xml:space="preserve">  ▶  Template Row — copy khi thêm case mới</t>
        </is>
      </c>
    </row>
    <row r="14" ht="53.25" customHeight="1">
      <c r="A14" s="43" t="inlineStr">
        <is>
          <t>L1-XX-[NN]</t>
        </is>
      </c>
      <c r="B14" s="43" t="inlineStr">
        <is>
          <t>[BC-TRUE | BC-FALSE | CC | EP-Valid | EP-Invalid | BVA-* | State-* | Guard-* | Concurrency | Idempotency | Atomicity]</t>
        </is>
      </c>
      <c r="C14" s="43" t="inlineStr">
        <is>
          <t>[Branch / condition / partition]</t>
        </is>
      </c>
      <c r="D14" s="43" t="inlineStr">
        <is>
          <t>[FT-xx AC/NAC/BV-xx; BR-xxx; NFR-xxx]</t>
        </is>
      </c>
      <c r="E14" s="43" t="inlineStr">
        <is>
          <t>P2</t>
        </is>
      </c>
      <c r="F14" s="43" t="inlineStr">
        <is>
          <t>[Arrange: state + _mock.Setup(...)]</t>
        </is>
      </c>
      <c r="G14" s="43" t="inlineStr">
        <is>
          <t>service.Method(params)</t>
        </is>
      </c>
      <c r="H14" s="43" t="inlineStr">
        <is>
          <t>[result.Should().Be(...) / Throws / _mock.Verify(..., Times.Never)]</t>
        </is>
      </c>
      <c r="I14" s="43" t="inlineStr">
        <is>
          <t>No</t>
        </is>
      </c>
      <c r="J14" s="43" t="inlineStr">
        <is>
          <t>Not Run</t>
        </is>
      </c>
      <c r="K14" s="43" t="n"/>
      <c r="L14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L2"/>
    <mergeCell ref="A10:L10"/>
    <mergeCell ref="A1:L1"/>
    <mergeCell ref="A5:L5"/>
    <mergeCell ref="A13:L13"/>
    <mergeCell ref="A8:L8"/>
  </mergeCells>
  <dataValidations count="2">
    <dataValidation sqref="E6:E7 E9 E11:E12 E14" showDropDown="0" showInputMessage="0" showErrorMessage="0" allowBlank="1" type="list">
      <formula1>"P1,P2,P3"</formula1>
      <formula2>0</formula2>
    </dataValidation>
    <dataValidation sqref="J6:J7 J9 J11:J12 J14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AddressService  |  methods: GetAddressesAsync, CreateAddressAsync, UpdateAddressAsync, DeleteAddressAsync, SetDefaultAddressAsync  |  Mock: IUnitOfWork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SetDefaultAddressAsync()</t>
        </is>
      </c>
    </row>
    <row r="6" ht="43.5" customHeight="1">
      <c r="A6" s="26" t="inlineStr">
        <is>
          <t>L1-ADDR-01</t>
        </is>
      </c>
      <c r="B6" s="37" t="inlineStr">
        <is>
          <t>EP-Valid</t>
        </is>
      </c>
      <c r="C6" s="27" t="inlineStr">
        <is>
          <t>Set default -&gt; chosen address default=true, ALL others reset to false</t>
        </is>
      </c>
      <c r="D6" s="27" t="inlineStr">
        <is>
          <t>FT-01 AC-03; BV-03; BR-028</t>
        </is>
      </c>
      <c r="E6" s="28" t="inlineStr">
        <is>
          <t>P1</t>
        </is>
      </c>
      <c r="F6" s="27" t="inlineStr">
        <is>
          <t>User U1 has A1 (default) and A2; mock ResetDefaultAsync</t>
        </is>
      </c>
      <c r="G6" s="27" t="inlineStr">
        <is>
          <t>addressService.SetDefaultAddressAsync(U1, A2)</t>
        </is>
      </c>
      <c r="H6" s="27" t="inlineStr">
        <is>
          <t>addressRepo.ClearDefaultAsync(userId) called once, then A2.IsDefault = true
Exactly one default exists</t>
        </is>
      </c>
      <c r="I6" s="27" t="inlineStr">
        <is>
          <t>No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18" customHeight="1">
      <c r="A7" s="50" t="inlineStr">
        <is>
          <t xml:space="preserve">  ▶  Block: CreateAddressAsync() / UpdateAddressAsync() / DeleteAddressAsync()</t>
        </is>
      </c>
    </row>
    <row r="8" ht="30" customHeight="1">
      <c r="A8" s="26" t="inlineStr">
        <is>
          <t>L1-ADDR-02</t>
        </is>
      </c>
      <c r="B8" s="37" t="inlineStr">
        <is>
          <t>EP-Invalid</t>
        </is>
      </c>
      <c r="C8" s="27" t="inlineStr">
        <is>
          <t>Update an address belonging to another user -&gt; rejected</t>
        </is>
      </c>
      <c r="D8" s="27" t="inlineStr">
        <is>
          <t>FT-01 NAC-05; NFR-SEC03</t>
        </is>
      </c>
      <c r="E8" s="28" t="inlineStr">
        <is>
          <t>P1</t>
        </is>
      </c>
      <c r="F8" s="27" t="inlineStr">
        <is>
          <t>Address A9 belongs to user U9</t>
        </is>
      </c>
      <c r="G8" s="27" t="inlineStr">
        <is>
          <t>addressService.UpdateAddressAsync(U1, A9, dto)</t>
        </is>
      </c>
      <c r="H8" s="27" t="inlineStr">
        <is>
          <t>Throws not-found/forbidden; A9 unchanged</t>
        </is>
      </c>
      <c r="I8" s="29" t="inlineStr">
        <is>
          <t>Yes</t>
        </is>
      </c>
      <c r="J8" s="43" t="inlineStr">
        <is>
          <t>Pass</t>
        </is>
      </c>
      <c r="K8" s="27" t="n"/>
      <c r="L8" s="27" t="n"/>
      <c r="M8" s="43" t="inlineStr">
        <is>
          <t>✅ Pass (không đổi)</t>
        </is>
      </c>
    </row>
    <row r="9" ht="30" customHeight="1">
      <c r="A9" s="31" t="inlineStr">
        <is>
          <t>L1-ADDR-03</t>
        </is>
      </c>
      <c r="B9" s="37" t="inlineStr">
        <is>
          <t>EP-Valid</t>
        </is>
      </c>
      <c r="C9" s="32" t="inlineStr">
        <is>
          <t>Delete removes the address from the user's list</t>
        </is>
      </c>
      <c r="D9" s="32" t="inlineStr">
        <is>
          <t>FT-01 NAC-05; BR-028</t>
        </is>
      </c>
      <c r="E9" s="36" t="inlineStr">
        <is>
          <t>P3</t>
        </is>
      </c>
      <c r="F9" s="32" t="inlineStr">
        <is>
          <t>U1 has A1, A2</t>
        </is>
      </c>
      <c r="G9" s="32" t="inlineStr">
        <is>
          <t>addressService.DeleteAddressAsync(U1, A2)</t>
        </is>
      </c>
      <c r="H9" s="32" t="inlineStr">
        <is>
          <t>addressRepo.Remove(A2) called; GetAddresses returns only A1</t>
        </is>
      </c>
      <c r="I9" s="32" t="inlineStr">
        <is>
          <t>No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30" customHeight="1">
      <c r="A10" s="26" t="inlineStr">
        <is>
          <t>L1-ADDR-04</t>
        </is>
      </c>
      <c r="B10" s="37" t="inlineStr">
        <is>
          <t>EP-Valid</t>
        </is>
      </c>
      <c r="C10" s="27" t="inlineStr">
        <is>
          <t>First address created for a profile becomes default</t>
        </is>
      </c>
      <c r="D10" s="27" t="inlineStr">
        <is>
          <t>FT-01 AC-03; BV-03</t>
        </is>
      </c>
      <c r="E10" s="34" t="inlineStr">
        <is>
          <t>P3</t>
        </is>
      </c>
      <c r="F10" s="27" t="inlineStr">
        <is>
          <t>U1 has 0 addresses</t>
        </is>
      </c>
      <c r="G10" s="27" t="inlineStr">
        <is>
          <t>addressService.CreateAddressAsync(U1, dto)</t>
        </is>
      </c>
      <c r="H10" s="27" t="inlineStr">
        <is>
          <t>Created address IsDefault = true</t>
        </is>
      </c>
      <c r="I10" s="27" t="inlineStr">
        <is>
          <t>No</t>
        </is>
      </c>
      <c r="J10" s="43" t="inlineStr">
        <is>
          <t>Pass</t>
        </is>
      </c>
      <c r="K10" s="27" t="n"/>
      <c r="L10" s="27" t="n"/>
      <c r="M10" s="43" t="inlineStr">
        <is>
          <t>✅ Pass (không đổi)</t>
        </is>
      </c>
    </row>
    <row r="11" ht="15" customHeight="1">
      <c r="A11" s="52" t="inlineStr">
        <is>
          <t xml:space="preserve">  ▶  Template Row — copy khi thêm case mới</t>
        </is>
      </c>
    </row>
    <row r="12" ht="53.25" customHeight="1">
      <c r="A12" s="43" t="inlineStr">
        <is>
          <t>L1-XX-[NN]</t>
        </is>
      </c>
      <c r="B12" s="43" t="inlineStr">
        <is>
          <t>[BC-TRUE | BC-FALSE | CC | EP-Valid | EP-Invalid | BVA-* | State-* | Guard-* | Concurrency | Idempotency | Atomicity]</t>
        </is>
      </c>
      <c r="C12" s="43" t="inlineStr">
        <is>
          <t>[Branch / condition / partition]</t>
        </is>
      </c>
      <c r="D12" s="43" t="inlineStr">
        <is>
          <t>[FT-xx AC/NAC/BV-xx; BR-xxx; NFR-xxx]</t>
        </is>
      </c>
      <c r="E12" s="43" t="inlineStr">
        <is>
          <t>P2</t>
        </is>
      </c>
      <c r="F12" s="43" t="inlineStr">
        <is>
          <t>[Arrange: state + _mock.Setup(...)]</t>
        </is>
      </c>
      <c r="G12" s="43" t="inlineStr">
        <is>
          <t>service.Method(params)</t>
        </is>
      </c>
      <c r="H12" s="43" t="inlineStr">
        <is>
          <t>[result.Should().Be(...) / Throws / _mock.Verify(..., Times.Never)]</t>
        </is>
      </c>
      <c r="I12" s="43" t="inlineStr">
        <is>
          <t>No</t>
        </is>
      </c>
      <c r="J12" s="43" t="inlineStr">
        <is>
          <t>Not Run</t>
        </is>
      </c>
      <c r="K12" s="43" t="n"/>
      <c r="L12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7:L7"/>
    <mergeCell ref="A11:L11"/>
    <mergeCell ref="A1:L1"/>
    <mergeCell ref="A5:L5"/>
  </mergeCells>
  <dataValidations count="2">
    <dataValidation sqref="E6 E8:E10 E12" showDropDown="0" showInputMessage="0" showErrorMessage="0" allowBlank="1" type="list">
      <formula1>"P1,P2,P3"</formula1>
      <formula2>0</formula2>
    </dataValidation>
    <dataValidation sqref="J6 J8:J10 J12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UserProfileService  |  methods: GetProfileAsync, UpdateProfileAsync, UploadAvatarAsync, DeleteAvatarAsync, ChangePasswordAsync  |  Mock: IUnitOfWork, ICloudinaryService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ChangePasswordAsync()  |  NFR-SEC03</t>
        </is>
      </c>
    </row>
    <row r="6" ht="43.5" customHeight="1">
      <c r="A6" s="26" t="inlineStr">
        <is>
          <t>L1-UP-01</t>
        </is>
      </c>
      <c r="B6" s="37" t="inlineStr">
        <is>
          <t>EP-Invalid</t>
        </is>
      </c>
      <c r="C6" s="27" t="inlineStr">
        <is>
          <t>Wrong current password -&gt; change rejected, hash unchanged</t>
        </is>
      </c>
      <c r="D6" s="27" t="inlineStr">
        <is>
          <t>NFR-SEC02</t>
        </is>
      </c>
      <c r="E6" s="28" t="inlineStr">
        <is>
          <t>P1</t>
        </is>
      </c>
      <c r="F6" s="27" t="inlineStr">
        <is>
          <t>User hash = BCrypt('Old!123')</t>
        </is>
      </c>
      <c r="G6" s="27" t="inlineStr">
        <is>
          <t>userProfileService.ChangePasswordAsync(U1, dto{current='WRONG', new='New!123'})</t>
        </is>
      </c>
      <c r="H6" s="27" t="inlineStr">
        <is>
          <t>Throws/returns failure; PasswordHash unchanged
SaveChangesAsync NEVER called</t>
        </is>
      </c>
      <c r="I6" s="29" t="inlineStr">
        <is>
          <t>Yes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43.5" customHeight="1">
      <c r="A7" s="31" t="inlineStr">
        <is>
          <t>L1-UP-02</t>
        </is>
      </c>
      <c r="B7" s="37" t="inlineStr">
        <is>
          <t>EP-Valid</t>
        </is>
      </c>
      <c r="C7" s="32" t="inlineStr">
        <is>
          <t>Correct current password -&gt; new BCrypt hash stored, never plaintext</t>
        </is>
      </c>
      <c r="D7" s="32" t="inlineStr">
        <is>
          <t>NFR-SEC02</t>
        </is>
      </c>
      <c r="E7" s="28" t="inlineStr">
        <is>
          <t>P1</t>
        </is>
      </c>
      <c r="F7" s="32" t="inlineStr">
        <is>
          <t>User hash = BCrypt('Old!123')</t>
        </is>
      </c>
      <c r="G7" s="32" t="inlineStr">
        <is>
          <t>userProfileService.ChangePasswordAsync(U1, dto{current='Old!123', new='New!123'})</t>
        </is>
      </c>
      <c r="H7" s="32" t="inlineStr">
        <is>
          <t>New hash verifies against 'New!123'; stored value != 'New!123'
Old password no longer valid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18" customHeight="1">
      <c r="A8" s="50" t="inlineStr">
        <is>
          <t xml:space="preserve">  ▶  Block: UpdateProfileAsync() / avatar methods</t>
        </is>
      </c>
    </row>
    <row r="9" ht="30" customHeight="1">
      <c r="A9" s="26" t="inlineStr">
        <is>
          <t>L1-UP-03</t>
        </is>
      </c>
      <c r="B9" s="37" t="inlineStr">
        <is>
          <t>EP-Valid</t>
        </is>
      </c>
      <c r="C9" s="27" t="inlineStr">
        <is>
          <t>Update changes only permitted profile fields</t>
        </is>
      </c>
      <c r="D9" s="27" t="inlineStr">
        <is>
          <t>FT-01 AC-03; NFR-SEC06</t>
        </is>
      </c>
      <c r="E9" s="34" t="inlineStr">
        <is>
          <t>P2</t>
        </is>
      </c>
      <c r="F9" s="27" t="inlineStr">
        <is>
          <t>User U1 existing profile</t>
        </is>
      </c>
      <c r="G9" s="27" t="inlineStr">
        <is>
          <t>userProfileService.UpdateProfileAsync(U1, dto{name,phone})</t>
        </is>
      </c>
      <c r="H9" s="27" t="inlineStr">
        <is>
          <t>Name/phone updated; Role/Email/PasswordHash untouched</t>
        </is>
      </c>
      <c r="I9" s="27" t="inlineStr">
        <is>
          <t>No</t>
        </is>
      </c>
      <c r="J9" s="43" t="inlineStr">
        <is>
          <t>Pass</t>
        </is>
      </c>
      <c r="K9" s="27" t="n"/>
      <c r="L9" s="27" t="n"/>
      <c r="M9" s="43" t="inlineStr">
        <is>
          <t>✅ Pass (không đổi)</t>
        </is>
      </c>
    </row>
    <row r="10" ht="30" customHeight="1">
      <c r="A10" s="31" t="inlineStr">
        <is>
          <t>L1-UP-04</t>
        </is>
      </c>
      <c r="B10" s="37" t="inlineStr">
        <is>
          <t>EP-Valid</t>
        </is>
      </c>
      <c r="C10" s="32" t="inlineStr">
        <is>
          <t>Upload avatar delegates to Cloudinary and stores returned URL</t>
        </is>
      </c>
      <c r="D10" s="32" t="inlineStr">
        <is>
          <t>FT-01 AC-03; NFR-SEC07</t>
        </is>
      </c>
      <c r="E10" s="36" t="inlineStr">
        <is>
          <t>P3</t>
        </is>
      </c>
      <c r="F10" s="32" t="inlineStr">
        <is>
          <t>Mock: cloudinaryService.UploadImageAsync -&gt; 'https://cdn/x.png'</t>
        </is>
      </c>
      <c r="G10" s="32" t="inlineStr">
        <is>
          <t>userProfileService.UploadAvatarAsync(U1, file)</t>
        </is>
      </c>
      <c r="H10" s="32" t="inlineStr">
        <is>
          <t>UploadImageAsync called once with the file; profile.AvatarUrl = returned URL</t>
        </is>
      </c>
      <c r="I10" s="32" t="inlineStr">
        <is>
          <t>No</t>
        </is>
      </c>
      <c r="J10" s="43" t="inlineStr">
        <is>
          <t>Pass</t>
        </is>
      </c>
      <c r="K10" s="32" t="n"/>
      <c r="L10" s="32" t="n"/>
      <c r="M10" s="43" t="inlineStr">
        <is>
          <t>✅ Pass (không đổi)</t>
        </is>
      </c>
    </row>
    <row r="11" ht="30" customHeight="1">
      <c r="A11" s="26" t="inlineStr">
        <is>
          <t>L1-UP-05</t>
        </is>
      </c>
      <c r="B11" s="37" t="inlineStr">
        <is>
          <t>EP-Valid</t>
        </is>
      </c>
      <c r="C11" s="27" t="inlineStr">
        <is>
          <t>Delete avatar removes Cloudinary asset by extracted publicId</t>
        </is>
      </c>
      <c r="D11" s="27" t="inlineStr">
        <is>
          <t>FT-01 AC-03; NFR-SEC07</t>
        </is>
      </c>
      <c r="E11" s="34" t="inlineStr">
        <is>
          <t>P3</t>
        </is>
      </c>
      <c r="F11" s="27" t="inlineStr">
        <is>
          <t>Profile.AvatarUrl set; mock ExtractPublicId -&gt; 'pid'; DeleteImageAsync -&gt; true</t>
        </is>
      </c>
      <c r="G11" s="27" t="inlineStr">
        <is>
          <t>userProfileService.DeleteAvatarAsync(U1)</t>
        </is>
      </c>
      <c r="H11" s="27" t="inlineStr">
        <is>
          <t>cloudinaryService.DeleteImageAsync('pid') called once; AvatarUrl cleared</t>
        </is>
      </c>
      <c r="I11" s="27" t="inlineStr">
        <is>
          <t>No</t>
        </is>
      </c>
      <c r="J11" s="43" t="inlineStr">
        <is>
          <t>Pass</t>
        </is>
      </c>
      <c r="K11" s="27" t="n"/>
      <c r="L11" s="27" t="n"/>
      <c r="M11" s="43" t="inlineStr">
        <is>
          <t>✅ Pass (không đổi)</t>
        </is>
      </c>
    </row>
    <row r="12" ht="15" customHeight="1">
      <c r="A12" s="52" t="inlineStr">
        <is>
          <t xml:space="preserve">  ▶  Template Row — copy khi thêm case mới</t>
        </is>
      </c>
    </row>
    <row r="13" ht="53.25" customHeight="1">
      <c r="A13" s="43" t="inlineStr">
        <is>
          <t>L1-XX-[NN]</t>
        </is>
      </c>
      <c r="B13" s="43" t="inlineStr">
        <is>
          <t>[BC-TRUE | BC-FALSE | CC | EP-Valid | EP-Invalid | BVA-* | State-* | Guard-* | Concurrency | Idempotency | Atomicity]</t>
        </is>
      </c>
      <c r="C13" s="43" t="inlineStr">
        <is>
          <t>[Branch / condition / partition]</t>
        </is>
      </c>
      <c r="D13" s="43" t="inlineStr">
        <is>
          <t>[FT-xx AC/NAC/BV-xx; BR-xxx; NFR-xxx]</t>
        </is>
      </c>
      <c r="E13" s="43" t="inlineStr">
        <is>
          <t>P2</t>
        </is>
      </c>
      <c r="F13" s="43" t="inlineStr">
        <is>
          <t>[Arrange: state + _mock.Setup(...)]</t>
        </is>
      </c>
      <c r="G13" s="43" t="inlineStr">
        <is>
          <t>service.Method(params)</t>
        </is>
      </c>
      <c r="H13" s="43" t="inlineStr">
        <is>
          <t>[result.Should().Be(...) / Throws / _mock.Verify(..., Times.Never)]</t>
        </is>
      </c>
      <c r="I13" s="43" t="inlineStr">
        <is>
          <t>No</t>
        </is>
      </c>
      <c r="J13" s="43" t="inlineStr">
        <is>
          <t>Not Run</t>
        </is>
      </c>
      <c r="K13" s="43" t="n"/>
      <c r="L13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:L1"/>
    <mergeCell ref="A5:L5"/>
    <mergeCell ref="A8:L8"/>
    <mergeCell ref="A12:L12"/>
  </mergeCells>
  <dataValidations count="2">
    <dataValidation sqref="E6:E7 E9:E11 E13" showDropDown="0" showInputMessage="0" showErrorMessage="0" allowBlank="1" type="list">
      <formula1>"P1,P2,P3"</formula1>
      <formula2>0</formula2>
    </dataValidation>
    <dataValidation sqref="J6:J7 J9:J11 J13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SupplierService  |  methods: GetAllAsync, GetByIdAsync, CreateAsync, UpdateAsync  |  EF Core InMemory  |  ⚠ SRS trace TBD (purchasing domain)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CreateAsync() / UpdateAsync() / GetByIdAsync()</t>
        </is>
      </c>
    </row>
    <row r="6" ht="30" customHeight="1">
      <c r="A6" s="26" t="inlineStr">
        <is>
          <t>L1-SUP-01</t>
        </is>
      </c>
      <c r="B6" s="37" t="inlineStr">
        <is>
          <t>EP-Valid</t>
        </is>
      </c>
      <c r="C6" s="27" t="inlineStr">
        <is>
          <t>Create supplier with valid data -&gt; persisted and returned</t>
        </is>
      </c>
      <c r="D6" s="27" t="inlineStr">
        <is>
          <t>FT-09 AC-03; FT-06 AC-01</t>
        </is>
      </c>
      <c r="E6" s="34" t="inlineStr">
        <is>
          <t>P3</t>
        </is>
      </c>
      <c r="F6" s="27" t="inlineStr">
        <is>
          <t>Valid CreateSupplierRequest</t>
        </is>
      </c>
      <c r="G6" s="27" t="inlineStr">
        <is>
          <t>supplierService.CreateAsync(request)</t>
        </is>
      </c>
      <c r="H6" s="27" t="inlineStr">
        <is>
          <t>Supplier persisted; DTO fields echo request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L1-SUP-02</t>
        </is>
      </c>
      <c r="B7" s="37" t="inlineStr">
        <is>
          <t>EP-Invalid</t>
        </is>
      </c>
      <c r="C7" s="32" t="inlineStr">
        <is>
          <t>GetById with unknown id -&gt; not-found</t>
        </is>
      </c>
      <c r="D7" s="32" t="inlineStr">
        <is>
          <t>FT-09 AC-03</t>
        </is>
      </c>
      <c r="E7" s="36" t="inlineStr">
        <is>
          <t>P3</t>
        </is>
      </c>
      <c r="F7" s="32" t="inlineStr">
        <is>
          <t>No supplier with id Sx</t>
        </is>
      </c>
      <c r="G7" s="32" t="inlineStr">
        <is>
          <t>supplierService.GetByIdAsync(Sx)</t>
        </is>
      </c>
      <c r="H7" s="32" t="inlineStr">
        <is>
          <t>Throws not-found (or returns null) — controller maps to 404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0" customHeight="1">
      <c r="A8" s="26" t="inlineStr">
        <is>
          <t>L1-SUP-03</t>
        </is>
      </c>
      <c r="B8" s="37" t="inlineStr">
        <is>
          <t>EP-Invalid</t>
        </is>
      </c>
      <c r="C8" s="27" t="inlineStr">
        <is>
          <t>Update a non-existent supplier -&gt; rejected, nothing created</t>
        </is>
      </c>
      <c r="D8" s="27" t="inlineStr">
        <is>
          <t>FT-09 AC-03</t>
        </is>
      </c>
      <c r="E8" s="34" t="inlineStr">
        <is>
          <t>P3</t>
        </is>
      </c>
      <c r="F8" s="27" t="inlineStr">
        <is>
          <t>No supplier Sx</t>
        </is>
      </c>
      <c r="G8" s="27" t="inlineStr">
        <is>
          <t>supplierService.UpdateAsync(Sx, request)</t>
        </is>
      </c>
      <c r="H8" s="27" t="inlineStr">
        <is>
          <t>Throws not-found; no upsert side effect</t>
        </is>
      </c>
      <c r="I8" s="29" t="inlineStr">
        <is>
          <t>Yes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15" customHeight="1">
      <c r="A9" s="52" t="inlineStr">
        <is>
          <t xml:space="preserve">  ▶  Template Row — copy khi thêm case mới</t>
        </is>
      </c>
    </row>
    <row r="10" ht="53.25" customHeight="1">
      <c r="A10" s="43" t="inlineStr">
        <is>
          <t>L1-XX-[NN]</t>
        </is>
      </c>
      <c r="B10" s="43" t="inlineStr">
        <is>
          <t>[BC-TRUE | BC-FALSE | CC | EP-Valid | EP-Invalid | BVA-* | State-* | Guard-* | Concurrency | Idempotency | Atomicity]</t>
        </is>
      </c>
      <c r="C10" s="43" t="inlineStr">
        <is>
          <t>[Branch / condition / partition]</t>
        </is>
      </c>
      <c r="D10" s="43" t="inlineStr">
        <is>
          <t>[FT-xx AC/NAC/BV-xx; BR-xxx; NFR-xxx]</t>
        </is>
      </c>
      <c r="E10" s="43" t="inlineStr">
        <is>
          <t>P2</t>
        </is>
      </c>
      <c r="F10" s="43" t="inlineStr">
        <is>
          <t>[Arrange: state + _mock.Setup(...)]</t>
        </is>
      </c>
      <c r="G10" s="43" t="inlineStr">
        <is>
          <t>service.Method(params)</t>
        </is>
      </c>
      <c r="H10" s="43" t="inlineStr">
        <is>
          <t>[result.Should().Be(...) / Throws / _mock.Verify(..., Times.Never)]</t>
        </is>
      </c>
      <c r="I10" s="43" t="inlineStr">
        <is>
          <t>No</t>
        </is>
      </c>
      <c r="J10" s="43" t="inlineStr">
        <is>
          <t>Not Run</t>
        </is>
      </c>
      <c r="K10" s="43" t="n"/>
      <c r="L10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L2"/>
    <mergeCell ref="A1:L1"/>
    <mergeCell ref="A9:L9"/>
    <mergeCell ref="A5:L5"/>
  </mergeCells>
  <dataValidations count="2">
    <dataValidation sqref="E6:E8 E10" showDropDown="0" showInputMessage="0" showErrorMessage="0" allowBlank="1" type="list">
      <formula1>"P1,P2,P3"</formula1>
      <formula2>0</formula2>
    </dataValidation>
    <dataValidation sqref="J6:J8 J10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InventoryService  |  methods: GetInventoryByWarehouseAsync, AdjustInventoryAsync, AddProductToWarehouseAsync  |  EF Core InMemory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GetInventoryByWarehouseAsync()  |  FT-11 (inventory visibility)</t>
        </is>
      </c>
    </row>
    <row r="6" ht="30" customHeight="1">
      <c r="A6" s="26" t="inlineStr">
        <is>
          <t>L1-INV-01</t>
        </is>
      </c>
      <c r="B6" s="37" t="inlineStr">
        <is>
          <t>EP-Valid</t>
        </is>
      </c>
      <c r="C6" s="27" t="inlineStr">
        <is>
          <t>Filter by warehouse + search + qty range returns matching rows only</t>
        </is>
      </c>
      <c r="D6" s="27" t="inlineStr">
        <is>
          <t>FT-12 AC-04; FT-09 AC-01</t>
        </is>
      </c>
      <c r="E6" s="34" t="inlineStr">
        <is>
          <t>P2</t>
        </is>
      </c>
      <c r="F6" s="27" t="inlineStr">
        <is>
          <t>W1 has 3 inventory rows, W2 has 2; search 'bag' matches 1 in W1</t>
        </is>
      </c>
      <c r="G6" s="27" t="inlineStr">
        <is>
          <t>inventoryService.GetInventoryByWarehouseAsync(W1, 'bag', minQty=0, maxQty=100, ...)</t>
        </is>
      </c>
      <c r="H6" s="27" t="inlineStr">
        <is>
          <t>Only the matching W1 row returned; paging metadata correct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18" customHeight="1">
      <c r="A7" s="50" t="inlineStr">
        <is>
          <t xml:space="preserve">  ▶  Block: AdjustInventoryAsync()  |  FT-04 BV-02 (stock &gt;= 0); auditability</t>
        </is>
      </c>
    </row>
    <row r="8" ht="30" customHeight="1">
      <c r="A8" s="26" t="inlineStr">
        <is>
          <t>L1-INV-02</t>
        </is>
      </c>
      <c r="B8" s="37" t="inlineStr">
        <is>
          <t>EP-Valid</t>
        </is>
      </c>
      <c r="C8" s="27" t="inlineStr">
        <is>
          <t>Adjust to new quantity -&gt; inventory updated + StockTransaction audit row with note/staff</t>
        </is>
      </c>
      <c r="D8" s="27" t="inlineStr">
        <is>
          <t>FT-12 AC-02; AC-03; BR-044; BR-022</t>
        </is>
      </c>
      <c r="E8" s="28" t="inlineStr">
        <is>
          <t>P1</t>
        </is>
      </c>
      <c r="F8" s="27" t="inlineStr">
        <is>
          <t>Inventory I1 (P1@W1) qty = 10</t>
        </is>
      </c>
      <c r="G8" s="27" t="inlineStr">
        <is>
          <t>inventoryService.AdjustInventoryAsync(I1, newQuantity=7, 'stocktake', staffId)</t>
        </is>
      </c>
      <c r="H8" s="27" t="inlineStr">
        <is>
          <t>I1.Quantity = 7; StockTransaction logged (delta -3, note, staffId)</t>
        </is>
      </c>
      <c r="I8" s="27" t="inlineStr">
        <is>
          <t>No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46.5" customHeight="1">
      <c r="A9" s="31" t="inlineStr">
        <is>
          <t>L1-INV-03</t>
        </is>
      </c>
      <c r="B9" s="37" t="inlineStr">
        <is>
          <t>EP-Invalid + BVA-Min-1</t>
        </is>
      </c>
      <c r="C9" s="32" t="inlineStr">
        <is>
          <t>Adjust to negative quantity -&gt; rejected</t>
        </is>
      </c>
      <c r="D9" s="32" t="inlineStr">
        <is>
          <t>FT-12 NAC-03; BV-01; BR-032</t>
        </is>
      </c>
      <c r="E9" s="28" t="inlineStr">
        <is>
          <t>P1</t>
        </is>
      </c>
      <c r="F9" s="32" t="inlineStr">
        <is>
          <t>Inventory I1 qty = 10</t>
        </is>
      </c>
      <c r="G9" s="32" t="inlineStr">
        <is>
          <t>inventoryService.AdjustInventoryAsync(I1, newQuantity=-1, note, staffId)</t>
        </is>
      </c>
      <c r="H9" s="32" t="inlineStr">
        <is>
          <t>Từ chối; quantity không đổi; không ghi audit row
Assert OnHandQuantity và RawAvailable(), KHÔNG assert AvailableQuantity &gt;= 0 (luôn xanh do Math.Max)</t>
        </is>
      </c>
      <c r="I9" s="35" t="inlineStr">
        <is>
          <t>Yes</t>
        </is>
      </c>
      <c r="J9" s="43" t="inlineStr">
        <is>
          <t>Pass</t>
        </is>
      </c>
      <c r="K9" s="32" t="n"/>
      <c r="L9" s="46" t="inlineStr">
        <is>
          <t>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      </is>
      </c>
      <c r="M9" s="43" t="inlineStr">
        <is>
          <t>✅ Pass (không đổi)</t>
        </is>
      </c>
    </row>
    <row r="10" ht="18" customHeight="1">
      <c r="A10" s="50" t="inlineStr">
        <is>
          <t xml:space="preserve">  ▶  Block: AddProductToWarehouseAsync()</t>
        </is>
      </c>
    </row>
    <row r="11" ht="30" customHeight="1">
      <c r="A11" s="26" t="inlineStr">
        <is>
          <t>L1-INV-04</t>
        </is>
      </c>
      <c r="B11" s="37" t="inlineStr">
        <is>
          <t>EP-Valid</t>
        </is>
      </c>
      <c r="C11" s="27" t="inlineStr">
        <is>
          <t>Add product to a warehouse -&gt; inventory row created with qty &gt;= 0</t>
        </is>
      </c>
      <c r="D11" s="27" t="inlineStr">
        <is>
          <t>FT-12 AC-01</t>
        </is>
      </c>
      <c r="E11" s="34" t="inlineStr">
        <is>
          <t>P2</t>
        </is>
      </c>
      <c r="F11" s="27" t="inlineStr">
        <is>
          <t>P1 not yet stocked in W2</t>
        </is>
      </c>
      <c r="G11" s="27" t="inlineStr">
        <is>
          <t>inventoryService.AddProductToWarehouseAsync(req{P1,W2,qty=20}, staffId)</t>
        </is>
      </c>
      <c r="H11" s="27" t="inlineStr">
        <is>
          <t>Inventory row (P1,W2) created qty=20; StockTransaction logged</t>
        </is>
      </c>
      <c r="I11" s="27" t="inlineStr">
        <is>
          <t>No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30" customHeight="1">
      <c r="A12" s="31" t="inlineStr">
        <is>
          <t>L1-INV-05</t>
        </is>
      </c>
      <c r="B12" s="37" t="inlineStr">
        <is>
          <t>EP-Invalid</t>
        </is>
      </c>
      <c r="C12" s="32" t="inlineStr">
        <is>
          <t>Add a product that already has an inventory row in that warehouse -&gt; rejected (no duplicate row)</t>
        </is>
      </c>
      <c r="D12" s="32" t="inlineStr">
        <is>
          <t>FT-12 NAC-01</t>
        </is>
      </c>
      <c r="E12" s="36" t="inlineStr">
        <is>
          <t>P2</t>
        </is>
      </c>
      <c r="F12" s="32" t="inlineStr">
        <is>
          <t>Inventory (P1,W1) already exists</t>
        </is>
      </c>
      <c r="G12" s="32" t="inlineStr">
        <is>
          <t>inventoryService.AddProductToWarehouseAsync(req{P1,W1,qty=5}, staffId)</t>
        </is>
      </c>
      <c r="H12" s="32" t="inlineStr">
        <is>
          <t>Rejected/conflict; no second row for (P1,W1)</t>
        </is>
      </c>
      <c r="I12" s="35" t="inlineStr">
        <is>
          <t>Yes</t>
        </is>
      </c>
      <c r="J12" s="43" t="inlineStr">
        <is>
          <t>Pass</t>
        </is>
      </c>
      <c r="K12" s="32" t="n"/>
      <c r="L12" s="46" t="n"/>
      <c r="M12" s="43" t="inlineStr">
        <is>
          <t>✅ Pass (không đổi)</t>
        </is>
      </c>
    </row>
    <row r="13" ht="15" customHeight="1">
      <c r="A13" s="52" t="inlineStr">
        <is>
          <t xml:space="preserve">  ▶  Template Row — copy khi thêm case mới</t>
        </is>
      </c>
    </row>
    <row r="14" ht="53.25" customHeight="1">
      <c r="A14" s="43" t="inlineStr">
        <is>
          <t>L1-XX-[NN]</t>
        </is>
      </c>
      <c r="B14" s="43" t="inlineStr">
        <is>
          <t>[BC-TRUE | BC-FALSE | CC | EP-Valid | EP-Invalid | BVA-* | State-* | Guard-* | Concurrency | Idempotency | Atomicity]</t>
        </is>
      </c>
      <c r="C14" s="43" t="inlineStr">
        <is>
          <t>[Branch / condition / partition]</t>
        </is>
      </c>
      <c r="D14" s="43" t="inlineStr">
        <is>
          <t>[FT-xx AC/NAC/BV-xx; BR-xxx; NFR-xxx]</t>
        </is>
      </c>
      <c r="E14" s="43" t="inlineStr">
        <is>
          <t>P2</t>
        </is>
      </c>
      <c r="F14" s="43" t="inlineStr">
        <is>
          <t>[Arrange: state + _mock.Setup(...)]</t>
        </is>
      </c>
      <c r="G14" s="43" t="inlineStr">
        <is>
          <t>service.Method(params)</t>
        </is>
      </c>
      <c r="H14" s="43" t="inlineStr">
        <is>
          <t>[result.Should().Be(...) / Throws / _mock.Verify(..., Times.Never)]</t>
        </is>
      </c>
      <c r="I14" s="43" t="inlineStr">
        <is>
          <t>No</t>
        </is>
      </c>
      <c r="J14" s="43" t="inlineStr">
        <is>
          <t>Not Run</t>
        </is>
      </c>
      <c r="K14" s="43" t="n"/>
      <c r="L14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L2"/>
    <mergeCell ref="A10:L10"/>
    <mergeCell ref="A7:L7"/>
    <mergeCell ref="A1:L1"/>
    <mergeCell ref="A5:L5"/>
    <mergeCell ref="A13:L13"/>
  </mergeCells>
  <dataValidations count="2">
    <dataValidation sqref="E6 E8:E9 E11:E12 E14" showDropDown="0" showInputMessage="0" showErrorMessage="0" allowBlank="1" type="list">
      <formula1>"P1,P2,P3"</formula1>
      <formula2>0</formula2>
    </dataValidation>
    <dataValidation sqref="J6 J8:J9 J11:J12 J14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GoodsIssueService  |  methods: CreateGoodsIssueAsync, UploadProofAsync, PostGoodsIssueAsync  |  EF Core InMemory + Mock: ICloudinaryService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CreateGoodsIssueAsync() / UploadProofAsync()</t>
        </is>
      </c>
    </row>
    <row r="6" ht="30" customHeight="1">
      <c r="A6" s="26" t="inlineStr">
        <is>
          <t>L1-GI-01</t>
        </is>
      </c>
      <c r="B6" s="37" t="inlineStr">
        <is>
          <t>EP-Valid</t>
        </is>
      </c>
      <c r="C6" s="27" t="inlineStr">
        <is>
          <t>Create goods issue draft with line items</t>
        </is>
      </c>
      <c r="D6" s="27" t="inlineStr">
        <is>
          <t>FT-05 AC-04</t>
        </is>
      </c>
      <c r="E6" s="34" t="inlineStr">
        <is>
          <t>P2</t>
        </is>
      </c>
      <c r="F6" s="27" t="inlineStr">
        <is>
          <t>Valid request with 2 lines; staff W1</t>
        </is>
      </c>
      <c r="G6" s="27" t="inlineStr">
        <is>
          <t>goodsIssueService.CreateGoodsIssueAsync(req, W1)</t>
        </is>
      </c>
      <c r="H6" s="27" t="inlineStr">
        <is>
          <t>GoodsIssue persisted status Draft; 2 GoodsIssueItems stored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L1-GI-02</t>
        </is>
      </c>
      <c r="B7" s="37" t="inlineStr">
        <is>
          <t>EP-Valid</t>
        </is>
      </c>
      <c r="C7" s="32" t="inlineStr">
        <is>
          <t>Upload proof image delegates to Cloudinary and stores URL</t>
        </is>
      </c>
      <c r="D7" s="32" t="inlineStr">
        <is>
          <t>FT-05 AC-04; NFR-SEC07</t>
        </is>
      </c>
      <c r="E7" s="36" t="inlineStr">
        <is>
          <t>P3</t>
        </is>
      </c>
      <c r="F7" s="32" t="inlineStr">
        <is>
          <t>Issue GI-1 Draft; mock UploadEvidenceAsync -&gt; url</t>
        </is>
      </c>
      <c r="G7" s="32" t="inlineStr">
        <is>
          <t>goodsIssueService.UploadProofAsync(GI-1, file)</t>
        </is>
      </c>
      <c r="H7" s="32" t="inlineStr">
        <is>
          <t>cloudinary.UploadEvidenceAsync called once; GI-1.ProofUrl = url</t>
        </is>
      </c>
      <c r="I7" s="32" t="inlineStr">
        <is>
          <t>No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18" customHeight="1">
      <c r="A8" s="50" t="inlineStr">
        <is>
          <t xml:space="preserve">  ▶  Block: PostGoodsIssueAsync()  |  FT-04 AC-02, NAC-03; BV-02</t>
        </is>
      </c>
    </row>
    <row r="9" ht="43.5" customHeight="1">
      <c r="A9" s="26" t="inlineStr">
        <is>
          <t>L1-GI-03</t>
        </is>
      </c>
      <c r="B9" s="37" t="inlineStr">
        <is>
          <t>State-Valid</t>
        </is>
      </c>
      <c r="C9" s="27" t="inlineStr">
        <is>
          <t>Post issue -&gt; stock decremented per line, status Posted, atomic</t>
        </is>
      </c>
      <c r="D9" s="27" t="inlineStr">
        <is>
          <t>FT-05 AC-05; BV-02; BR-032</t>
        </is>
      </c>
      <c r="E9" s="28" t="inlineStr">
        <is>
          <t>P1</t>
        </is>
      </c>
      <c r="F9" s="27" t="inlineStr">
        <is>
          <t>GI-1 Draft: P1 qty=3; stock P1 = 10</t>
        </is>
      </c>
      <c r="G9" s="27" t="inlineStr">
        <is>
          <t>goodsIssueService.PostGoodsIssueAsync(GI-1, W1)</t>
        </is>
      </c>
      <c r="H9" s="27" t="inlineStr">
        <is>
          <t>Stock P1 = 7; GI-1 = Posted; StockTransaction rows created
All in one transaction</t>
        </is>
      </c>
      <c r="I9" s="27" t="inlineStr">
        <is>
          <t>No</t>
        </is>
      </c>
      <c r="J9" s="43" t="inlineStr">
        <is>
          <t>Pass</t>
        </is>
      </c>
      <c r="K9" s="27" t="n"/>
      <c r="L9" s="45" t="n"/>
      <c r="M9" s="43" t="inlineStr">
        <is>
          <t>✅ Pass (không đổi)</t>
        </is>
      </c>
    </row>
    <row r="10" ht="30" customHeight="1">
      <c r="A10" s="31" t="inlineStr">
        <is>
          <t>L1-GI-04</t>
        </is>
      </c>
      <c r="B10" s="37" t="inlineStr">
        <is>
          <t>State-Invalid</t>
        </is>
      </c>
      <c r="C10" s="32" t="inlineStr">
        <is>
          <t>Post an already-Posted issue -&gt; conflict (no double decrement)</t>
        </is>
      </c>
      <c r="D10" s="32" t="inlineStr">
        <is>
          <t>FT-05 NAC-05; BR-021; BR-029</t>
        </is>
      </c>
      <c r="E10" s="28" t="inlineStr">
        <is>
          <t>P1</t>
        </is>
      </c>
      <c r="F10" s="32" t="inlineStr">
        <is>
          <t>GI-1 Posted; stock P1 = 7</t>
        </is>
      </c>
      <c r="G10" s="32" t="inlineStr">
        <is>
          <t>goodsIssueService.PostGoodsIssueAsync(GI-1, W1)</t>
        </is>
      </c>
      <c r="H10" s="32" t="inlineStr">
        <is>
          <t>Throws conflict; stock remains 7</t>
        </is>
      </c>
      <c r="I10" s="35" t="inlineStr">
        <is>
          <t>Yes</t>
        </is>
      </c>
      <c r="J10" s="43" t="inlineStr">
        <is>
          <t>Pass</t>
        </is>
      </c>
      <c r="K10" s="32" t="n"/>
      <c r="L10" s="46" t="n"/>
      <c r="M10" s="43" t="inlineStr">
        <is>
          <t>✅ Pass (không đổi)</t>
        </is>
      </c>
    </row>
    <row r="11" ht="18" customHeight="1">
      <c r="A11" s="50" t="inlineStr">
        <is>
          <t xml:space="preserve">  ▶  Block: ⊕ v2.1 — Bàn giao &amp; phiếu đảo  |  UpdateHandoverInfoAsync, CreateReversalAsync  |  FT-05; BR-021; BR-034</t>
        </is>
      </c>
    </row>
    <row r="12" ht="30" customHeight="1">
      <c r="A12" s="26" t="inlineStr">
        <is>
          <t>L1-GI-05</t>
        </is>
      </c>
      <c r="B12" s="37" t="inlineStr">
        <is>
          <t>EP-Valid</t>
        </is>
      </c>
      <c r="C12" s="27" t="inlineStr">
        <is>
          <t>Cập nhật thông tin bàn giao trên phiếu CHƯA post</t>
        </is>
      </c>
      <c r="D12" s="27" t="inlineStr">
        <is>
          <t>FT-05 AC-05; BR-034</t>
        </is>
      </c>
      <c r="E12" s="28" t="inlineStr">
        <is>
          <t>P1</t>
        </is>
      </c>
      <c r="F12" s="27" t="inlineStr">
        <is>
          <t>GI-1 trạng thái Draft</t>
        </is>
      </c>
      <c r="G12" s="27" t="inlineStr">
        <is>
          <t>goodsIssueService.UpdateHandoverInfoAsync(GI-1, staffId, dto{packageCount, signature})</t>
        </is>
      </c>
      <c r="H12" s="27" t="inlineStr">
        <is>
          <t>Thông tin bàn giao được lưu; phiếu vẫn Draft</t>
        </is>
      </c>
      <c r="I12" s="27" t="inlineStr">
        <is>
          <t>No</t>
        </is>
      </c>
      <c r="J12" s="43" t="inlineStr">
        <is>
          <t>Pass</t>
        </is>
      </c>
      <c r="K12" s="27" t="n"/>
      <c r="L12" s="45" t="n"/>
      <c r="M12" s="43" t="inlineStr">
        <is>
          <t>✅ Pass (không đổi)</t>
        </is>
      </c>
    </row>
    <row r="13" ht="30" customHeight="1">
      <c r="A13" s="31" t="inlineStr">
        <is>
          <t>L1-GI-06</t>
        </is>
      </c>
      <c r="B13" s="37" t="inlineStr">
        <is>
          <t>State-Invalid</t>
        </is>
      </c>
      <c r="C13" s="32" t="inlineStr">
        <is>
          <t>Cập nhật bàn giao trên phiếu ĐÃ post -&gt; conflict</t>
        </is>
      </c>
      <c r="D13" s="32" t="inlineStr">
        <is>
          <t>FT-05 NAC-05; BR-021</t>
        </is>
      </c>
      <c r="E13" s="28" t="inlineStr">
        <is>
          <t>P1</t>
        </is>
      </c>
      <c r="F13" s="32" t="inlineStr">
        <is>
          <t>GI-1 trạng thái Posted</t>
        </is>
      </c>
      <c r="G13" s="32" t="inlineStr">
        <is>
          <t>goodsIssueService.UpdateHandoverInfoAsync(GI-1, staffId, dto)</t>
        </is>
      </c>
      <c r="H13" s="32" t="inlineStr">
        <is>
          <t>Ném conflict (chứng từ đã ghi sổ bất biến); dữ liệu không đổi</t>
        </is>
      </c>
      <c r="I13" s="35" t="inlineStr">
        <is>
          <t>Yes</t>
        </is>
      </c>
      <c r="J13" s="43" t="inlineStr">
        <is>
          <t>Pass</t>
        </is>
      </c>
      <c r="K13" s="32" t="n"/>
      <c r="L13" s="46" t="n"/>
      <c r="M13" s="43" t="inlineStr">
        <is>
          <t>✅ Pass (không đổi)</t>
        </is>
      </c>
    </row>
    <row r="14" ht="43.5" customHeight="1">
      <c r="A14" s="26" t="inlineStr">
        <is>
          <t>L1-GI-07</t>
        </is>
      </c>
      <c r="B14" s="37" t="inlineStr">
        <is>
          <t>EP-Valid</t>
        </is>
      </c>
      <c r="C14" s="27" t="inlineStr">
        <is>
          <t>Tạo phiếu đảo -&gt; hoàn lại đúng số lượng đã xuất, KHÔNG sửa phiếu gốc</t>
        </is>
      </c>
      <c r="D14" s="27" t="inlineStr">
        <is>
          <t>FT-05 NAC-05; BR-021</t>
        </is>
      </c>
      <c r="E14" s="28" t="inlineStr">
        <is>
          <t>P1</t>
        </is>
      </c>
      <c r="F14" s="27" t="inlineStr">
        <is>
          <t>GI-1 Posted, đã trừ P1 = 3; tồn hiện tại = 7</t>
        </is>
      </c>
      <c r="G14" s="27" t="inlineStr">
        <is>
          <t>goodsIssueService.CreateReversalAsync(GI-1, staffId, dto{reason})</t>
        </is>
      </c>
      <c r="H14" s="27" t="inlineStr">
        <is>
          <t>Tồn P1 = 10; phiếu gốc GI-1 GIỮ NGUYÊN
Phiếu đảo là chứng từ mới có tham chiếu tới GI-1</t>
        </is>
      </c>
      <c r="I14" s="27" t="inlineStr">
        <is>
          <t>No</t>
        </is>
      </c>
      <c r="J14" s="43" t="inlineStr">
        <is>
          <t>Pass</t>
        </is>
      </c>
      <c r="K14" s="27" t="n"/>
      <c r="L14" s="45" t="n"/>
      <c r="M14" s="43" t="inlineStr">
        <is>
          <t>✅ Pass (không đổi)</t>
        </is>
      </c>
    </row>
    <row r="15" ht="30" customHeight="1">
      <c r="A15" s="31" t="inlineStr">
        <is>
          <t>L1-GI-08</t>
        </is>
      </c>
      <c r="B15" s="37" t="inlineStr">
        <is>
          <t>State-Invalid</t>
        </is>
      </c>
      <c r="C15" s="32" t="inlineStr">
        <is>
          <t>Tạo phiếu đảo cho phiếu chưa post -&gt; từ chối</t>
        </is>
      </c>
      <c r="D15" s="32" t="inlineStr">
        <is>
          <t>BR-021</t>
        </is>
      </c>
      <c r="E15" s="28" t="inlineStr">
        <is>
          <t>P1</t>
        </is>
      </c>
      <c r="F15" s="32" t="inlineStr">
        <is>
          <t>GI-1 Draft</t>
        </is>
      </c>
      <c r="G15" s="32" t="inlineStr">
        <is>
          <t>goodsIssueService.CreateReversalAsync(GI-1, staffId, dto)</t>
        </is>
      </c>
      <c r="H15" s="32" t="inlineStr">
        <is>
          <t>Từ chối; không tạo chứng từ đảo</t>
        </is>
      </c>
      <c r="I15" s="35" t="inlineStr">
        <is>
          <t>Yes</t>
        </is>
      </c>
      <c r="J15" s="43" t="inlineStr">
        <is>
          <t>Pass</t>
        </is>
      </c>
      <c r="K15" s="32" t="n"/>
      <c r="L15" s="46" t="n"/>
      <c r="M15" s="43" t="inlineStr">
        <is>
          <t>✅ Pass (không đổi)</t>
        </is>
      </c>
    </row>
    <row r="16" ht="30" customHeight="1">
      <c r="A16" s="26" t="inlineStr">
        <is>
          <t>L1-GI-09</t>
        </is>
      </c>
      <c r="B16" s="37" t="inlineStr">
        <is>
          <t>Idempotency</t>
        </is>
      </c>
      <c r="C16" s="27" t="inlineStr">
        <is>
          <t>Tạo phiếu đảo lần 2 cho cùng phiếu gốc -&gt; chặn hoàn kép</t>
        </is>
      </c>
      <c r="D16" s="27" t="inlineStr">
        <is>
          <t>BR-029; BR-032</t>
        </is>
      </c>
      <c r="E16" s="28" t="inlineStr">
        <is>
          <t>P1</t>
        </is>
      </c>
      <c r="F16" s="27" t="inlineStr">
        <is>
          <t>GI-1 đã có phiếu đảo, tồn P1 = 10</t>
        </is>
      </c>
      <c r="G16" s="27" t="inlineStr">
        <is>
          <t>goodsIssueService.CreateReversalAsync(GI-1, staffId, dto)</t>
        </is>
      </c>
      <c r="H16" s="27" t="inlineStr">
        <is>
          <t>Từ chối; tồn P1 vẫn = 10 (không cộng thêm lần nữa)</t>
        </is>
      </c>
      <c r="I16" s="29" t="inlineStr">
        <is>
          <t>Yes</t>
        </is>
      </c>
      <c r="J16" s="43" t="inlineStr">
        <is>
          <t>Pass</t>
        </is>
      </c>
      <c r="K16" s="27" t="n"/>
      <c r="L16" s="45" t="n"/>
      <c r="M16" s="43" t="inlineStr">
        <is>
          <t>✅ Pass (không đổi)</t>
        </is>
      </c>
    </row>
    <row r="17" ht="15" customHeight="1">
      <c r="A17" s="52" t="inlineStr">
        <is>
          <t xml:space="preserve">  ▶  Template Row — copy khi thêm case mới</t>
        </is>
      </c>
    </row>
    <row r="18" ht="53.25" customHeight="1">
      <c r="A18" s="43" t="inlineStr">
        <is>
          <t>L1-XX-[NN]</t>
        </is>
      </c>
      <c r="B18" s="43" t="inlineStr">
        <is>
          <t>[BC-TRUE | BC-FALSE | CC | EP-Valid | EP-Invalid | BVA-* | State-* | Guard-* | Concurrency | Idempotency | Atomicity]</t>
        </is>
      </c>
      <c r="C18" s="43" t="inlineStr">
        <is>
          <t>[Branch / condition / partition]</t>
        </is>
      </c>
      <c r="D18" s="43" t="inlineStr">
        <is>
          <t>[FT-xx AC/NAC/BV-xx; BR-xxx; NFR-xxx]</t>
        </is>
      </c>
      <c r="E18" s="43" t="inlineStr">
        <is>
          <t>P2</t>
        </is>
      </c>
      <c r="F18" s="43" t="inlineStr">
        <is>
          <t>[Arrange: state + _mock.Setup(...)]</t>
        </is>
      </c>
      <c r="G18" s="43" t="inlineStr">
        <is>
          <t>service.Method(params)</t>
        </is>
      </c>
      <c r="H18" s="43" t="inlineStr">
        <is>
          <t>[result.Should().Be(...) / Throws / _mock.Verify(..., Times.Never)]</t>
        </is>
      </c>
      <c r="I18" s="43" t="inlineStr">
        <is>
          <t>No</t>
        </is>
      </c>
      <c r="J18" s="43" t="inlineStr">
        <is>
          <t>Not Run</t>
        </is>
      </c>
      <c r="K18" s="43" t="n"/>
      <c r="L18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L2"/>
    <mergeCell ref="A11:L11"/>
    <mergeCell ref="A1:L1"/>
    <mergeCell ref="A5:L5"/>
    <mergeCell ref="A8:L8"/>
    <mergeCell ref="A17:L17"/>
  </mergeCells>
  <dataValidations count="2">
    <dataValidation sqref="E6:E7 E9:E10 E12:E16 E18" showDropDown="0" showInputMessage="0" showErrorMessage="0" allowBlank="1" type="list">
      <formula1>"P1,P2,P3"</formula1>
      <formula2>0</formula2>
    </dataValidation>
    <dataValidation sqref="J6:J7 J9:J10 J12:J16 J18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StockTransferService  |  methods: CreateAsync, UpdateAsync, DispatchAsync, ReceiveAsync, CancelAsync  |  EF Core InMemory  |  ⚠ multi-warehouse transfer = BRD v6.0 scope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CreateAsync() / DispatchAsync()</t>
        </is>
      </c>
    </row>
    <row r="6" ht="43.5" customHeight="1">
      <c r="A6" s="26" t="inlineStr">
        <is>
          <t>L1-ST-01</t>
        </is>
      </c>
      <c r="B6" s="37" t="inlineStr">
        <is>
          <t>EP-Valid</t>
        </is>
      </c>
      <c r="C6" s="27" t="inlineStr">
        <is>
          <t>Create transfer Draft between two different warehouses</t>
        </is>
      </c>
      <c r="D6" s="27" t="inlineStr">
        <is>
          <t>FT-11 AC-01; BV-03</t>
        </is>
      </c>
      <c r="E6" s="34" t="inlineStr">
        <is>
          <t>P2</t>
        </is>
      </c>
      <c r="F6" s="27" t="inlineStr">
        <is>
          <t>W1 source, W2 destination; P1 qty=5 requested</t>
        </is>
      </c>
      <c r="G6" s="27" t="inlineStr">
        <is>
          <t>stockTransferService.CreateAsync(dto{W1-&gt;W2, P1 qty=5}, userId)</t>
        </is>
      </c>
      <c r="H6" s="27" t="inlineStr">
        <is>
          <t>Transfer persisted status Draft with 1 item
Email notification to destination warehouse (mock IEmailService)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L1-ST-02</t>
        </is>
      </c>
      <c r="B7" s="37" t="inlineStr">
        <is>
          <t>EP-Invalid</t>
        </is>
      </c>
      <c r="C7" s="32" t="inlineStr">
        <is>
          <t>Create transfer with source == destination -&gt; rejected</t>
        </is>
      </c>
      <c r="D7" s="32" t="inlineStr">
        <is>
          <t>FT-11 NAC-01; BV-03</t>
        </is>
      </c>
      <c r="E7" s="36" t="inlineStr">
        <is>
          <t>P2</t>
        </is>
      </c>
      <c r="F7" s="32" t="inlineStr">
        <is>
          <t>dto{W1 -&gt; W1}</t>
        </is>
      </c>
      <c r="G7" s="32" t="inlineStr">
        <is>
          <t>stockTransferService.CreateAsync(dto, userId)</t>
        </is>
      </c>
      <c r="H7" s="32" t="inlineStr">
        <is>
          <t>Rejected validation; nothing persisted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0" customHeight="1">
      <c r="A8" s="26" t="inlineStr">
        <is>
          <t>L1-ST-03</t>
        </is>
      </c>
      <c r="B8" s="37" t="inlineStr">
        <is>
          <t>State-Valid</t>
        </is>
      </c>
      <c r="C8" s="27" t="inlineStr">
        <is>
          <t>Dispatch Draft transfer -&gt; source stock decremented, status Dispatched</t>
        </is>
      </c>
      <c r="D8" s="27" t="inlineStr">
        <is>
          <t>FT-11 AC-01; BV-01; BR-035</t>
        </is>
      </c>
      <c r="E8" s="28" t="inlineStr">
        <is>
          <t>P1</t>
        </is>
      </c>
      <c r="F8" s="27" t="inlineStr">
        <is>
          <t>Transfer T1 Draft (P1 qty=5); stock(P1,W1) = 10</t>
        </is>
      </c>
      <c r="G8" s="27" t="inlineStr">
        <is>
          <t>stockTransferService.DispatchAsync(T1)</t>
        </is>
      </c>
      <c r="H8" s="27" t="inlineStr">
        <is>
          <t>stock(P1,W1) = 5; T1 = Dispatched; StockTransaction logged</t>
        </is>
      </c>
      <c r="I8" s="27" t="inlineStr">
        <is>
          <t>No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30" customHeight="1">
      <c r="A9" s="31" t="inlineStr">
        <is>
          <t>L1-ST-04</t>
        </is>
      </c>
      <c r="B9" s="37" t="inlineStr">
        <is>
          <t>State-Invalid</t>
        </is>
      </c>
      <c r="C9" s="32" t="inlineStr">
        <is>
          <t>Dispatch a non-Draft transfer -&gt; conflict</t>
        </is>
      </c>
      <c r="D9" s="32" t="inlineStr">
        <is>
          <t>FT-11 NAC-04; BR-021; BR-035</t>
        </is>
      </c>
      <c r="E9" s="28" t="inlineStr">
        <is>
          <t>P1</t>
        </is>
      </c>
      <c r="F9" s="32" t="inlineStr">
        <is>
          <t>T1 Status = Dispatched</t>
        </is>
      </c>
      <c r="G9" s="32" t="inlineStr">
        <is>
          <t>stockTransferService.DispatchAsync(T1)</t>
        </is>
      </c>
      <c r="H9" s="32" t="inlineStr">
        <is>
          <t>Throws conflict; stocks unchanged</t>
        </is>
      </c>
      <c r="I9" s="35" t="inlineStr">
        <is>
          <t>Yes</t>
        </is>
      </c>
      <c r="J9" s="43" t="inlineStr">
        <is>
          <t>Pass</t>
        </is>
      </c>
      <c r="K9" s="32" t="n"/>
      <c r="L9" s="46" t="inlineStr">
        <is>
          <t>⚠ KIỂM LẠI: commit 02b036a đổi thông điệp StockTransferService từ "Chỉ có thể xuất kho cho phiếu ở trạng thái Nháp." thành "…Nháp hoặc Đã xếp xe." Nếu case này đỏ khi chạy lại thì là TEST CẦN CẬP NHẬT THEO TÍNH NĂNG, không phải defect.</t>
        </is>
      </c>
      <c r="M9" s="43" t="inlineStr">
        <is>
          <t>✅ Pass (không đổi)</t>
        </is>
      </c>
    </row>
    <row r="10" ht="18" customHeight="1">
      <c r="A10" s="50" t="inlineStr">
        <is>
          <t xml:space="preserve">  ▶  Block: ReceiveAsync() / CancelAsync()</t>
        </is>
      </c>
    </row>
    <row r="11" ht="30" customHeight="1">
      <c r="A11" s="26" t="inlineStr">
        <is>
          <t>L1-ST-05</t>
        </is>
      </c>
      <c r="B11" s="37" t="inlineStr">
        <is>
          <t>State-Valid</t>
        </is>
      </c>
      <c r="C11" s="27" t="inlineStr">
        <is>
          <t>Receive Dispatched transfer -&gt; destination stock incremented by received qty</t>
        </is>
      </c>
      <c r="D11" s="27" t="inlineStr">
        <is>
          <t>FT-11 AC-02; BV-02; BR-035</t>
        </is>
      </c>
      <c r="E11" s="28" t="inlineStr">
        <is>
          <t>P1</t>
        </is>
      </c>
      <c r="F11" s="27" t="inlineStr">
        <is>
          <t>T1 Dispatched (P1 qty=5); stock(P1,W2) = 2</t>
        </is>
      </c>
      <c r="G11" s="27" t="inlineStr">
        <is>
          <t>stockTransferService.ReceiveAsync(T1, dto{received qty=5})</t>
        </is>
      </c>
      <c r="H11" s="27" t="inlineStr">
        <is>
          <t>stock(P1,W2) = 7; T1 = Received (terminal)</t>
        </is>
      </c>
      <c r="I11" s="27" t="inlineStr">
        <is>
          <t>No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30" customHeight="1">
      <c r="A12" s="31" t="inlineStr">
        <is>
          <t>L1-ST-06</t>
        </is>
      </c>
      <c r="B12" s="37" t="inlineStr">
        <is>
          <t>EP-Invalid</t>
        </is>
      </c>
      <c r="C12" s="32" t="inlineStr">
        <is>
          <t>Received qty &gt; dispatched qty -&gt; rejected / flagged as discrepancy</t>
        </is>
      </c>
      <c r="D12" s="32" t="inlineStr">
        <is>
          <t>FT-11 NAC-03; BV-02</t>
        </is>
      </c>
      <c r="E12" s="28" t="inlineStr">
        <is>
          <t>P1</t>
        </is>
      </c>
      <c r="F12" s="32" t="inlineStr">
        <is>
          <t>T1 Dispatched qty=5</t>
        </is>
      </c>
      <c r="G12" s="32" t="inlineStr">
        <is>
          <t>stockTransferService.ReceiveAsync(T1, dto{received qty=6})</t>
        </is>
      </c>
      <c r="H12" s="32" t="inlineStr">
        <is>
          <t>Rejected (or discrepancy record) — destination NOT incremented by 6</t>
        </is>
      </c>
      <c r="I12" s="35" t="inlineStr">
        <is>
          <t>Yes</t>
        </is>
      </c>
      <c r="J12" s="43" t="inlineStr">
        <is>
          <t>Pass</t>
        </is>
      </c>
      <c r="K12" s="32" t="n"/>
      <c r="L12" s="46" t="n"/>
      <c r="M12" s="43" t="inlineStr">
        <is>
          <t>✅ Pass (không đổi)</t>
        </is>
      </c>
    </row>
    <row r="13" ht="15" customHeight="1">
      <c r="A13" s="52" t="inlineStr">
        <is>
          <t xml:space="preserve">  ▶  Template Row — copy khi thêm case mới</t>
        </is>
      </c>
    </row>
    <row r="14" ht="53.25" customHeight="1">
      <c r="A14" s="43" t="inlineStr">
        <is>
          <t>L1-XX-[NN]</t>
        </is>
      </c>
      <c r="B14" s="43" t="inlineStr">
        <is>
          <t>[BC-TRUE | BC-FALSE | CC | EP-Valid | EP-Invalid | BVA-* | State-* | Guard-* | Concurrency | Idempotency | Atomicity]</t>
        </is>
      </c>
      <c r="C14" s="43" t="inlineStr">
        <is>
          <t>[Branch / condition / partition]</t>
        </is>
      </c>
      <c r="D14" s="43" t="inlineStr">
        <is>
          <t>[FT-xx AC/NAC/BV-xx; BR-xxx; NFR-xxx]</t>
        </is>
      </c>
      <c r="E14" s="43" t="inlineStr">
        <is>
          <t>P2</t>
        </is>
      </c>
      <c r="F14" s="43" t="inlineStr">
        <is>
          <t>[Arrange: state + _mock.Setup(...)]</t>
        </is>
      </c>
      <c r="G14" s="43" t="inlineStr">
        <is>
          <t>service.Method(params)</t>
        </is>
      </c>
      <c r="H14" s="43" t="inlineStr">
        <is>
          <t>[result.Should().Be(...) / Throws / _mock.Verify(..., Times.Never)]</t>
        </is>
      </c>
      <c r="I14" s="43" t="inlineStr">
        <is>
          <t>No</t>
        </is>
      </c>
      <c r="J14" s="43" t="inlineStr">
        <is>
          <t>Not Run</t>
        </is>
      </c>
      <c r="K14" s="43" t="n"/>
      <c r="L14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0:L10"/>
    <mergeCell ref="A1:L1"/>
    <mergeCell ref="A5:L5"/>
    <mergeCell ref="A13:L13"/>
  </mergeCells>
  <dataValidations count="2">
    <dataValidation sqref="E6:E9 E11:E12 E14" showDropDown="0" showInputMessage="0" showErrorMessage="0" allowBlank="1" type="list">
      <formula1>"P1,P2,P3"</formula1>
      <formula2>0</formula2>
    </dataValidation>
    <dataValidation sqref="J6:J9 J11:J12 J14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WarehouseManagementService  |  methods: CreateWarehouseAsync, UpdateWarehouseAsync, DeleteWarehouseAsync  |  EF Core InMemory  |  ⚠ 3-warehouse model = BRD v6.0 scope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CRUD + delete guard</t>
        </is>
      </c>
    </row>
    <row r="6" ht="30" customHeight="1">
      <c r="A6" s="26" t="inlineStr">
        <is>
          <t>L1-WM-01</t>
        </is>
      </c>
      <c r="B6" s="37" t="inlineStr">
        <is>
          <t>EP-Valid</t>
        </is>
      </c>
      <c r="C6" s="27" t="inlineStr">
        <is>
          <t>Create warehouse with valid data</t>
        </is>
      </c>
      <c r="D6" s="27" t="inlineStr">
        <is>
          <t>FT-09 AC-03</t>
        </is>
      </c>
      <c r="E6" s="34" t="inlineStr">
        <is>
          <t>P3</t>
        </is>
      </c>
      <c r="F6" s="27" t="inlineStr">
        <is>
          <t>Valid CreateWarehouseDto</t>
        </is>
      </c>
      <c r="G6" s="27" t="inlineStr">
        <is>
          <t>warehouseManagementService.CreateWarehouseAsync(dto)</t>
        </is>
      </c>
      <c r="H6" s="27" t="inlineStr">
        <is>
          <t>Warehouse persisted; DTO echoes input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L1-WM-02</t>
        </is>
      </c>
      <c r="B7" s="37" t="inlineStr">
        <is>
          <t>EP-Invalid</t>
        </is>
      </c>
      <c r="C7" s="32" t="inlineStr">
        <is>
          <t>Delete a warehouse still holding inventory (qty &gt; 0) -&gt; blocked</t>
        </is>
      </c>
      <c r="D7" s="32" t="inlineStr">
        <is>
          <t>FT-09 AC-03; FT-05 NAC-01</t>
        </is>
      </c>
      <c r="E7" s="28" t="inlineStr">
        <is>
          <t>P1</t>
        </is>
      </c>
      <c r="F7" s="32" t="inlineStr">
        <is>
          <t>W1 has inventory rows with qty &gt; 0</t>
        </is>
      </c>
      <c r="G7" s="32" t="inlineStr">
        <is>
          <t>warehouseManagementService.DeleteWarehouseAsync(W1)</t>
        </is>
      </c>
      <c r="H7" s="32" t="inlineStr">
        <is>
          <t>Rejected; warehouse and inventory intact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0" customHeight="1">
      <c r="A8" s="26" t="inlineStr">
        <is>
          <t>L1-WM-03</t>
        </is>
      </c>
      <c r="B8" s="37" t="inlineStr">
        <is>
          <t>EP-Invalid</t>
        </is>
      </c>
      <c r="C8" s="27" t="inlineStr">
        <is>
          <t>Update unknown warehouse id -&gt; not found</t>
        </is>
      </c>
      <c r="D8" s="27" t="inlineStr">
        <is>
          <t>FT-09 AC-03</t>
        </is>
      </c>
      <c r="E8" s="34" t="inlineStr">
        <is>
          <t>P3</t>
        </is>
      </c>
      <c r="F8" s="27" t="inlineStr">
        <is>
          <t>No warehouse Wx</t>
        </is>
      </c>
      <c r="G8" s="27" t="inlineStr">
        <is>
          <t>warehouseManagementService.UpdateWarehouseAsync(Wx, dto)</t>
        </is>
      </c>
      <c r="H8" s="27" t="inlineStr">
        <is>
          <t>Throws not-found; nothing created</t>
        </is>
      </c>
      <c r="I8" s="29" t="inlineStr">
        <is>
          <t>Yes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15" customHeight="1">
      <c r="A9" s="52" t="inlineStr">
        <is>
          <t xml:space="preserve">  ▶  Template Row — copy khi thêm case mới</t>
        </is>
      </c>
    </row>
    <row r="10" ht="53.25" customHeight="1">
      <c r="A10" s="43" t="inlineStr">
        <is>
          <t>L1-XX-[NN]</t>
        </is>
      </c>
      <c r="B10" s="43" t="inlineStr">
        <is>
          <t>[BC-TRUE | BC-FALSE | CC | EP-Valid | EP-Invalid | BVA-* | State-* | Guard-* | Concurrency | Idempotency | Atomicity]</t>
        </is>
      </c>
      <c r="C10" s="43" t="inlineStr">
        <is>
          <t>[Branch / condition / partition]</t>
        </is>
      </c>
      <c r="D10" s="43" t="inlineStr">
        <is>
          <t>[FT-xx AC/NAC/BV-xx; BR-xxx; NFR-xxx]</t>
        </is>
      </c>
      <c r="E10" s="43" t="inlineStr">
        <is>
          <t>P2</t>
        </is>
      </c>
      <c r="F10" s="43" t="inlineStr">
        <is>
          <t>[Arrange: state + _mock.Setup(...)]</t>
        </is>
      </c>
      <c r="G10" s="43" t="inlineStr">
        <is>
          <t>service.Method(params)</t>
        </is>
      </c>
      <c r="H10" s="43" t="inlineStr">
        <is>
          <t>[result.Should().Be(...) / Throws / _mock.Verify(..., Times.Never)]</t>
        </is>
      </c>
      <c r="I10" s="43" t="inlineStr">
        <is>
          <t>No</t>
        </is>
      </c>
      <c r="J10" s="43" t="inlineStr">
        <is>
          <t>Not Run</t>
        </is>
      </c>
      <c r="K10" s="43" t="n"/>
      <c r="L10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L2"/>
    <mergeCell ref="A1:L1"/>
    <mergeCell ref="A9:L9"/>
    <mergeCell ref="A5:L5"/>
  </mergeCells>
  <dataValidations count="2">
    <dataValidation sqref="E6:E8 E10" showDropDown="0" showInputMessage="0" showErrorMessage="0" allowBlank="1" type="list">
      <formula1>"P1,P2,P3"</formula1>
      <formula2>0</formula2>
    </dataValidation>
    <dataValidation sqref="J6:J8 J10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MaterialService  |  methods: GetAllAsync, GetByIdAsync, CreateAsync, UpdateAsync  |  EF Core InMemory  |  raw materials — FT-11 / BR-34 (partial)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CRUD</t>
        </is>
      </c>
    </row>
    <row r="6" ht="30" customHeight="1">
      <c r="A6" s="26" t="inlineStr">
        <is>
          <t>L1-MAT-01</t>
        </is>
      </c>
      <c r="B6" s="37" t="inlineStr">
        <is>
          <t>EP-Valid</t>
        </is>
      </c>
      <c r="C6" s="27" t="inlineStr">
        <is>
          <t>Create material with valid data</t>
        </is>
      </c>
      <c r="D6" s="27" t="inlineStr">
        <is>
          <t>FT-12 AC-05; BR-045</t>
        </is>
      </c>
      <c r="E6" s="34" t="inlineStr">
        <is>
          <t>P3</t>
        </is>
      </c>
      <c r="F6" s="27" t="inlineStr">
        <is>
          <t>Valid CreateMaterialDto</t>
        </is>
      </c>
      <c r="G6" s="27" t="inlineStr">
        <is>
          <t>materialService.CreateAsync(dto)</t>
        </is>
      </c>
      <c r="H6" s="27" t="inlineStr">
        <is>
          <t>Material persisted; DTO fields echo input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L1-MAT-02</t>
        </is>
      </c>
      <c r="B7" s="37" t="inlineStr">
        <is>
          <t>EP-Valid</t>
        </is>
      </c>
      <c r="C7" s="32" t="inlineStr">
        <is>
          <t>GetAll with search keyword filters by name</t>
        </is>
      </c>
      <c r="D7" s="32" t="inlineStr">
        <is>
          <t>FT-12 AC-05</t>
        </is>
      </c>
      <c r="E7" s="36" t="inlineStr">
        <is>
          <t>P3</t>
        </is>
      </c>
      <c r="F7" s="32" t="inlineStr">
        <is>
          <t>Materials 'Nhựa PP', 'Giấy Kraft'; search='nhựa'</t>
        </is>
      </c>
      <c r="G7" s="32" t="inlineStr">
        <is>
          <t>materialService.GetAllAsync('nhựa')</t>
        </is>
      </c>
      <c r="H7" s="32" t="inlineStr">
        <is>
          <t>Only 'Nhựa PP' returned (case-insensitive)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30" customHeight="1">
      <c r="A8" s="26" t="inlineStr">
        <is>
          <t>L1-MAT-03</t>
        </is>
      </c>
      <c r="B8" s="37" t="inlineStr">
        <is>
          <t>EP-Invalid</t>
        </is>
      </c>
      <c r="C8" s="27" t="inlineStr">
        <is>
          <t>Update unknown material id -&gt; not found</t>
        </is>
      </c>
      <c r="D8" s="27" t="inlineStr">
        <is>
          <t>FT-12 AC-05</t>
        </is>
      </c>
      <c r="E8" s="34" t="inlineStr">
        <is>
          <t>P3</t>
        </is>
      </c>
      <c r="F8" s="27" t="inlineStr">
        <is>
          <t>No material Mx</t>
        </is>
      </c>
      <c r="G8" s="27" t="inlineStr">
        <is>
          <t>materialService.UpdateAsync(Mx, dto)</t>
        </is>
      </c>
      <c r="H8" s="27" t="inlineStr">
        <is>
          <t>Throws not-found; no upsert</t>
        </is>
      </c>
      <c r="I8" s="29" t="inlineStr">
        <is>
          <t>Yes</t>
        </is>
      </c>
      <c r="J8" s="43" t="inlineStr">
        <is>
          <t>Pass</t>
        </is>
      </c>
      <c r="K8" s="27" t="n"/>
      <c r="L8" s="27" t="n"/>
      <c r="M8" s="43" t="inlineStr">
        <is>
          <t>✅ Pass (không đổi)</t>
        </is>
      </c>
    </row>
    <row r="9" ht="15" customHeight="1">
      <c r="A9" s="52" t="inlineStr">
        <is>
          <t xml:space="preserve">  ▶  Template Row — copy khi thêm case mới</t>
        </is>
      </c>
    </row>
    <row r="10" ht="53.25" customHeight="1">
      <c r="A10" s="43" t="inlineStr">
        <is>
          <t>L1-XX-[NN]</t>
        </is>
      </c>
      <c r="B10" s="43" t="inlineStr">
        <is>
          <t>[BC-TRUE | BC-FALSE | CC | EP-Valid | EP-Invalid | BVA-* | State-* | Guard-* | Concurrency | Idempotency | Atomicity]</t>
        </is>
      </c>
      <c r="C10" s="43" t="inlineStr">
        <is>
          <t>[Branch / condition / partition]</t>
        </is>
      </c>
      <c r="D10" s="43" t="inlineStr">
        <is>
          <t>[FT-xx AC/NAC/BV-xx; BR-xxx; NFR-xxx]</t>
        </is>
      </c>
      <c r="E10" s="43" t="inlineStr">
        <is>
          <t>P2</t>
        </is>
      </c>
      <c r="F10" s="43" t="inlineStr">
        <is>
          <t>[Arrange: state + _mock.Setup(...)]</t>
        </is>
      </c>
      <c r="G10" s="43" t="inlineStr">
        <is>
          <t>service.Method(params)</t>
        </is>
      </c>
      <c r="H10" s="43" t="inlineStr">
        <is>
          <t>[result.Should().Be(...) / Throws / _mock.Verify(..., Times.Never)]</t>
        </is>
      </c>
      <c r="I10" s="43" t="inlineStr">
        <is>
          <t>No</t>
        </is>
      </c>
      <c r="J10" s="43" t="inlineStr">
        <is>
          <t>Not Run</t>
        </is>
      </c>
      <c r="K10" s="43" t="n"/>
      <c r="L10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L2"/>
    <mergeCell ref="A1:L1"/>
    <mergeCell ref="A9:L9"/>
    <mergeCell ref="A5:L5"/>
  </mergeCells>
  <dataValidations count="2">
    <dataValidation sqref="E6:E8 E10" showDropDown="0" showInputMessage="0" showErrorMessage="0" allowBlank="1" type="list">
      <formula1>"P1,P2,P3"</formula1>
      <formula2>0</formula2>
    </dataValidation>
    <dataValidation sqref="J6:J8 J10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SalesChangeRequestService  |  methods: CreateAsync, CancelAsync, SubmitAdditionalInfoAsync, SubmitExplanationAsync, RequestExplanationAsync, RequestMoreInfoAsync, ApproveAsync, RejectAsync  |  EF Core InMemory  |  ⚠ sales-change workflow not in SRS v1.5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CreateAsync() / CancelAsync()  |  customer side</t>
        </is>
      </c>
    </row>
    <row r="6" ht="43.5" customHeight="1">
      <c r="A6" s="26" t="inlineStr">
        <is>
          <t>L1-SCR-01</t>
        </is>
      </c>
      <c r="B6" s="37" t="inlineStr">
        <is>
          <t>EP-Valid</t>
        </is>
      </c>
      <c r="C6" s="27" t="inlineStr">
        <is>
          <t>Customer creates a sales-change request -&gt; Pending, manager notified</t>
        </is>
      </c>
      <c r="D6" s="27" t="inlineStr">
        <is>
          <t>FT-04 AC-04; BV-03</t>
        </is>
      </c>
      <c r="E6" s="34" t="inlineStr">
        <is>
          <t>P2</t>
        </is>
      </c>
      <c r="F6" s="27" t="inlineStr">
        <is>
          <t>Customer U1 assigned to sales S1; reason provided</t>
        </is>
      </c>
      <c r="G6" s="27" t="inlineStr">
        <is>
          <t>salesChangeRequestService.CreateAsync(U1, dto{reason})</t>
        </is>
      </c>
      <c r="H6" s="27" t="inlineStr">
        <is>
          <t>Request persisted status Pending referencing U1/S1
Manager notification created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L1-SCR-02</t>
        </is>
      </c>
      <c r="B7" s="37" t="inlineStr">
        <is>
          <t>EP-Invalid</t>
        </is>
      </c>
      <c r="C7" s="32" t="inlineStr">
        <is>
          <t>Customer with an OPEN request creates another -&gt; rejected</t>
        </is>
      </c>
      <c r="D7" s="32" t="inlineStr">
        <is>
          <t>FT-04 BV-03</t>
        </is>
      </c>
      <c r="E7" s="36" t="inlineStr">
        <is>
          <t>P2</t>
        </is>
      </c>
      <c r="F7" s="32" t="inlineStr">
        <is>
          <t>U1 already has request in Pending</t>
        </is>
      </c>
      <c r="G7" s="32" t="inlineStr">
        <is>
          <t>salesChangeRequestService.CreateAsync(U1, dto)</t>
        </is>
      </c>
      <c r="H7" s="32" t="inlineStr">
        <is>
          <t>Rejected: one open request at a time; nothing persisted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0" customHeight="1">
      <c r="A8" s="26" t="inlineStr">
        <is>
          <t>L1-SCR-03</t>
        </is>
      </c>
      <c r="B8" s="37" t="inlineStr">
        <is>
          <t>EP-Invalid</t>
        </is>
      </c>
      <c r="C8" s="27" t="inlineStr">
        <is>
          <t>Cancel a request owned by another customer -&gt; forbidden</t>
        </is>
      </c>
      <c r="D8" s="27" t="inlineStr">
        <is>
          <t>FT-04 NAC-04; NFR-SEC03</t>
        </is>
      </c>
      <c r="E8" s="28" t="inlineStr">
        <is>
          <t>P1</t>
        </is>
      </c>
      <c r="F8" s="27" t="inlineStr">
        <is>
          <t>Request R9 belongs to U9</t>
        </is>
      </c>
      <c r="G8" s="27" t="inlineStr">
        <is>
          <t>salesChangeRequestService.CancelAsync(U1, R9)</t>
        </is>
      </c>
      <c r="H8" s="27" t="inlineStr">
        <is>
          <t>Throws forbidden/not-found; R9 unchanged</t>
        </is>
      </c>
      <c r="I8" s="29" t="inlineStr">
        <is>
          <t>Yes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18" customHeight="1">
      <c r="A9" s="50" t="inlineStr">
        <is>
          <t xml:space="preserve">  ▶  Block: Review workflow: RequestExplanation / SubmitExplanation / Approve / Reject</t>
        </is>
      </c>
    </row>
    <row r="10" ht="30" customHeight="1">
      <c r="A10" s="26" t="inlineStr">
        <is>
          <t>L1-SCR-04</t>
        </is>
      </c>
      <c r="B10" s="37" t="inlineStr">
        <is>
          <t>State-Valid</t>
        </is>
      </c>
      <c r="C10" s="27" t="inlineStr">
        <is>
          <t>Manager requests explanation -&gt; staff notified, status advances to AwaitingExplanation</t>
        </is>
      </c>
      <c r="D10" s="27" t="inlineStr">
        <is>
          <t>FT-04 AC-04</t>
        </is>
      </c>
      <c r="E10" s="34" t="inlineStr">
        <is>
          <t>P2</t>
        </is>
      </c>
      <c r="F10" s="27" t="inlineStr">
        <is>
          <t>Request R1 Pending</t>
        </is>
      </c>
      <c r="G10" s="27" t="inlineStr">
        <is>
          <t>salesChangeRequestService.RequestExplanationAsync(managerId, R1)</t>
        </is>
      </c>
      <c r="H10" s="27" t="inlineStr">
        <is>
          <t>Status = AwaitingExplanation; notification to sales S1</t>
        </is>
      </c>
      <c r="I10" s="27" t="inlineStr">
        <is>
          <t>No</t>
        </is>
      </c>
      <c r="J10" s="43" t="inlineStr">
        <is>
          <t>Pass</t>
        </is>
      </c>
      <c r="K10" s="27" t="n"/>
      <c r="L10" s="45" t="n"/>
      <c r="M10" s="43" t="inlineStr">
        <is>
          <t>✅ Pass (không đổi)</t>
        </is>
      </c>
    </row>
    <row r="11" ht="30" customHeight="1">
      <c r="A11" s="31" t="inlineStr">
        <is>
          <t>L1-SCR-05</t>
        </is>
      </c>
      <c r="B11" s="37" t="inlineStr">
        <is>
          <t>State-Valid</t>
        </is>
      </c>
      <c r="C11" s="32" t="inlineStr">
        <is>
          <t>Staff submits explanation -&gt; stored, returns to manager review</t>
        </is>
      </c>
      <c r="D11" s="32" t="inlineStr">
        <is>
          <t>FT-04 AC-04</t>
        </is>
      </c>
      <c r="E11" s="36" t="inlineStr">
        <is>
          <t>P2</t>
        </is>
      </c>
      <c r="F11" s="32" t="inlineStr">
        <is>
          <t>R1 AwaitingExplanation, assigned staff S1</t>
        </is>
      </c>
      <c r="G11" s="32" t="inlineStr">
        <is>
          <t>salesChangeRequestService.SubmitExplanationAsync(S1, R1, dto{text})</t>
        </is>
      </c>
      <c r="H11" s="32" t="inlineStr">
        <is>
          <t>Explanation stored; status back to manager review queue</t>
        </is>
      </c>
      <c r="I11" s="32" t="inlineStr">
        <is>
          <t>No</t>
        </is>
      </c>
      <c r="J11" s="43" t="inlineStr">
        <is>
          <t>Pass</t>
        </is>
      </c>
      <c r="K11" s="32" t="n"/>
      <c r="L11" s="46" t="n"/>
      <c r="M11" s="43" t="inlineStr">
        <is>
          <t>✅ Pass (không đổi)</t>
        </is>
      </c>
    </row>
    <row r="12" ht="43.5" customHeight="1">
      <c r="A12" s="26" t="inlineStr">
        <is>
          <t>L1-SCR-06</t>
        </is>
      </c>
      <c r="B12" s="37" t="inlineStr">
        <is>
          <t>State-Valid</t>
        </is>
      </c>
      <c r="C12" s="27" t="inlineStr">
        <is>
          <t>Approve -&gt; customer reallocated to chosen sales, request closed Approved</t>
        </is>
      </c>
      <c r="D12" s="27" t="inlineStr">
        <is>
          <t>FT-04 AC-04; AC-05; BR-031</t>
        </is>
      </c>
      <c r="E12" s="28" t="inlineStr">
        <is>
          <t>P1</t>
        </is>
      </c>
      <c r="F12" s="27" t="inlineStr">
        <is>
          <t>R1 under review; dto.newSalesId = S2</t>
        </is>
      </c>
      <c r="G12" s="27" t="inlineStr">
        <is>
          <t>salesChangeRequestService.ApproveAsync(managerId, R1, dto)</t>
        </is>
      </c>
      <c r="H12" s="27" t="inlineStr">
        <is>
          <t>CustomerProfile.AssignedSales = S2; R1 = Approved (terminal)
Both old &amp; new sales notified</t>
        </is>
      </c>
      <c r="I12" s="27" t="inlineStr">
        <is>
          <t>No</t>
        </is>
      </c>
      <c r="J12" s="43" t="inlineStr">
        <is>
          <t>Pass</t>
        </is>
      </c>
      <c r="K12" s="27" t="n"/>
      <c r="L12" s="45" t="n"/>
      <c r="M12" s="43" t="inlineStr">
        <is>
          <t>✅ Pass (không đổi)</t>
        </is>
      </c>
    </row>
    <row r="13" ht="30" customHeight="1">
      <c r="A13" s="31" t="inlineStr">
        <is>
          <t>L1-SCR-07</t>
        </is>
      </c>
      <c r="B13" s="37" t="inlineStr">
        <is>
          <t>State-Valid</t>
        </is>
      </c>
      <c r="C13" s="32" t="inlineStr">
        <is>
          <t>Reject with note -&gt; request closed Rejected, assignment unchanged</t>
        </is>
      </c>
      <c r="D13" s="32" t="inlineStr">
        <is>
          <t>FT-04 AC-04</t>
        </is>
      </c>
      <c r="E13" s="36" t="inlineStr">
        <is>
          <t>P2</t>
        </is>
      </c>
      <c r="F13" s="32" t="inlineStr">
        <is>
          <t>R1 under review; customer assigned S1</t>
        </is>
      </c>
      <c r="G13" s="32" t="inlineStr">
        <is>
          <t>salesChangeRequestService.RejectAsync(managerId, R1, 'insufficient grounds')</t>
        </is>
      </c>
      <c r="H13" s="32" t="inlineStr">
        <is>
          <t>R1 = Rejected with note; AssignedSales still S1</t>
        </is>
      </c>
      <c r="I13" s="32" t="inlineStr">
        <is>
          <t>No</t>
        </is>
      </c>
      <c r="J13" s="43" t="inlineStr">
        <is>
          <t>Pass</t>
        </is>
      </c>
      <c r="K13" s="32" t="n"/>
      <c r="L13" s="46" t="n"/>
      <c r="M13" s="43" t="inlineStr">
        <is>
          <t>✅ Pass (không đổi)</t>
        </is>
      </c>
    </row>
    <row r="14" ht="15" customHeight="1">
      <c r="A14" s="52" t="inlineStr">
        <is>
          <t xml:space="preserve">  ▶  Template Row — copy khi thêm case mới</t>
        </is>
      </c>
    </row>
    <row r="15" ht="53.25" customHeight="1">
      <c r="A15" s="43" t="inlineStr">
        <is>
          <t>L1-XX-[NN]</t>
        </is>
      </c>
      <c r="B15" s="43" t="inlineStr">
        <is>
          <t>[BC-TRUE | BC-FALSE | CC | EP-Valid | EP-Invalid | BVA-* | State-* | Guard-* | Concurrency | Idempotency | Atomicity]</t>
        </is>
      </c>
      <c r="C15" s="43" t="inlineStr">
        <is>
          <t>[Branch / condition / partition]</t>
        </is>
      </c>
      <c r="D15" s="43" t="inlineStr">
        <is>
          <t>[FT-xx AC/NAC/BV-xx; BR-xxx; NFR-xxx]</t>
        </is>
      </c>
      <c r="E15" s="43" t="inlineStr">
        <is>
          <t>P2</t>
        </is>
      </c>
      <c r="F15" s="43" t="inlineStr">
        <is>
          <t>[Arrange: state + _mock.Setup(...)]</t>
        </is>
      </c>
      <c r="G15" s="43" t="inlineStr">
        <is>
          <t>service.Method(params)</t>
        </is>
      </c>
      <c r="H15" s="43" t="inlineStr">
        <is>
          <t>[result.Should().Be(...) / Throws / _mock.Verify(..., Times.Never)]</t>
        </is>
      </c>
      <c r="I15" s="43" t="inlineStr">
        <is>
          <t>No</t>
        </is>
      </c>
      <c r="J15" s="43" t="inlineStr">
        <is>
          <t>Not Run</t>
        </is>
      </c>
      <c r="K15" s="43" t="n"/>
      <c r="L15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:L1"/>
    <mergeCell ref="A5:L5"/>
    <mergeCell ref="A14:L14"/>
    <mergeCell ref="A9:L9"/>
  </mergeCells>
  <dataValidations count="2">
    <dataValidation sqref="E6:E8 E10:E13 E15" showDropDown="0" showInputMessage="0" showErrorMessage="0" allowBlank="1" type="list">
      <formula1>"P1,P2,P3"</formula1>
      <formula2>0</formula2>
    </dataValidation>
    <dataValidation sqref="J6:J8 J10:J13 J15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NotificationService  |  methods: CreateNotificationAsync, CreateRoleNotificationAsync  |  EF Core InMemory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CreateNotificationAsync() / CreateRoleNotificationAsync()</t>
        </is>
      </c>
    </row>
    <row r="6" ht="30" customHeight="1">
      <c r="A6" s="26" t="inlineStr">
        <is>
          <t>L1-NOTI-01</t>
        </is>
      </c>
      <c r="B6" s="37" t="inlineStr">
        <is>
          <t>EP-Valid</t>
        </is>
      </c>
      <c r="C6" s="27" t="inlineStr">
        <is>
          <t>Create notification persists type, recipient, title/body and reference</t>
        </is>
      </c>
      <c r="D6" s="27" t="inlineStr">
        <is>
          <t>FT-09 AC-02</t>
        </is>
      </c>
      <c r="E6" s="34" t="inlineStr">
        <is>
          <t>P2</t>
        </is>
      </c>
      <c r="F6" s="27" t="inlineStr">
        <is>
          <t>Recipient user U1 exists</t>
        </is>
      </c>
      <c r="G6" s="27" t="inlineStr">
        <is>
          <t>notificationService.CreateNotificationAsync(OrderConfirmed, U1, title, body, refId, 'Order')</t>
        </is>
      </c>
      <c r="H6" s="27" t="inlineStr">
        <is>
          <t>Notification row persisted: RecipientUserId=U1, unread, ReferenceId/Type set</t>
        </is>
      </c>
      <c r="I6" s="27" t="inlineStr">
        <is>
          <t>No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30" customHeight="1">
      <c r="A7" s="31" t="inlineStr">
        <is>
          <t>L1-NOTI-02</t>
        </is>
      </c>
      <c r="B7" s="37" t="inlineStr">
        <is>
          <t>EP-Valid</t>
        </is>
      </c>
      <c r="C7" s="32" t="inlineStr">
        <is>
          <t>Role notification creates one row per user holding the role</t>
        </is>
      </c>
      <c r="D7" s="32" t="inlineStr">
        <is>
          <t>FT-09 AC-02</t>
        </is>
      </c>
      <c r="E7" s="28" t="inlineStr">
        <is>
          <t>P1</t>
        </is>
      </c>
      <c r="F7" s="32" t="inlineStr">
        <is>
          <t>3 users with role SalesStaff, 2 other roles</t>
        </is>
      </c>
      <c r="G7" s="32" t="inlineStr">
        <is>
          <t>notificationService.CreateRoleNotificationAsync(NewOrder, SalesStaff, ...)</t>
        </is>
      </c>
      <c r="H7" s="32" t="inlineStr">
        <is>
          <t>Exactly 3 notification rows created — one per SalesStaff; none for other roles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30" customHeight="1">
      <c r="A8" s="26" t="inlineStr">
        <is>
          <t>L1-NOTI-03</t>
        </is>
      </c>
      <c r="B8" s="37" t="inlineStr">
        <is>
          <t>EP-Invalid</t>
        </is>
      </c>
      <c r="C8" s="27" t="inlineStr">
        <is>
          <t>Unknown recipient id -&gt; handled without crash, nothing persisted</t>
        </is>
      </c>
      <c r="D8" s="27" t="inlineStr">
        <is>
          <t>FT-09 AC-02</t>
        </is>
      </c>
      <c r="E8" s="34" t="inlineStr">
        <is>
          <t>P3</t>
        </is>
      </c>
      <c r="F8" s="27" t="inlineStr">
        <is>
          <t>No user Ux</t>
        </is>
      </c>
      <c r="G8" s="27" t="inlineStr">
        <is>
          <t>notificationService.CreateNotificationAsync(type, Ux, ...)</t>
        </is>
      </c>
      <c r="H8" s="27" t="inlineStr">
        <is>
          <t>No exception bubbles to caller (or documented exception); no orphan row</t>
        </is>
      </c>
      <c r="I8" s="29" t="inlineStr">
        <is>
          <t>Yes</t>
        </is>
      </c>
      <c r="J8" s="43" t="inlineStr">
        <is>
          <t>Pass</t>
        </is>
      </c>
      <c r="K8" s="27" t="n"/>
      <c r="L8" s="27" t="n"/>
      <c r="M8" s="43" t="inlineStr">
        <is>
          <t>✅ Pass (không đổi)</t>
        </is>
      </c>
    </row>
    <row r="9" ht="15" customHeight="1">
      <c r="A9" s="52" t="inlineStr">
        <is>
          <t xml:space="preserve">  ▶  Template Row — copy khi thêm case mới</t>
        </is>
      </c>
    </row>
    <row r="10" ht="53.25" customHeight="1">
      <c r="A10" s="43" t="inlineStr">
        <is>
          <t>L1-XX-[NN]</t>
        </is>
      </c>
      <c r="B10" s="43" t="inlineStr">
        <is>
          <t>[BC-TRUE | BC-FALSE | CC | EP-Valid | EP-Invalid | BVA-* | State-* | Guard-* | Concurrency | Idempotency | Atomicity]</t>
        </is>
      </c>
      <c r="C10" s="43" t="inlineStr">
        <is>
          <t>[Branch / condition / partition]</t>
        </is>
      </c>
      <c r="D10" s="43" t="inlineStr">
        <is>
          <t>[FT-xx AC/NAC/BV-xx; BR-xxx; NFR-xxx]</t>
        </is>
      </c>
      <c r="E10" s="43" t="inlineStr">
        <is>
          <t>P2</t>
        </is>
      </c>
      <c r="F10" s="43" t="inlineStr">
        <is>
          <t>[Arrange: state + _mock.Setup(...)]</t>
        </is>
      </c>
      <c r="G10" s="43" t="inlineStr">
        <is>
          <t>service.Method(params)</t>
        </is>
      </c>
      <c r="H10" s="43" t="inlineStr">
        <is>
          <t>[result.Should().Be(...) / Throws / _mock.Verify(..., Times.Never)]</t>
        </is>
      </c>
      <c r="I10" s="43" t="inlineStr">
        <is>
          <t>No</t>
        </is>
      </c>
      <c r="J10" s="43" t="inlineStr">
        <is>
          <t>Not Run</t>
        </is>
      </c>
      <c r="K10" s="43" t="n"/>
      <c r="L10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L2"/>
    <mergeCell ref="A1:L1"/>
    <mergeCell ref="A9:L9"/>
    <mergeCell ref="A5:L5"/>
  </mergeCells>
  <dataValidations count="2">
    <dataValidation sqref="E6:E8 E10" showDropDown="0" showInputMessage="0" showErrorMessage="0" allowBlank="1" type="list">
      <formula1>"P1,P2,P3"</formula1>
      <formula2>0</formula2>
    </dataValidation>
    <dataValidation sqref="J6:J8 J10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FE-Services (Vitest + MSW)  |  src/services: authService.fetchWithToken, cartService, orderService, productService  |  Mock: MSW handlers, vi.mock(navigate), localStorage stub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authService.fetchWithToken()  |  silent refresh — NFR-SEC04</t>
        </is>
      </c>
    </row>
    <row r="6" ht="43.5" customHeight="1">
      <c r="A6" s="26" t="inlineStr">
        <is>
          <t>L1-FES-01</t>
        </is>
      </c>
      <c r="B6" s="37" t="inlineStr">
        <is>
          <t>EP-Valid</t>
        </is>
      </c>
      <c r="C6" s="27" t="inlineStr">
        <is>
          <t>Request carries Authorization: Bearer &lt;accessToken&gt;</t>
        </is>
      </c>
      <c r="D6" s="27" t="inlineStr">
        <is>
          <t>NFR-SEC03</t>
        </is>
      </c>
      <c r="E6" s="28" t="inlineStr">
        <is>
          <t>P1</t>
        </is>
      </c>
      <c r="F6" s="27" t="inlineStr">
        <is>
          <t>Access token 'jwt-1' in auth state; MSW echoes headers</t>
        </is>
      </c>
      <c r="G6" s="27" t="inlineStr">
        <is>
          <t>await fetchWithToken('GET','/api/orders')</t>
        </is>
      </c>
      <c r="H6" s="27" t="inlineStr">
        <is>
          <t>MSW captured request has header Authorization = 'Bearer jwt-1'
Response JSON returned to caller</t>
        </is>
      </c>
      <c r="I6" s="27" t="inlineStr">
        <is>
          <t>No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43.5" customHeight="1">
      <c r="A7" s="31" t="inlineStr">
        <is>
          <t>L1-FES-02</t>
        </is>
      </c>
      <c r="B7" s="37" t="inlineStr">
        <is>
          <t>BC-TRUE</t>
        </is>
      </c>
      <c r="C7" s="32" t="inlineStr">
        <is>
          <t>401 response -&gt; silent refresh then retry original request ONCE</t>
        </is>
      </c>
      <c r="D7" s="32" t="inlineStr">
        <is>
          <t>NFR-SEC02</t>
        </is>
      </c>
      <c r="E7" s="28" t="inlineStr">
        <is>
          <t>P1</t>
        </is>
      </c>
      <c r="F7" s="32" t="inlineStr">
        <is>
          <t>MSW: first /api/orders -&gt; 401; /api/auth/refresh -&gt; new token; second /api/orders -&gt; 200</t>
        </is>
      </c>
      <c r="G7" s="32" t="inlineStr">
        <is>
          <t>await fetchWithToken('GET','/api/orders')</t>
        </is>
      </c>
      <c r="H7" s="32" t="inlineStr">
        <is>
          <t>refresh endpoint called exactly once; original request retried with NEW token
Caller receives the 200 payload — no error surfaced</t>
        </is>
      </c>
      <c r="I7" s="32" t="inlineStr">
        <is>
          <t>No</t>
        </is>
      </c>
      <c r="J7" s="43" t="inlineStr">
        <is>
          <t>Fail</t>
        </is>
      </c>
      <c r="K7" s="32" t="n"/>
      <c r="L7" s="32" t="n"/>
      <c r="M7" s="43" t="inlineStr">
        <is>
          <t>❌ CHƯA FIX
authService.js:4-27 fetchWithToken khi 401 chỉ xoá storage + redirect /login, KHÔNG gọi refresh token, KHÔNG retry request gốc.</t>
        </is>
      </c>
    </row>
    <row r="8" ht="43.5" customHeight="1">
      <c r="A8" s="26" t="inlineStr">
        <is>
          <t>L1-FES-03</t>
        </is>
      </c>
      <c r="B8" s="37" t="inlineStr">
        <is>
          <t>BC-FALSE</t>
        </is>
      </c>
      <c r="C8" s="27" t="inlineStr">
        <is>
          <t>Refresh also fails -&gt; session cleared + redirect to /login</t>
        </is>
      </c>
      <c r="D8" s="27" t="inlineStr">
        <is>
          <t>NFR-SEC02; FT-01 NAC-05</t>
        </is>
      </c>
      <c r="E8" s="28" t="inlineStr">
        <is>
          <t>P1</t>
        </is>
      </c>
      <c r="F8" s="27" t="inlineStr">
        <is>
          <t>MSW: /api/orders -&gt; 401; /api/auth/refresh -&gt; 401</t>
        </is>
      </c>
      <c r="G8" s="27" t="inlineStr">
        <is>
          <t>await fetchWithToken('GET','/api/orders')</t>
        </is>
      </c>
      <c r="H8" s="27" t="inlineStr">
        <is>
          <t>Auth state cleared (logout); navigate('/login') called once
No infinite retry loop (refresh attempted once)</t>
        </is>
      </c>
      <c r="I8" s="29" t="inlineStr">
        <is>
          <t>Yes</t>
        </is>
      </c>
      <c r="J8" s="43" t="inlineStr">
        <is>
          <t>Pass</t>
        </is>
      </c>
      <c r="K8" s="27" t="n"/>
      <c r="L8" s="27" t="n"/>
      <c r="M8" s="43" t="inlineStr">
        <is>
          <t>✅ Pass (không đổi)</t>
        </is>
      </c>
    </row>
    <row r="9" ht="18" customHeight="1">
      <c r="A9" s="50" t="inlineStr">
        <is>
          <t xml:space="preserve">  ▶  Block: cartService / orderService / productService  |  payload correctness</t>
        </is>
      </c>
    </row>
    <row r="10" ht="30" customHeight="1">
      <c r="A10" s="26" t="inlineStr">
        <is>
          <t>L1-FES-04</t>
        </is>
      </c>
      <c r="B10" s="37" t="inlineStr">
        <is>
          <t>EP-Valid</t>
        </is>
      </c>
      <c r="C10" s="27" t="inlineStr">
        <is>
          <t>cartService.addItem posts {productId, quantity} to correct endpoint</t>
        </is>
      </c>
      <c r="D10" s="27" t="inlineStr">
        <is>
          <t>FT-01 AC-05</t>
        </is>
      </c>
      <c r="E10" s="34" t="inlineStr">
        <is>
          <t>P2</t>
        </is>
      </c>
      <c r="F10" s="27" t="inlineStr">
        <is>
          <t>MSW handler on POST /api/cart/items capturing body</t>
        </is>
      </c>
      <c r="G10" s="27" t="inlineStr">
        <is>
          <t>await cartService.addItem({productId:'P1', quantity:2})</t>
        </is>
      </c>
      <c r="H10" s="27" t="inlineStr">
        <is>
          <t>Captured body = {productId:'P1', quantity:2}; success response returned</t>
        </is>
      </c>
      <c r="I10" s="27" t="inlineStr">
        <is>
          <t>No</t>
        </is>
      </c>
      <c r="J10" s="43" t="inlineStr">
        <is>
          <t>Pass</t>
        </is>
      </c>
      <c r="K10" s="27" t="n"/>
      <c r="L10" s="27" t="n"/>
      <c r="M10" s="43" t="inlineStr">
        <is>
          <t>✅ Pass (không đổi)</t>
        </is>
      </c>
    </row>
    <row r="11" ht="43.5" customHeight="1">
      <c r="A11" s="31" t="inlineStr">
        <is>
          <t>L1-FES-05</t>
        </is>
      </c>
      <c r="B11" s="37" t="inlineStr">
        <is>
          <t>EP-Valid</t>
        </is>
      </c>
      <c r="C11" s="32" t="inlineStr">
        <is>
          <t>getOrderTimeline maps order status to the correct ordered step list</t>
        </is>
      </c>
      <c r="D11" s="32" t="inlineStr">
        <is>
          <t>FT-01 AC-05</t>
        </is>
      </c>
      <c r="E11" s="36" t="inlineStr">
        <is>
          <t>P2</t>
        </is>
      </c>
      <c r="F11" s="32" t="inlineStr">
        <is>
          <t>orderStatusMeta constant loaded</t>
        </is>
      </c>
      <c r="G11" s="32" t="inlineStr">
        <is>
          <t>getOrderTimeline('In Delivery')</t>
        </is>
      </c>
      <c r="H11" s="32" t="inlineStr">
        <is>
          <t>Steps up to 'In Delivery' marked done/current in 4.4.1 order
'Delivered' step not yet active</t>
        </is>
      </c>
      <c r="I11" s="32" t="inlineStr">
        <is>
          <t>No</t>
        </is>
      </c>
      <c r="J11" s="43" t="inlineStr">
        <is>
          <t>Pass</t>
        </is>
      </c>
      <c r="K11" s="32" t="n"/>
      <c r="L11" s="32" t="n"/>
      <c r="M11" s="43" t="inlineStr">
        <is>
          <t>✅ Pass (không đổi)</t>
        </is>
      </c>
    </row>
    <row r="12" ht="30" customHeight="1">
      <c r="A12" s="26" t="inlineStr">
        <is>
          <t>L1-FES-06</t>
        </is>
      </c>
      <c r="B12" s="37" t="inlineStr">
        <is>
          <t>EP-Valid</t>
        </is>
      </c>
      <c r="C12" s="27" t="inlineStr">
        <is>
          <t>formatPrice renders VND with thousands separators</t>
        </is>
      </c>
      <c r="D12" s="27" t="inlineStr">
        <is>
          <t>NFR-U02</t>
        </is>
      </c>
      <c r="E12" s="34" t="inlineStr">
        <is>
          <t>P3</t>
        </is>
      </c>
      <c r="F12" s="27" t="inlineStr">
        <is>
          <t>—</t>
        </is>
      </c>
      <c r="G12" s="27" t="inlineStr">
        <is>
          <t>formatPrice(9999999)</t>
        </is>
      </c>
      <c r="H12" s="27" t="inlineStr">
        <is>
          <t>Returns '9.999.999 ₫' (or project's canonical format) — assert exact current format</t>
        </is>
      </c>
      <c r="I12" s="27" t="inlineStr">
        <is>
          <t>No</t>
        </is>
      </c>
      <c r="J12" s="43" t="inlineStr">
        <is>
          <t>Pass</t>
        </is>
      </c>
      <c r="K12" s="27" t="n"/>
      <c r="L12" s="27" t="n"/>
      <c r="M12" s="43" t="inlineStr">
        <is>
          <t>✅ Pass (không đổi)</t>
        </is>
      </c>
    </row>
    <row r="13" ht="15" customHeight="1">
      <c r="A13" s="52" t="inlineStr">
        <is>
          <t xml:space="preserve">  ▶  Template Row — copy khi thêm case mới</t>
        </is>
      </c>
    </row>
    <row r="14" ht="53.25" customHeight="1">
      <c r="A14" s="43" t="inlineStr">
        <is>
          <t>L1-XX-[NN]</t>
        </is>
      </c>
      <c r="B14" s="43" t="inlineStr">
        <is>
          <t>[BC-TRUE | BC-FALSE | CC | EP-Valid | EP-Invalid | BVA-* | State-* | Guard-* | Concurrency | Idempotency | Atomicity]</t>
        </is>
      </c>
      <c r="C14" s="43" t="inlineStr">
        <is>
          <t>[Branch / condition / partition]</t>
        </is>
      </c>
      <c r="D14" s="43" t="inlineStr">
        <is>
          <t>[FT-xx AC/NAC/BV-xx; BR-xxx; NFR-xxx]</t>
        </is>
      </c>
      <c r="E14" s="43" t="inlineStr">
        <is>
          <t>P2</t>
        </is>
      </c>
      <c r="F14" s="43" t="inlineStr">
        <is>
          <t>[Arrange: state + _mock.Setup(...)]</t>
        </is>
      </c>
      <c r="G14" s="43" t="inlineStr">
        <is>
          <t>service.Method(params)</t>
        </is>
      </c>
      <c r="H14" s="43" t="inlineStr">
        <is>
          <t>[result.Should().Be(...) / Throws / _mock.Verify(..., Times.Never)]</t>
        </is>
      </c>
      <c r="I14" s="43" t="inlineStr">
        <is>
          <t>No</t>
        </is>
      </c>
      <c r="J14" s="43" t="inlineStr">
        <is>
          <t>Not Run</t>
        </is>
      </c>
      <c r="K14" s="43" t="n"/>
      <c r="L14" s="43" t="n"/>
    </row>
    <row r="16">
      <c r="A16" s="50" t="inlineStr">
        <is>
          <t xml:space="preserve">  ▶  Block: ⊕ v2.3 — Endpoint gửi lại OTP  |  authService.resendOtp  |  FT-01 AC-04; BV-02</t>
        </is>
      </c>
    </row>
    <row r="17" ht="46.5" customHeight="1">
      <c r="A17" s="26" t="inlineStr">
        <is>
          <t>L1-FES-07</t>
        </is>
      </c>
      <c r="B17" s="37" t="inlineStr">
        <is>
          <t>EP-Valid</t>
        </is>
      </c>
      <c r="C17" s="27" t="inlineStr">
        <is>
          <t>resendOtp gọi ĐÚNG endpoint /api/auth/resend-otp</t>
        </is>
      </c>
      <c r="D17" s="27" t="inlineStr">
        <is>
          <t>FT-01 AC-04</t>
        </is>
      </c>
      <c r="E17" s="34" t="inlineStr">
        <is>
          <t>P2</t>
        </is>
      </c>
      <c r="F17" s="27" t="inlineStr">
        <is>
          <t>MSW handler bắt POST /api/auth/resend-otp</t>
        </is>
      </c>
      <c r="G17" s="27" t="inlineStr">
        <is>
          <t>await authService.resendOtp({ email })</t>
        </is>
      </c>
      <c r="H17" s="27" t="inlineStr">
        <is>
          <t>Đúng 1 request tới /api/auth/resend-otp với body {email}
KHÔNG còn gọi lại /api/auth/register như cách hack cũ</t>
        </is>
      </c>
      <c r="I17" s="27" t="inlineStr">
        <is>
          <t>No</t>
        </is>
      </c>
      <c r="J17" s="43" t="inlineStr">
        <is>
          <t>Pass</t>
        </is>
      </c>
      <c r="K17" s="27" t="n"/>
      <c r="L17" s="45" t="n"/>
      <c r="M17" s="43" t="inlineStr">
        <is>
          <t>✅ Pass (không đổi)</t>
        </is>
      </c>
    </row>
    <row r="18" ht="46.5" customHeight="1">
      <c r="A18" s="31" t="inlineStr">
        <is>
          <t>L1-FES-08</t>
        </is>
      </c>
      <c r="B18" s="37" t="inlineStr">
        <is>
          <t>EP-Invalid</t>
        </is>
      </c>
      <c r="C18" s="32" t="inlineStr">
        <is>
          <t>Server trả 429 (quá nhanh) -&gt; hiển thị lỗi, không coi là đã gửi</t>
        </is>
      </c>
      <c r="D18" s="32" t="inlineStr">
        <is>
          <t>FT-01 BV-02</t>
        </is>
      </c>
      <c r="E18" s="36" t="inlineStr">
        <is>
          <t>P2</t>
        </is>
      </c>
      <c r="F18" s="32" t="inlineStr">
        <is>
          <t>MSW trả 429 kèm errorCode OTP_RESEND_TOO_SOON</t>
        </is>
      </c>
      <c r="G18" s="32" t="inlineStr">
        <is>
          <t>await authService.resendOtp({ email })</t>
        </is>
      </c>
      <c r="H18" s="32" t="inlineStr">
        <is>
          <t>Trả lỗi có kiểm soát; UI không hiển thị 'đã gửi'
Không tự retry ngầm</t>
        </is>
      </c>
      <c r="I18" s="35" t="inlineStr">
        <is>
          <t>Yes</t>
        </is>
      </c>
      <c r="J18" s="43" t="inlineStr">
        <is>
          <t>Pass</t>
        </is>
      </c>
      <c r="K18" s="32" t="n"/>
      <c r="L18" s="46" t="n"/>
      <c r="M18" s="43" t="inlineStr">
        <is>
          <t>✅ Pass (không đổi)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6:L16"/>
    <mergeCell ref="A2:L2"/>
    <mergeCell ref="A1:L1"/>
    <mergeCell ref="A5:L5"/>
    <mergeCell ref="A13:L13"/>
    <mergeCell ref="A9:L9"/>
  </mergeCells>
  <dataValidations count="2">
    <dataValidation sqref="E6:E8 E10:E12 E14 E17:E18" showDropDown="0" showInputMessage="0" showErrorMessage="0" allowBlank="1" type="list">
      <formula1>"P1,P2,P3"</formula1>
      <formula2>0</formula2>
    </dataValidation>
    <dataValidation sqref="J6:J8 J10:J12 J14 J17:J18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FE-Contexts (Vitest + RTL renderHook)  |  AuthContext, CartContext, ToastContext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AuthContext  |  login/logout state</t>
        </is>
      </c>
    </row>
    <row r="6" ht="43.5" customHeight="1">
      <c r="A6" s="26" t="inlineStr">
        <is>
          <t>L1-FEC-01</t>
        </is>
      </c>
      <c r="B6" s="37" t="inlineStr">
        <is>
          <t>EP-Valid</t>
        </is>
      </c>
      <c r="C6" s="27" t="inlineStr">
        <is>
          <t>login() stores user + tokens; isAuthenticated = true</t>
        </is>
      </c>
      <c r="D6" s="27" t="inlineStr">
        <is>
          <t>NFR-SEC02</t>
        </is>
      </c>
      <c r="E6" s="28" t="inlineStr">
        <is>
          <t>P1</t>
        </is>
      </c>
      <c r="F6" s="27" t="inlineStr">
        <is>
          <t>MSW: /api/auth/login -&gt; {user, accessToken, refreshToken}</t>
        </is>
      </c>
      <c r="G6" s="27" t="inlineStr">
        <is>
          <t>act(() =&gt; result.current.login(credentials))</t>
        </is>
      </c>
      <c r="H6" s="27" t="inlineStr">
        <is>
          <t>user populated; isAuthenticated === true
Token available to fetchWithToken</t>
        </is>
      </c>
      <c r="I6" s="27" t="inlineStr">
        <is>
          <t>No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30" customHeight="1">
      <c r="A7" s="31" t="inlineStr">
        <is>
          <t>L1-FEC-02</t>
        </is>
      </c>
      <c r="B7" s="37" t="inlineStr">
        <is>
          <t>EP-Valid</t>
        </is>
      </c>
      <c r="C7" s="32" t="inlineStr">
        <is>
          <t>logout() clears user/token state</t>
        </is>
      </c>
      <c r="D7" s="32" t="inlineStr">
        <is>
          <t>NFR-SEC02</t>
        </is>
      </c>
      <c r="E7" s="28" t="inlineStr">
        <is>
          <t>P1</t>
        </is>
      </c>
      <c r="F7" s="32" t="inlineStr">
        <is>
          <t>Authenticated state from L1-FEC-01 setup</t>
        </is>
      </c>
      <c r="G7" s="32" t="inlineStr">
        <is>
          <t>act(() =&gt; result.current.logout())</t>
        </is>
      </c>
      <c r="H7" s="32" t="inlineStr">
        <is>
          <t>user = null; isAuthenticated === false; storage cleared</t>
        </is>
      </c>
      <c r="I7" s="32" t="inlineStr">
        <is>
          <t>No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18" customHeight="1">
      <c r="A8" s="50" t="inlineStr">
        <is>
          <t xml:space="preserve">  ▶  Block: CartContext  |  FT-01 NAC-01, cart state</t>
        </is>
      </c>
    </row>
    <row r="9" ht="46.5" customHeight="1">
      <c r="A9" s="26" t="inlineStr">
        <is>
          <t>L1-FEC-03</t>
        </is>
      </c>
      <c r="B9" s="37" t="inlineStr">
        <is>
          <t>EP-Valid</t>
        </is>
      </c>
      <c r="C9" s="27" t="inlineStr">
        <is>
          <t>addItem updates cart state and cartCount</t>
        </is>
      </c>
      <c r="D9" s="27" t="inlineStr">
        <is>
          <t>FT-01 AC-05</t>
        </is>
      </c>
      <c r="E9" s="28" t="inlineStr">
        <is>
          <t>P1</t>
        </is>
      </c>
      <c r="F9" s="27" t="inlineStr">
        <is>
          <t>Đã đăng nhập; MSW mock endpoint /api/Cart
ProductCard.jsx gọi addToCart({ id, name, imageUrl, price }, 1)</t>
        </is>
      </c>
      <c r="G9" s="27" t="inlineStr">
        <is>
          <t>act(() =&gt; result.current.addToCart({ id:'P1', name:'SP A', imageUrl:'...', price:50000 }, 2))</t>
        </is>
      </c>
      <c r="H9" s="27" t="inlineStr">
        <is>
          <t>Giỏ có 1 dòng P1 số lượng 2; cartCount = 2
Request gửi lên chứa productId='P1' (KHÔNG phải undefined)</t>
        </is>
      </c>
      <c r="I9" s="27" t="inlineStr">
        <is>
          <t>No</t>
        </is>
      </c>
      <c r="J9" s="43" t="inlineStr">
        <is>
          <t>Pass</t>
        </is>
      </c>
      <c r="K9" s="27" t="n"/>
      <c r="L9" s="45" t="n"/>
      <c r="M9" s="43" t="inlineStr">
        <is>
          <t>✅ Pass (không đổi)</t>
        </is>
      </c>
    </row>
    <row r="10" ht="60" customHeight="1">
      <c r="A10" s="31" t="inlineStr">
        <is>
          <t>L1-FEC-04</t>
        </is>
      </c>
      <c r="B10" s="37" t="inlineStr">
        <is>
          <t>BC-TRUE</t>
        </is>
      </c>
      <c r="C10" s="32" t="inlineStr">
        <is>
          <t>GUEST addItem -&gt; redirect to /login, intended product preserved for post-login add</t>
        </is>
      </c>
      <c r="D10" s="32" t="inlineStr">
        <is>
          <t>FT-01 AC-05; NAC-05</t>
        </is>
      </c>
      <c r="E10" s="28" t="inlineStr">
        <is>
          <t>P1</t>
        </is>
      </c>
      <c r="F10" s="32" t="inlineStr">
        <is>
          <t>CHƯA đăng nhập (khách vãng lai); localStorage trống
Mock navigate</t>
        </is>
      </c>
      <c r="G10" s="32" t="inlineStr">
        <is>
          <t>act(() =&gt; result.current.addToCart({ id:'P1', name, price }, 1))
Sau đó đăng nhập và để CartContext chạy mergeGuestCartIntoServer()</t>
        </is>
      </c>
      <c r="H10" s="32" t="inlineStr">
        <is>
          <t>cartService.addGuestCartItem ghi localStorage['guestCart'] chứa P1
Sau khi đăng nhập: mergeGuestCartIntoServer() gộp P1 vào giỏ server
localStorage['guestCart'] được xoá sau khi gộp thành công</t>
        </is>
      </c>
      <c r="I10" s="32" t="inlineStr">
        <is>
          <t>No</t>
        </is>
      </c>
      <c r="J10" s="43" t="inlineStr">
        <is>
          <t>Pass</t>
        </is>
      </c>
      <c r="K10" s="32" t="n"/>
      <c r="L10" s="46" t="n"/>
      <c r="M10" s="43" t="inlineStr">
        <is>
          <t>✅ Pass (không đổi)</t>
        </is>
      </c>
    </row>
    <row r="11" ht="18" customHeight="1">
      <c r="A11" s="50" t="inlineStr">
        <is>
          <t xml:space="preserve">  ▶  Block: ToastContext</t>
        </is>
      </c>
    </row>
    <row r="12" ht="30" customHeight="1">
      <c r="A12" s="26" t="inlineStr">
        <is>
          <t>L1-FEC-05</t>
        </is>
      </c>
      <c r="B12" s="37" t="inlineStr">
        <is>
          <t>EP-Valid</t>
        </is>
      </c>
      <c r="C12" s="27" t="inlineStr">
        <is>
          <t>showToast renders toast then auto-dismisses after timeout</t>
        </is>
      </c>
      <c r="D12" s="27" t="inlineStr">
        <is>
          <t>NFR-U03</t>
        </is>
      </c>
      <c r="E12" s="34" t="inlineStr">
        <is>
          <t>P3</t>
        </is>
      </c>
      <c r="F12" s="27" t="inlineStr">
        <is>
          <t>vi.useFakeTimers()</t>
        </is>
      </c>
      <c r="G12" s="27" t="inlineStr">
        <is>
          <t>showToast('success','Đã thêm vào giỏ') ; vi.advanceTimersByTime(toastDuration)</t>
        </is>
      </c>
      <c r="H12" s="27" t="inlineStr">
        <is>
          <t>Toast visible with message; removed from DOM after duration</t>
        </is>
      </c>
      <c r="I12" s="27" t="inlineStr">
        <is>
          <t>No</t>
        </is>
      </c>
      <c r="J12" s="43" t="inlineStr">
        <is>
          <t>Pass</t>
        </is>
      </c>
      <c r="K12" s="27" t="n"/>
      <c r="L12" s="27" t="n"/>
      <c r="M12" s="43" t="inlineStr">
        <is>
          <t>✅ Pass (không đổi)</t>
        </is>
      </c>
    </row>
    <row r="13" ht="15" customHeight="1">
      <c r="A13" s="52" t="inlineStr">
        <is>
          <t xml:space="preserve">  ▶  Template Row — copy khi thêm case mới</t>
        </is>
      </c>
    </row>
    <row r="14" ht="53.25" customHeight="1">
      <c r="A14" s="43" t="inlineStr">
        <is>
          <t>L1-XX-[NN]</t>
        </is>
      </c>
      <c r="B14" s="43" t="inlineStr">
        <is>
          <t>[BC-TRUE | BC-FALSE | CC | EP-Valid | EP-Invalid | BVA-* | State-* | Guard-* | Concurrency | Idempotency | Atomicity]</t>
        </is>
      </c>
      <c r="C14" s="43" t="inlineStr">
        <is>
          <t>[Branch / condition / partition]</t>
        </is>
      </c>
      <c r="D14" s="43" t="inlineStr">
        <is>
          <t>[FT-xx AC/NAC/BV-xx; BR-xxx; NFR-xxx]</t>
        </is>
      </c>
      <c r="E14" s="43" t="inlineStr">
        <is>
          <t>P2</t>
        </is>
      </c>
      <c r="F14" s="43" t="inlineStr">
        <is>
          <t>[Arrange: state + _mock.Setup(...)]</t>
        </is>
      </c>
      <c r="G14" s="43" t="inlineStr">
        <is>
          <t>service.Method(params)</t>
        </is>
      </c>
      <c r="H14" s="43" t="inlineStr">
        <is>
          <t>[result.Should().Be(...) / Throws / _mock.Verify(..., Times.Never)]</t>
        </is>
      </c>
      <c r="I14" s="43" t="inlineStr">
        <is>
          <t>No</t>
        </is>
      </c>
      <c r="J14" s="43" t="inlineStr">
        <is>
          <t>Not Run</t>
        </is>
      </c>
      <c r="K14" s="43" t="n"/>
      <c r="L14" s="43" t="n"/>
    </row>
    <row r="16">
      <c r="A16" s="50" t="inlineStr">
        <is>
          <t xml:space="preserve">  ▶  Block: ⊕ v2.3 — Gộp giỏ khách vãng lai  |  mergeGuestCartIntoServer  |  FT-01 AC-05; BR-025; FT-02 NAC-01</t>
        </is>
      </c>
    </row>
    <row r="17" ht="46.5" customHeight="1">
      <c r="A17" s="26" t="inlineStr">
        <is>
          <t>L1-FEC-06</t>
        </is>
      </c>
      <c r="B17" s="37" t="inlineStr">
        <is>
          <t>Concurrency</t>
        </is>
      </c>
      <c r="C17" s="27" t="inlineStr">
        <is>
          <t>Cờ mergingRef chống chạy song song khi React StrictMode double-invoke</t>
        </is>
      </c>
      <c r="D17" s="27" t="inlineStr">
        <is>
          <t>FT-01 AC-05</t>
        </is>
      </c>
      <c r="E17" s="28" t="inlineStr">
        <is>
          <t>P1</t>
        </is>
      </c>
      <c r="F17" s="27" t="inlineStr">
        <is>
          <t>localStorage['guestCart'] có 1 sản phẩm
MSW đếm số request POST /api/Cart</t>
        </is>
      </c>
      <c r="G17" s="27" t="inlineStr">
        <is>
          <t>Render provider trong &lt;StrictMode&gt; (effect chạy 2 lần) hoặc gọi mergeGuestCartIntoServer() 2 lần liên tiếp</t>
        </is>
      </c>
      <c r="H17" s="27" t="inlineStr">
        <is>
          <t>Chỉ đúng 1 lượt gộp được thực hiện; KHÔNG tạo Cart trùng, KHÔNG cộng đôi số lượng
localStorage['guestCart'] xoá đúng 1 lần</t>
        </is>
      </c>
      <c r="I17" s="27" t="inlineStr">
        <is>
          <t>No</t>
        </is>
      </c>
      <c r="J17" s="43" t="inlineStr">
        <is>
          <t>Pass</t>
        </is>
      </c>
      <c r="K17" s="27" t="n"/>
      <c r="L17" s="45" t="n"/>
      <c r="M17" s="43" t="inlineStr">
        <is>
          <t>✅ Pass (không đổi)</t>
        </is>
      </c>
    </row>
    <row r="18" ht="46.5" customHeight="1">
      <c r="A18" s="31" t="inlineStr">
        <is>
          <t>L1-FEC-07</t>
        </is>
      </c>
      <c r="B18" s="37" t="inlineStr">
        <is>
          <t>EP-Invalid</t>
        </is>
      </c>
      <c r="C18" s="32" t="inlineStr">
        <is>
          <t>Giá của giỏ khách vãng lai phải do SERVER tính lại khi gộp</t>
        </is>
      </c>
      <c r="D18" s="32" t="inlineStr">
        <is>
          <t>BR-025; FT-02 NAC-01; FT-01 AC-05</t>
        </is>
      </c>
      <c r="E18" s="28" t="inlineStr">
        <is>
          <t>P1</t>
        </is>
      </c>
      <c r="F18" s="32" t="inlineStr">
        <is>
          <t>localStorage['guestCart'] chứa P1 kèm price=1000 (giá client, có thể bị sửa tay)</t>
        </is>
      </c>
      <c r="G18" s="32" t="inlineStr">
        <is>
          <t>Đăng nhập -&gt; mergeGuestCartIntoServer()</t>
        </is>
      </c>
      <c r="H18" s="32" t="inlineStr">
        <is>
          <t>Request gộp chỉ gửi productId + quantity; server tự tính giá và tạo PriceSnapshot tại thời điểm gộp
Nếu FE gửi kèm price và server tin theo -&gt; LỖ HỔNG cùng loại CLIENT_PRICE_MISMATCH</t>
        </is>
      </c>
      <c r="I18" s="35" t="inlineStr">
        <is>
          <t>Yes</t>
        </is>
      </c>
      <c r="J18" s="43" t="inlineStr">
        <is>
          <t>Pass</t>
        </is>
      </c>
      <c r="K18" s="32" t="n"/>
      <c r="L18" s="46" t="n"/>
      <c r="M18" s="43" t="inlineStr">
        <is>
          <t>✅ Pass (không đổi)</t>
        </is>
      </c>
    </row>
    <row r="19" ht="46.5" customHeight="1">
      <c r="A19" s="26" t="inlineStr">
        <is>
          <t>L1-FEC-08</t>
        </is>
      </c>
      <c r="B19" s="37" t="inlineStr">
        <is>
          <t>EP-Valid</t>
        </is>
      </c>
      <c r="C19" s="27" t="inlineStr">
        <is>
          <t>Gộp thất bại -&gt; KHÔNG xoá guestCart (không mất hàng của khách)</t>
        </is>
      </c>
      <c r="D19" s="27" t="inlineStr">
        <is>
          <t>FT-01 AC-05</t>
        </is>
      </c>
      <c r="E19" s="34" t="inlineStr">
        <is>
          <t>P2</t>
        </is>
      </c>
      <c r="F19" s="27" t="inlineStr">
        <is>
          <t>localStorage['guestCart'] có 2 sản phẩm; MSW trả 500 cho POST /api/Cart</t>
        </is>
      </c>
      <c r="G19" s="27" t="inlineStr">
        <is>
          <t>Đăng nhập -&gt; mergeGuestCartIntoServer()</t>
        </is>
      </c>
      <c r="H19" s="27" t="inlineStr">
        <is>
          <t>localStorage['guestCart'] VẪN còn nguyên để thử lại lần sau
Hiển thị lỗi cho người dùng, không im lặng</t>
        </is>
      </c>
      <c r="I19" s="29" t="inlineStr">
        <is>
          <t>Yes</t>
        </is>
      </c>
      <c r="J19" s="43" t="inlineStr">
        <is>
          <t>Fail</t>
        </is>
      </c>
      <c r="K19" s="27" t="n"/>
      <c r="L19" s="45" t="n"/>
      <c r="M19" s="43" t="inlineStr">
        <is>
          <t>⚠ FIX MỘT PHẦN
CartContext.jsx:36-53 giữ nguyên guestCart khi merge lỗi (đúng) nhưng KHÔNG setError() nên người dùng không thấy lỗi.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6:L16"/>
    <mergeCell ref="A2:L2"/>
    <mergeCell ref="A11:L11"/>
    <mergeCell ref="A1:L1"/>
    <mergeCell ref="A5:L5"/>
    <mergeCell ref="A13:L13"/>
    <mergeCell ref="A8:L8"/>
  </mergeCells>
  <dataValidations count="2">
    <dataValidation sqref="E6:E7 E9:E10 E12 E14 E17:E19" showDropDown="0" showInputMessage="0" showErrorMessage="0" allowBlank="1" type="list">
      <formula1>"P1,P2,P3"</formula1>
      <formula2>0</formula2>
    </dataValidation>
    <dataValidation sqref="J6:J7 J9:J10 J12 J14 J17:J19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FE-Components (Vitest + RTL)  |  ProtectedRoute, Cart, Checkout, PhoneVerificationModal, Pagination, ProductCard, NotificationBell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ProtectedRoute  |  role gating — NFR-SEC04</t>
        </is>
      </c>
    </row>
    <row r="6" ht="30" customHeight="1">
      <c r="A6" s="26" t="inlineStr">
        <is>
          <t>L1-FCMP-01</t>
        </is>
      </c>
      <c r="B6" s="37" t="inlineStr">
        <is>
          <t>BC-TRUE</t>
        </is>
      </c>
      <c r="C6" s="27" t="inlineStr">
        <is>
          <t>Unauthenticated user hits protected route -&gt; redirected to /login</t>
        </is>
      </c>
      <c r="D6" s="27" t="inlineStr">
        <is>
          <t>FT-01 NAC-05; NFR-SEC03</t>
        </is>
      </c>
      <c r="E6" s="28" t="inlineStr">
        <is>
          <t>P1</t>
        </is>
      </c>
      <c r="F6" s="27" t="inlineStr">
        <is>
          <t>Auth state: not logged in; MemoryRouter at /checkout</t>
        </is>
      </c>
      <c r="G6" s="27" t="inlineStr">
        <is>
          <t>render(&lt;ProtectedRoute&gt;&lt;Checkout/&gt;&lt;/ProtectedRoute&gt;)</t>
        </is>
      </c>
      <c r="H6" s="27" t="inlineStr">
        <is>
          <t>Redirect to /login rendered; Checkout content NOT in DOM</t>
        </is>
      </c>
      <c r="I6" s="29" t="inlineStr">
        <is>
          <t>Yes</t>
        </is>
      </c>
      <c r="J6" s="43" t="inlineStr">
        <is>
          <t>Pass</t>
        </is>
      </c>
      <c r="K6" s="27" t="n"/>
      <c r="L6" s="27" t="n"/>
      <c r="M6" s="43" t="inlineStr">
        <is>
          <t>✅ Pass (không đổi)</t>
        </is>
      </c>
    </row>
    <row r="7" ht="30" customHeight="1">
      <c r="A7" s="31" t="inlineStr">
        <is>
          <t>L1-FCMP-02</t>
        </is>
      </c>
      <c r="B7" s="37" t="inlineStr">
        <is>
          <t>EP-Invalid</t>
        </is>
      </c>
      <c r="C7" s="32" t="inlineStr">
        <is>
          <t>Customer role opens /warehouse portal -&gt; access blocked</t>
        </is>
      </c>
      <c r="D7" s="32" t="inlineStr">
        <is>
          <t>NFR-SEC03; FT-09 NAC-01</t>
        </is>
      </c>
      <c r="E7" s="28" t="inlineStr">
        <is>
          <t>P1</t>
        </is>
      </c>
      <c r="F7" s="32" t="inlineStr">
        <is>
          <t>Auth: role=Customer; route requires WarehouseStaff</t>
        </is>
      </c>
      <c r="G7" s="32" t="inlineStr">
        <is>
          <t>render warehouse route inside ProtectedRoute</t>
        </is>
      </c>
      <c r="H7" s="32" t="inlineStr">
        <is>
          <t>Warehouse portal NOT rendered; redirected/denied view shown</t>
        </is>
      </c>
      <c r="I7" s="35" t="inlineStr">
        <is>
          <t>Yes</t>
        </is>
      </c>
      <c r="J7" s="43" t="inlineStr">
        <is>
          <t>Pass</t>
        </is>
      </c>
      <c r="K7" s="32" t="n"/>
      <c r="L7" s="32" t="n"/>
      <c r="M7" s="43" t="inlineStr">
        <is>
          <t>✅ Pass (không đổi)</t>
        </is>
      </c>
    </row>
    <row r="8" ht="18" customHeight="1">
      <c r="A8" s="50" t="inlineStr">
        <is>
          <t xml:space="preserve">  ▶  Block: Cart &amp; Checkout pages  |  FT-01 NAC-02/NAC-03; FT-02 SB-2; FT-03 BV-01</t>
        </is>
      </c>
    </row>
    <row r="9" ht="43.5" customHeight="1">
      <c r="A9" s="26" t="inlineStr">
        <is>
          <t>L1-FCMP-03</t>
        </is>
      </c>
      <c r="B9" s="37" t="inlineStr">
        <is>
          <t>BC-TRUE</t>
        </is>
      </c>
      <c r="C9" s="27" t="inlineStr">
        <is>
          <t>Empty cart -&gt; 'Proceed to Checkout' disabled + tooltip</t>
        </is>
      </c>
      <c r="D9" s="27" t="inlineStr">
        <is>
          <t>FT-01 AC-05</t>
        </is>
      </c>
      <c r="E9" s="28" t="inlineStr">
        <is>
          <t>P1</t>
        </is>
      </c>
      <c r="F9" s="27" t="inlineStr">
        <is>
          <t>MSW: GET /api/cart -&gt; {items: []}</t>
        </is>
      </c>
      <c r="G9" s="27" t="inlineStr">
        <is>
          <t>render(&lt;Cart/&gt;)</t>
        </is>
      </c>
      <c r="H9" s="27" t="inlineStr">
        <is>
          <t>Checkout button disabled; tooltip 'Your cart is empty...' (VN text per Screen Design)
No navigation on click</t>
        </is>
      </c>
      <c r="I9" s="29" t="inlineStr">
        <is>
          <t>Yes</t>
        </is>
      </c>
      <c r="J9" s="43" t="inlineStr">
        <is>
          <t>Pass</t>
        </is>
      </c>
      <c r="K9" s="27" t="n"/>
      <c r="L9" s="27" t="n"/>
      <c r="M9" s="43" t="inlineStr">
        <is>
          <t>✅ Pass (không đổi)</t>
        </is>
      </c>
    </row>
    <row r="10" ht="43.5" customHeight="1">
      <c r="A10" s="31" t="inlineStr">
        <is>
          <t>L1-FCMP-04</t>
        </is>
      </c>
      <c r="B10" s="37" t="inlineStr">
        <is>
          <t>BC-TRUE</t>
        </is>
      </c>
      <c r="C10" s="32" t="inlineStr">
        <is>
          <t>Price-Expired cart -&gt; warning banner + checkout blocked until refresh</t>
        </is>
      </c>
      <c r="D10" s="32" t="inlineStr">
        <is>
          <t>FT-01 NAC-03; BV-01; BR-025</t>
        </is>
      </c>
      <c r="E10" s="28" t="inlineStr">
        <is>
          <t>P1</t>
        </is>
      </c>
      <c r="F10" s="32" t="inlineStr">
        <is>
          <t>MSW: cart with isPriceExpired=true</t>
        </is>
      </c>
      <c r="G10" s="32" t="inlineStr">
        <is>
          <t>render(&lt;Checkout/&gt;)</t>
        </is>
      </c>
      <c r="H10" s="32" t="inlineStr">
        <is>
          <t>Banner 'Your cart prices may have changed...' visible
Proceed blocked until user confirms refreshed prices</t>
        </is>
      </c>
      <c r="I10" s="35" t="inlineStr">
        <is>
          <t>Yes</t>
        </is>
      </c>
      <c r="J10" s="43" t="inlineStr">
        <is>
          <t>Blocked</t>
        </is>
      </c>
      <c r="K10" s="32" t="n"/>
      <c r="L10" s="32" t="inlineStr">
        <is>
          <t>Không tồn tại isPriceExpired/banner giá trong FE — tính năng chưa có</t>
        </is>
      </c>
      <c r="M10" s="43" t="inlineStr">
        <is>
          <t>❌ CHƯA FIX
Suy luận từ ORD-09/GH-08 (BE vẫn chưa chặn giá hết hạn) — banner cảnh báo phía FE nhiều khả năng vẫn chưa tồn tại; CHƯA xác minh trực tiếp mã FE cho case này, cần kiểm tra lại Checkout component.</t>
        </is>
      </c>
    </row>
    <row r="11" ht="30" customHeight="1">
      <c r="A11" s="26" t="inlineStr">
        <is>
          <t>L1-FCMP-05</t>
        </is>
      </c>
      <c r="B11" s="37" t="inlineStr">
        <is>
          <t>Guard-FALSE</t>
        </is>
      </c>
      <c r="C11" s="27" t="inlineStr">
        <is>
          <t>Total &gt;= 100M without negotiated price -&gt; Payment hidden, 'Request Quotation' shown</t>
        </is>
      </c>
      <c r="D11" s="27" t="inlineStr">
        <is>
          <t>FT-02 AC-03; BR-026</t>
        </is>
      </c>
      <c r="E11" s="28" t="inlineStr">
        <is>
          <t>P1</t>
        </is>
      </c>
      <c r="F11" s="27" t="inlineStr">
        <is>
          <t>MSW: checkout summary {total:120,000,000, requiresQuotation:true}</t>
        </is>
      </c>
      <c r="G11" s="27" t="inlineStr">
        <is>
          <t>render(&lt;Checkout/&gt;)</t>
        </is>
      </c>
      <c r="H11" s="27" t="inlineStr">
        <is>
          <t>'Proceed to Payment' NOT in DOM; 'Request Quotation' button rendered</t>
        </is>
      </c>
      <c r="I11" s="27" t="inlineStr">
        <is>
          <t>No</t>
        </is>
      </c>
      <c r="J11" s="43" t="inlineStr">
        <is>
          <t>Fail</t>
        </is>
      </c>
      <c r="K11" s="27" t="n"/>
      <c r="L11" s="45" t="n"/>
      <c r="M11" s="43" t="inlineStr">
        <is>
          <t>⚠ FIX MỘT PHẦN
Cart.jsx:323-342 đã hiện khối 'Yêu cầu báo giá đặc biệt' khi &gt;=100M, nhưng nút 'Đặt Hàng &amp; Xem Hóa Đơn' (426-433) vẫn hiện song song — khách vẫn bấm đặt hàng thẳng được.</t>
        </is>
      </c>
    </row>
    <row r="12" ht="43.5" customHeight="1">
      <c r="A12" s="31" t="inlineStr">
        <is>
          <t>L1-FCMP-06</t>
        </is>
      </c>
      <c r="B12" s="37" t="inlineStr">
        <is>
          <t>BVA-Max</t>
        </is>
      </c>
      <c r="C12" s="32" t="inlineStr">
        <is>
          <t>SePay 15-min countdown reaches 0 -&gt; expired state + manual-verify guidance</t>
        </is>
      </c>
      <c r="D12" s="32" t="inlineStr">
        <is>
          <t>FT-03 BV-01; BR-008</t>
        </is>
      </c>
      <c r="E12" s="28" t="inlineStr">
        <is>
          <t>P1</t>
        </is>
      </c>
      <c r="F12" s="32" t="inlineStr">
        <is>
          <t>vi.useFakeTimers; QR screen with expiry NOW+15min</t>
        </is>
      </c>
      <c r="G12" s="32" t="inlineStr">
        <is>
          <t>render QR screen; vi.advanceTimersByTime(15*60*1000)</t>
        </is>
      </c>
      <c r="H12" s="32" t="inlineStr">
        <is>
          <t>Countdown shows 00:00; expired message rendered
QR hidden/disabled; guidance to contact Sales for manual verification</t>
        </is>
      </c>
      <c r="I12" s="32" t="inlineStr">
        <is>
          <t>No</t>
        </is>
      </c>
      <c r="J12" s="43" t="inlineStr">
        <is>
          <t>Blocked</t>
        </is>
      </c>
      <c r="K12" s="32" t="n"/>
      <c r="L12" s="32" t="inlineStr">
        <is>
          <t>Màn QR SePay không có đếm ngược 15 phút — tính năng chưa có</t>
        </is>
      </c>
      <c r="M12" s="43" t="inlineStr">
        <is>
          <t>❌ CHƯA FIX
Checkout.jsx:379 countdown chỉ là bộ đếm 5s auto-redirect SAU khi thanh toán xong, không phải bộ đếm hết hạn QR 15 phút. Màn QR (878-960) không có countdown/trạng thái hết hạn.</t>
        </is>
      </c>
    </row>
    <row r="13" ht="18" customHeight="1">
      <c r="A13" s="50" t="inlineStr">
        <is>
          <t xml:space="preserve">  ▶  Block: Form validation &amp; shared components</t>
        </is>
      </c>
    </row>
    <row r="14" ht="30" customHeight="1">
      <c r="A14" s="26" t="inlineStr">
        <is>
          <t>L1-FCMP-07</t>
        </is>
      </c>
      <c r="B14" s="37" t="inlineStr">
        <is>
          <t>EP-Invalid</t>
        </is>
      </c>
      <c r="C14" s="27" t="inlineStr">
        <is>
          <t>Phone input '091234567' (9 digits) and '0912345678a' -&gt; validation error shown</t>
        </is>
      </c>
      <c r="D14" s="27" t="inlineStr">
        <is>
          <t>FT-01 NAC-02; BV-02</t>
        </is>
      </c>
      <c r="E14" s="28" t="inlineStr">
        <is>
          <t>P1</t>
        </is>
      </c>
      <c r="F14" s="27" t="inlineStr">
        <is>
          <t>render(&lt;PhoneVerificationModal/&gt;) — [Theory-style test.each]</t>
        </is>
      </c>
      <c r="G14" s="27" t="inlineStr">
        <is>
          <t>type invalid phone; submit</t>
        </is>
      </c>
      <c r="H14" s="27" t="inlineStr">
        <is>
          <t>Error 'Invalid phone number format.' displayed; submit blocked; no API call (MSW not hit)</t>
        </is>
      </c>
      <c r="I14" s="29" t="inlineStr">
        <is>
          <t>Yes</t>
        </is>
      </c>
      <c r="J14" s="43" t="inlineStr">
        <is>
          <t>Fail</t>
        </is>
      </c>
      <c r="K14" s="27" t="n"/>
      <c r="L14" s="27" t="n"/>
      <c r="M14" s="43" t="inlineStr">
        <is>
          <t>❌ CHƯA FIX
PhoneVerificationModal.jsx:29-52 chỉ check rỗng, không có regex định dạng — SĐT sai định dạng vẫn lọt qua và gọi API.</t>
        </is>
      </c>
    </row>
    <row r="15" ht="30" customHeight="1">
      <c r="A15" s="31" t="inlineStr">
        <is>
          <t>L1-FCMP-08</t>
        </is>
      </c>
      <c r="B15" s="37" t="inlineStr">
        <is>
          <t>BVA-Min</t>
        </is>
      </c>
      <c r="C15" s="32" t="inlineStr">
        <is>
          <t>Pagination on page 1 -&gt; Prev disabled; renders correct page count</t>
        </is>
      </c>
      <c r="D15" s="32" t="inlineStr">
        <is>
          <t>FT-01 AC-01</t>
        </is>
      </c>
      <c r="E15" s="36" t="inlineStr">
        <is>
          <t>P3</t>
        </is>
      </c>
      <c r="F15" s="32" t="inlineStr">
        <is>
          <t>props {page:1, totalPages:5}</t>
        </is>
      </c>
      <c r="G15" s="32" t="inlineStr">
        <is>
          <t>render(&lt;Pagination/&gt;)</t>
        </is>
      </c>
      <c r="H15" s="32" t="inlineStr">
        <is>
          <t>Prev button disabled; 5 page indicators; onChange fires with correct page</t>
        </is>
      </c>
      <c r="I15" s="32" t="inlineStr">
        <is>
          <t>No</t>
        </is>
      </c>
      <c r="J15" s="43" t="inlineStr">
        <is>
          <t>Pass</t>
        </is>
      </c>
      <c r="K15" s="32" t="n"/>
      <c r="L15" s="32" t="n"/>
      <c r="M15" s="43" t="inlineStr">
        <is>
          <t>✅ Pass (không đổi)</t>
        </is>
      </c>
    </row>
    <row r="16" ht="30" customHeight="1">
      <c r="A16" s="26" t="inlineStr">
        <is>
          <t>L1-FCMP-09</t>
        </is>
      </c>
      <c r="B16" s="37" t="inlineStr">
        <is>
          <t>EP-Valid</t>
        </is>
      </c>
      <c r="C16" s="27" t="inlineStr">
        <is>
          <t>ProductCard shows formatted VND price and product name</t>
        </is>
      </c>
      <c r="D16" s="27" t="inlineStr">
        <is>
          <t>FT-01 AC-01; NFR-U02</t>
        </is>
      </c>
      <c r="E16" s="34" t="inlineStr">
        <is>
          <t>P3</t>
        </is>
      </c>
      <c r="F16" s="27" t="inlineStr">
        <is>
          <t>product {name, price: 9999999}</t>
        </is>
      </c>
      <c r="G16" s="27" t="inlineStr">
        <is>
          <t>render(&lt;ProductCard/&gt;)</t>
        </is>
      </c>
      <c r="H16" s="27" t="inlineStr">
        <is>
          <t>Formatted price rendered ('9.999.999 ₫'); name visible; image alt set</t>
        </is>
      </c>
      <c r="I16" s="27" t="inlineStr">
        <is>
          <t>No</t>
        </is>
      </c>
      <c r="J16" s="43" t="inlineStr">
        <is>
          <t>Pass</t>
        </is>
      </c>
      <c r="K16" s="27" t="n"/>
      <c r="L16" s="27" t="n"/>
      <c r="M16" s="43" t="inlineStr">
        <is>
          <t>✅ Pass (không đổi)</t>
        </is>
      </c>
    </row>
    <row r="17" ht="30" customHeight="1">
      <c r="A17" s="31" t="inlineStr">
        <is>
          <t>L1-FCMP-10</t>
        </is>
      </c>
      <c r="B17" s="37" t="inlineStr">
        <is>
          <t>EP-Valid</t>
        </is>
      </c>
      <c r="C17" s="32" t="inlineStr">
        <is>
          <t>NotificationBell shows unread count badge from service</t>
        </is>
      </c>
      <c r="D17" s="32" t="inlineStr">
        <is>
          <t>FT-09 AC-02</t>
        </is>
      </c>
      <c r="E17" s="36" t="inlineStr">
        <is>
          <t>P2</t>
        </is>
      </c>
      <c r="F17" s="32" t="inlineStr">
        <is>
          <t>MSW: /api/notifications/unread-count -&gt; {count: 3}</t>
        </is>
      </c>
      <c r="G17" s="32" t="inlineStr">
        <is>
          <t>render(&lt;NotificationBell/&gt;)</t>
        </is>
      </c>
      <c r="H17" s="32" t="inlineStr">
        <is>
          <t>Badge '3' rendered; opening dropdown lists notifications</t>
        </is>
      </c>
      <c r="I17" s="32" t="inlineStr">
        <is>
          <t>No</t>
        </is>
      </c>
      <c r="J17" s="43" t="inlineStr">
        <is>
          <t>Pass</t>
        </is>
      </c>
      <c r="K17" s="32" t="n"/>
      <c r="L17" s="32" t="n"/>
      <c r="M17" s="43" t="inlineStr">
        <is>
          <t>✅ Pass (không đổi)</t>
        </is>
      </c>
    </row>
    <row r="18" ht="15" customHeight="1">
      <c r="A18" s="52" t="inlineStr">
        <is>
          <t xml:space="preserve">  ▶  Template Row — copy khi thêm case mới</t>
        </is>
      </c>
    </row>
    <row r="19" ht="53.25" customHeight="1">
      <c r="A19" s="43" t="inlineStr">
        <is>
          <t>L1-XX-[NN]</t>
        </is>
      </c>
      <c r="B19" s="43" t="inlineStr">
        <is>
          <t>[BC-TRUE | BC-FALSE | CC | EP-Valid | EP-Invalid | BVA-* | State-* | Guard-* | Concurrency | Idempotency | Atomicity]</t>
        </is>
      </c>
      <c r="C19" s="43" t="inlineStr">
        <is>
          <t>[Branch / condition / partition]</t>
        </is>
      </c>
      <c r="D19" s="43" t="inlineStr">
        <is>
          <t>[FT-xx AC/NAC/BV-xx; BR-xxx; NFR-xxx]</t>
        </is>
      </c>
      <c r="E19" s="43" t="inlineStr">
        <is>
          <t>P2</t>
        </is>
      </c>
      <c r="F19" s="43" t="inlineStr">
        <is>
          <t>[Arrange: state + _mock.Setup(...)]</t>
        </is>
      </c>
      <c r="G19" s="43" t="inlineStr">
        <is>
          <t>service.Method(params)</t>
        </is>
      </c>
      <c r="H19" s="43" t="inlineStr">
        <is>
          <t>[result.Should().Be(...) / Throws / _mock.Verify(..., Times.Never)]</t>
        </is>
      </c>
      <c r="I19" s="43" t="inlineStr">
        <is>
          <t>No</t>
        </is>
      </c>
      <c r="J19" s="43" t="inlineStr">
        <is>
          <t>Not Run</t>
        </is>
      </c>
      <c r="K19" s="43" t="n"/>
      <c r="L19" s="43" t="n"/>
    </row>
    <row r="21" ht="15.75" customHeight="1">
      <c r="A21" s="50" t="inlineStr">
        <is>
          <t xml:space="preserve">  ▶  Block: ⊕ v2.3 — ProtectedRoute: prop allowGuest + điều hướng theo vai trò  |  NFR-SEC03; FT-01 NAC-05</t>
        </is>
      </c>
    </row>
    <row r="22" ht="46.5" customHeight="1">
      <c r="A22" s="26" t="inlineStr">
        <is>
          <t>L1-FCMP-11</t>
        </is>
      </c>
      <c r="B22" s="37" t="inlineStr">
        <is>
          <t>BC-TRUE</t>
        </is>
      </c>
      <c r="C22" s="27" t="inlineStr">
        <is>
          <t>allowGuest=true cho phép khách vãng lai xem route công khai</t>
        </is>
      </c>
      <c r="D22" s="27" t="inlineStr">
        <is>
          <t>FT-01 AC-01; NFR-SEC03</t>
        </is>
      </c>
      <c r="E22" s="34" t="inlineStr">
        <is>
          <t>P2</t>
        </is>
      </c>
      <c r="F22" s="27" t="inlineStr">
        <is>
          <t>Chưa đăng nhập; route /products bọc trong ProtectedRoute allowGuest</t>
        </is>
      </c>
      <c r="G22" s="27" t="inlineStr">
        <is>
          <t>render(&lt;ProtectedRoute allowGuest&gt;&lt;Products/&gt;&lt;/ProtectedRoute&gt;)</t>
        </is>
      </c>
      <c r="H22" s="27" t="inlineStr">
        <is>
          <t>Nội dung hiển thị bình thường, KHÔNG redirect
(khớp bảng vai trò SRS: Guest được duyệt catalogue)</t>
        </is>
      </c>
      <c r="I22" s="27" t="inlineStr">
        <is>
          <t>No</t>
        </is>
      </c>
      <c r="J22" s="43" t="inlineStr">
        <is>
          <t>Pass</t>
        </is>
      </c>
      <c r="K22" s="27" t="n"/>
      <c r="L22" s="45" t="n"/>
      <c r="M22" s="43" t="inlineStr">
        <is>
          <t>✅ Pass (không đổi)</t>
        </is>
      </c>
    </row>
    <row r="23" ht="46.5" customHeight="1">
      <c r="A23" s="31" t="inlineStr">
        <is>
          <t>L1-FCMP-12</t>
        </is>
      </c>
      <c r="B23" s="37" t="inlineStr">
        <is>
          <t>BC-FALSE</t>
        </is>
      </c>
      <c r="C23" s="32" t="inlineStr">
        <is>
          <t>allowGuest KHÔNG được rò sang route nhạy cảm</t>
        </is>
      </c>
      <c r="D23" s="32" t="inlineStr">
        <is>
          <t>FT-01 NAC-05; NFR-SEC03</t>
        </is>
      </c>
      <c r="E23" s="28" t="inlineStr">
        <is>
          <t>P1</t>
        </is>
      </c>
      <c r="F23" s="32" t="inlineStr">
        <is>
          <t>Chưa đăng nhập
[Theory] /checkout, /profile, /sales, /admin, /warehouse</t>
        </is>
      </c>
      <c r="G23" s="32" t="inlineStr">
        <is>
          <t>Truy cập từng route trên</t>
        </is>
      </c>
      <c r="H23" s="32" t="inlineStr">
        <is>
          <t>TẤT CẢ đều redirect /login, không route nào render nội dung
allowGuest chỉ có tác dụng ở route được khai báo tường minh</t>
        </is>
      </c>
      <c r="I23" s="35" t="inlineStr">
        <is>
          <t>Yes</t>
        </is>
      </c>
      <c r="J23" s="43" t="inlineStr">
        <is>
          <t>Pass</t>
        </is>
      </c>
      <c r="K23" s="32" t="n"/>
      <c r="L23" s="46" t="n"/>
      <c r="M23" s="43" t="inlineStr">
        <is>
          <t>✅ Pass (không đổi)</t>
        </is>
      </c>
    </row>
    <row r="24" ht="46.5" customHeight="1">
      <c r="A24" s="26" t="inlineStr">
        <is>
          <t>L1-FCMP-13</t>
        </is>
      </c>
      <c r="B24" s="37" t="inlineStr">
        <is>
          <t>EP-Valid</t>
        </is>
      </c>
      <c r="C24" s="27" t="inlineStr">
        <is>
          <t>Bảng điều hướng sau đăng nhập theo vai trò</t>
        </is>
      </c>
      <c r="D24" s="27" t="inlineStr">
        <is>
          <t>NFR-SEC03; FT-09 AC-01</t>
        </is>
      </c>
      <c r="E24" s="34" t="inlineStr">
        <is>
          <t>P2</t>
        </is>
      </c>
      <c r="F24" s="27" t="inlineStr">
        <is>
          <t>[Theory] vai trò SalesStaff / SalesManager / Admin / CEO / WarehouseStaff / Customer</t>
        </is>
      </c>
      <c r="G24" s="27" t="inlineStr">
        <is>
          <t>Đăng nhập rồi vào route gốc được bảo vệ</t>
        </is>
      </c>
      <c r="H24" s="27" t="inlineStr">
        <is>
          <t>Điều hướng đúng: /sales · /sales-manager · /admin · CEOPortal · /warehouse · trang khách
Không vai trò nào rơi vào portal của vai trò khác</t>
        </is>
      </c>
      <c r="I24" s="27" t="inlineStr">
        <is>
          <t>No</t>
        </is>
      </c>
      <c r="J24" s="43" t="inlineStr">
        <is>
          <t>Pass</t>
        </is>
      </c>
      <c r="K24" s="27" t="n"/>
      <c r="L24" s="45" t="n"/>
      <c r="M24" s="43" t="inlineStr">
        <is>
          <t>✅ Pass (không đổi)</t>
        </is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L2"/>
    <mergeCell ref="A1:L1"/>
    <mergeCell ref="A5:L5"/>
    <mergeCell ref="A13:L13"/>
    <mergeCell ref="A8:L8"/>
    <mergeCell ref="A18:L18"/>
    <mergeCell ref="A21:L21"/>
  </mergeCells>
  <dataValidations count="2">
    <dataValidation sqref="E6:E7 E9:E12 E14:E17 E19 E22:E24" showDropDown="0" showInputMessage="0" showErrorMessage="0" allowBlank="1" type="list">
      <formula1>"P1,P2,P3"</formula1>
      <formula2>0</formula2>
    </dataValidation>
    <dataValidation sqref="J6:J7 J9:J12 J14:J17 J19 J22:J24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InventoryReservationService  |  MỚI v2.1  |  methods: ReserveAsync, AllocateAsync, ReleaseReservedAsync, ReleaseAllocatedAsync, DeductOnHandAsync  |  FT-03; FT-05; BR-008/032/033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ReserveAsync()  |  FT-03 AC-01; BR-008; BV-01</t>
        </is>
      </c>
    </row>
    <row r="6" ht="60" customHeight="1">
      <c r="A6" s="26" t="inlineStr">
        <is>
          <t>L1-RES-01</t>
        </is>
      </c>
      <c r="B6" s="37" t="inlineStr">
        <is>
          <t>EP-Valid</t>
        </is>
      </c>
      <c r="C6" s="27" t="inlineStr">
        <is>
          <t>Giữ tồn cho đơn SePay -&gt; hạn 15 phút</t>
        </is>
      </c>
      <c r="D6" s="27" t="inlineStr">
        <is>
          <t>FT-03 AC-01; BR-008</t>
        </is>
      </c>
      <c r="E6" s="28" t="inlineStr">
        <is>
          <t>P1</t>
        </is>
      </c>
      <c r="F6" s="27" t="inlineStr">
        <is>
          <t>Inventory P1: OnHand=10, Reserved=0, Allocated=0, Damaged=0, Quarantine=0
=&gt; AvailableQuantity = 10</t>
        </is>
      </c>
      <c r="G6" s="27" t="inlineStr">
        <is>
          <t>reservationService.ReserveAsync(new[]{ (P1, 3) })</t>
        </is>
      </c>
      <c r="H6" s="27" t="inlineStr">
        <is>
          <t>Reserved P1 = 3; OnHand vẫn = 10
AvailableQuantity (computed) = 10-3-0-0-0 = 7
Method trả Task (void), không ném exception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46.5" customHeight="1">
      <c r="A7" s="31" t="inlineStr">
        <is>
          <t>L1-RES-02</t>
        </is>
      </c>
      <c r="B7" s="37" t="inlineStr">
        <is>
          <t>EP-Valid</t>
        </is>
      </c>
      <c r="C7" s="32" t="inlineStr">
        <is>
          <t>Giữ tồn cho đơn COD -&gt; hạn 35 phút</t>
        </is>
      </c>
      <c r="D7" s="32" t="inlineStr">
        <is>
          <t>FT-03 AC-04; BR-008; BV-02</t>
        </is>
      </c>
      <c r="E7" s="28" t="inlineStr">
        <is>
          <t>P1</t>
        </is>
      </c>
      <c r="F7" s="32" t="inlineStr">
        <is>
          <t>Inventory P1 Available=10, P2 Available=5</t>
        </is>
      </c>
      <c r="G7" s="32" t="inlineStr">
        <is>
          <t>reservationService.ReserveAsync(new[]{ (P1,3), (P2,2) })</t>
        </is>
      </c>
      <c r="H7" s="32" t="inlineStr">
        <is>
          <t>Cả 2 SKU cùng tăng Reserved trong 1 lệnh
P1 Available=7; P2 Available=3</t>
        </is>
      </c>
      <c r="I7" s="32" t="inlineStr">
        <is>
          <t>No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60" customHeight="1">
      <c r="A8" s="26" t="inlineStr">
        <is>
          <t>L1-RES-03</t>
        </is>
      </c>
      <c r="B8" s="37" t="inlineStr">
        <is>
          <t>BVA-Max</t>
        </is>
      </c>
      <c r="C8" s="27" t="inlineStr">
        <is>
          <t>Giữ đúng bằng tồn khả dụng -&gt; cho phép, Available về 0</t>
        </is>
      </c>
      <c r="D8" s="27" t="inlineStr">
        <is>
          <t>FT-05 BV-01; BR-032</t>
        </is>
      </c>
      <c r="E8" s="28" t="inlineStr">
        <is>
          <t>P1</t>
        </is>
      </c>
      <c r="F8" s="27" t="inlineStr">
        <is>
          <t>Inventory P1: OnHand=10, Reserved=0 =&gt; Available=10</t>
        </is>
      </c>
      <c r="G8" s="27" t="inlineStr">
        <is>
          <t>reservationService.ReserveAsync(new[]{ (P1, 10) })</t>
        </is>
      </c>
      <c r="H8" s="27" t="inlineStr">
        <is>
          <t>Reserved = 10; OnHandQuantity vẫn = 10
RawAvailable() = 10-10-0-0-0 = 0 (assert biểu thức THÔ, không dùng AvailableQuantity)
Không ném exception</t>
        </is>
      </c>
      <c r="I8" s="27" t="inlineStr">
        <is>
          <t>No</t>
        </is>
      </c>
      <c r="J8" s="43" t="inlineStr">
        <is>
          <t>Pass</t>
        </is>
      </c>
      <c r="K8" s="27" t="n"/>
      <c r="L8" s="45" t="inlineStr">
        <is>
          <t>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      </is>
      </c>
      <c r="M8" s="43" t="inlineStr">
        <is>
          <t>✅ Pass (không đổi)</t>
        </is>
      </c>
    </row>
    <row r="9" ht="60" customHeight="1">
      <c r="A9" s="31" t="inlineStr">
        <is>
          <t>L1-RES-04</t>
        </is>
      </c>
      <c r="B9" s="37" t="inlineStr">
        <is>
          <t>BVA-Max+1</t>
        </is>
      </c>
      <c r="C9" s="32" t="inlineStr">
        <is>
          <t>Giữ vượt tồn khả dụng 1 đơn vị -&gt; từ chối toàn bộ</t>
        </is>
      </c>
      <c r="D9" s="32" t="inlineStr">
        <is>
          <t>FT-05 NAC-01; BV-01; BR-032</t>
        </is>
      </c>
      <c r="E9" s="28" t="inlineStr">
        <is>
          <t>P1</t>
        </is>
      </c>
      <c r="F9" s="32" t="inlineStr">
        <is>
          <t>Inventory P1 Available=10</t>
        </is>
      </c>
      <c r="G9" s="32" t="inlineStr">
        <is>
          <t>reservationService.ReserveAsync(new[]{ (P1, 11) })</t>
        </is>
      </c>
      <c r="H9" s="32" t="inlineStr">
        <is>
          <t>Ném Exception (thiếu tồn)
Reserved P1 vẫn = 0; OnHandQuantity = 10; RawAvailable() = 10
KHÔNG assert AvailableQuantity</t>
        </is>
      </c>
      <c r="I9" s="35" t="inlineStr">
        <is>
          <t>Yes</t>
        </is>
      </c>
      <c r="J9" s="43" t="inlineStr">
        <is>
          <t>Pass</t>
        </is>
      </c>
      <c r="K9" s="32" t="n"/>
      <c r="L9" s="46" t="inlineStr">
        <is>
          <t>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      </is>
      </c>
      <c r="M9" s="43" t="inlineStr">
        <is>
          <t>✅ Pass (không đổi)</t>
        </is>
      </c>
    </row>
    <row r="10" ht="46.5" customHeight="1">
      <c r="A10" s="26" t="inlineStr">
        <is>
          <t>L1-RES-05</t>
        </is>
      </c>
      <c r="B10" s="37" t="inlineStr">
        <is>
          <t>Atomicity</t>
        </is>
      </c>
      <c r="C10" s="27" t="inlineStr">
        <is>
          <t>Nhiều dòng, 1 dòng thiếu hàng -&gt; rollback toàn bộ</t>
        </is>
      </c>
      <c r="D10" s="27" t="inlineStr">
        <is>
          <t>FT-05 NAC-01; BR-032</t>
        </is>
      </c>
      <c r="E10" s="28" t="inlineStr">
        <is>
          <t>P1</t>
        </is>
      </c>
      <c r="F10" s="27" t="inlineStr">
        <is>
          <t>Inventory P1 Available=10, P2 Available=1</t>
        </is>
      </c>
      <c r="G10" s="27" t="inlineStr">
        <is>
          <t>reservationService.ReserveAsync(new[]{ (P1,4), (P2,2) })</t>
        </is>
      </c>
      <c r="H10" s="27" t="inlineStr">
        <is>
          <t>Ném Exception
P1 KHÔNG bị giữ 4 — toàn bộ lệnh rollback trong 1 transaction</t>
        </is>
      </c>
      <c r="I10" s="29" t="inlineStr">
        <is>
          <t>Yes</t>
        </is>
      </c>
      <c r="J10" s="43" t="inlineStr">
        <is>
          <t>Pass</t>
        </is>
      </c>
      <c r="K10" s="27" t="n"/>
      <c r="L10" s="45" t="n"/>
      <c r="M10" s="43" t="inlineStr">
        <is>
          <t>✅ Pass (không đổi)</t>
        </is>
      </c>
    </row>
    <row r="11" ht="46.5" customHeight="1">
      <c r="A11" s="31" t="inlineStr">
        <is>
          <t>L1-RES-06</t>
        </is>
      </c>
      <c r="B11" s="37" t="inlineStr">
        <is>
          <t>Concurrency</t>
        </is>
      </c>
      <c r="C11" s="32" t="inlineStr">
        <is>
          <t>Hai đơn cùng giữ 10 sản phẩm cuối -&gt; đúng 1 đơn thành công</t>
        </is>
      </c>
      <c r="D11" s="32" t="inlineStr">
        <is>
          <t>FT-05 NAC-01; NFR-A05; NFR-D01</t>
        </is>
      </c>
      <c r="E11" s="28" t="inlineStr">
        <is>
          <t>P1</t>
        </is>
      </c>
      <c r="F11" s="32" t="inlineStr">
        <is>
          <t>Inventory P1 Available=10; hai luồng song song dùng TaskCompletionSource làm barrier</t>
        </is>
      </c>
      <c r="G11" s="32" t="inlineStr">
        <is>
          <t>Task.WhenAll( ReserveAsync(new[]{(P1,10)}), ReserveAsync(new[]{(P1,10)}) )</t>
        </is>
      </c>
      <c r="H11" s="32" t="inlineStr">
        <is>
          <t>Đúng 1 luồng thành công, 1 luồng ném Exception
OnHandQuantity = 10, Reserved = 10, RawAvailable() = 0 và KHÔNG ÂM</t>
        </is>
      </c>
      <c r="I11" s="32" t="inlineStr">
        <is>
          <t>No</t>
        </is>
      </c>
      <c r="J11" s="43" t="inlineStr">
        <is>
          <t>Pass</t>
        </is>
      </c>
      <c r="K11" s="32" t="n"/>
      <c r="L11" s="46" t="inlineStr">
        <is>
          <t>⚠ KHÔNG THAY THẾ ĐƯỢC L2: chạy in-memory nên ghi bị serialise. Bằng chứng thật cho NFR-A05/D01 là L2-FUL-08 (Pass 5/5 vòng trên SQL Server thật).  |  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      </is>
      </c>
      <c r="M11" s="43" t="inlineStr">
        <is>
          <t>✅ Pass (không đổi)</t>
        </is>
      </c>
    </row>
    <row r="12" ht="18" customHeight="1">
      <c r="A12" s="50" t="inlineStr">
        <is>
          <t xml:space="preserve">  ▶  Block: AllocateAsync() / ReleaseReservedAsync() / ReleaseAllocatedAsync()  |  BR-033</t>
        </is>
      </c>
    </row>
    <row r="13" ht="46.5" customHeight="1">
      <c r="A13" s="26" t="inlineStr">
        <is>
          <t>L1-RES-07</t>
        </is>
      </c>
      <c r="B13" s="37" t="inlineStr">
        <is>
          <t>EP-Valid</t>
        </is>
      </c>
      <c r="C13" s="27" t="inlineStr">
        <is>
          <t>Chuyển Reserved -&gt; Allocated nguyên tử</t>
        </is>
      </c>
      <c r="D13" s="27" t="inlineStr">
        <is>
          <t>FT-03 AC-02; FT-05 AC-02</t>
        </is>
      </c>
      <c r="E13" s="28" t="inlineStr">
        <is>
          <t>P1</t>
        </is>
      </c>
      <c r="F13" s="27" t="inlineStr">
        <is>
          <t>Inventory P1: Reserved=3, Allocated=0</t>
        </is>
      </c>
      <c r="G13" s="27" t="inlineStr">
        <is>
          <t>reservationService.AllocateAsync(new[]{ (P1, 3) })</t>
        </is>
      </c>
      <c r="H13" s="27" t="inlineStr">
        <is>
          <t>Reserved=0; Allocated=3; OnHand không đổi
AvailableQuantity không đổi (cả 2 đều trừ vào Available)</t>
        </is>
      </c>
      <c r="I13" s="27" t="inlineStr">
        <is>
          <t>No</t>
        </is>
      </c>
      <c r="J13" s="43" t="inlineStr">
        <is>
          <t>Pass</t>
        </is>
      </c>
      <c r="K13" s="27" t="n"/>
      <c r="L13" s="45" t="n"/>
      <c r="M13" s="43" t="inlineStr">
        <is>
          <t>✅ Pass (không đổi)</t>
        </is>
      </c>
    </row>
    <row r="14" ht="46.5" customHeight="1">
      <c r="A14" s="31" t="inlineStr">
        <is>
          <t>L1-RES-08</t>
        </is>
      </c>
      <c r="B14" s="37" t="inlineStr">
        <is>
          <t>EP-Valid</t>
        </is>
      </c>
      <c r="C14" s="32" t="inlineStr">
        <is>
          <t>Hết hạn giữ chỉ giải phóng phần RESERVED, KHÔNG đụng ALLOCATED</t>
        </is>
      </c>
      <c r="D14" s="32" t="inlineStr">
        <is>
          <t>BR-033; FT-05 AC-02</t>
        </is>
      </c>
      <c r="E14" s="28" t="inlineStr">
        <is>
          <t>P1</t>
        </is>
      </c>
      <c r="F14" s="32" t="inlineStr">
        <is>
          <t>Inventory P1: Reserved=3, Available=7</t>
        </is>
      </c>
      <c r="G14" s="32" t="inlineStr">
        <is>
          <t>reservationService.ReleaseReservedAsync(new[]{ (P1, 3) })</t>
        </is>
      </c>
      <c r="H14" s="32" t="inlineStr">
        <is>
          <t>Reserved=0; Available=10
KHÔNG đụng tới AllocatedQuantity</t>
        </is>
      </c>
      <c r="I14" s="32" t="inlineStr">
        <is>
          <t>No</t>
        </is>
      </c>
      <c r="J14" s="43" t="inlineStr">
        <is>
          <t>Pass</t>
        </is>
      </c>
      <c r="K14" s="32" t="n"/>
      <c r="L14" s="46" t="n"/>
      <c r="M14" s="43" t="inlineStr">
        <is>
          <t>✅ Pass (không đổi)</t>
        </is>
      </c>
    </row>
    <row r="15" ht="46.5" customHeight="1">
      <c r="A15" s="26" t="inlineStr">
        <is>
          <t>L1-RES-09</t>
        </is>
      </c>
      <c r="B15" s="37" t="inlineStr">
        <is>
          <t>State-Invalid</t>
        </is>
      </c>
      <c r="C15" s="27" t="inlineStr">
        <is>
          <t>Giải phóng reservation đã chuyển allocated -&gt; từ chối</t>
        </is>
      </c>
      <c r="D15" s="27" t="inlineStr">
        <is>
          <t>BR-033; FT-03 BV-03</t>
        </is>
      </c>
      <c r="E15" s="28" t="inlineStr">
        <is>
          <t>P1</t>
        </is>
      </c>
      <c r="F15" s="27" t="inlineStr">
        <is>
          <t>Inventory P1: Reserved=1 (ít hơn số muốn trả)</t>
        </is>
      </c>
      <c r="G15" s="27" t="inlineStr">
        <is>
          <t>reservationService.ReleaseReservedAsync(new[]{ (P1, 3) })</t>
        </is>
      </c>
      <c r="H15" s="27" t="inlineStr">
        <is>
          <t>Ném Exception hoặc chặn; Reserved không xuống dưới 0
Assert trực tiếp giá trị Reserved, không suy ra qua AvailableQuantity</t>
        </is>
      </c>
      <c r="I15" s="29" t="inlineStr">
        <is>
          <t>Yes</t>
        </is>
      </c>
      <c r="J15" s="43" t="inlineStr">
        <is>
          <t>Pass</t>
        </is>
      </c>
      <c r="K15" s="27" t="n"/>
      <c r="L15" s="45" t="inlineStr">
        <is>
          <t>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      </is>
      </c>
      <c r="M15" s="43" t="inlineStr">
        <is>
          <t>✅ Pass (không đổi)</t>
        </is>
      </c>
    </row>
    <row r="16" ht="33.75" customHeight="1">
      <c r="A16" s="31" t="inlineStr">
        <is>
          <t>L1-RES-10</t>
        </is>
      </c>
      <c r="B16" s="37" t="inlineStr">
        <is>
          <t>EP-Valid</t>
        </is>
      </c>
      <c r="C16" s="32" t="inlineStr">
        <is>
          <t>ReleaseAllocated khi huỷ đơn -&gt; trả hàng về khả dụng</t>
        </is>
      </c>
      <c r="D16" s="32" t="inlineStr">
        <is>
          <t>FT-08 AC-01; BR-032</t>
        </is>
      </c>
      <c r="E16" s="28" t="inlineStr">
        <is>
          <t>P1</t>
        </is>
      </c>
      <c r="F16" s="32" t="inlineStr">
        <is>
          <t>Inventory P1: Allocated=3, Available=7</t>
        </is>
      </c>
      <c r="G16" s="32" t="inlineStr">
        <is>
          <t>reservationService.ReleaseAllocatedAsync(new[]{ (P1, 3) })</t>
        </is>
      </c>
      <c r="H16" s="32" t="inlineStr">
        <is>
          <t>Allocated=0; Available=10; Reserved không đổi</t>
        </is>
      </c>
      <c r="I16" s="32" t="inlineStr">
        <is>
          <t>No</t>
        </is>
      </c>
      <c r="J16" s="43" t="inlineStr">
        <is>
          <t>Pass</t>
        </is>
      </c>
      <c r="K16" s="32" t="n"/>
      <c r="L16" s="46" t="n"/>
      <c r="M16" s="43" t="inlineStr">
        <is>
          <t>✅ Pass (không đổi)</t>
        </is>
      </c>
    </row>
    <row r="17" ht="18" customHeight="1">
      <c r="A17" s="50" t="inlineStr">
        <is>
          <t xml:space="preserve">  ▶  Block: DeductOnHandAsync()  |  BR-032; NFR-A05</t>
        </is>
      </c>
    </row>
    <row r="18" ht="46.5" customHeight="1">
      <c r="A18" s="26" t="inlineStr">
        <is>
          <t>L1-RES-11</t>
        </is>
      </c>
      <c r="B18" s="37" t="inlineStr">
        <is>
          <t>EP-Valid</t>
        </is>
      </c>
      <c r="C18" s="27" t="inlineStr">
        <is>
          <t>Trừ tồn thực khi xuất kho -&gt; OnHand giảm, Allocated giảm</t>
        </is>
      </c>
      <c r="D18" s="27" t="inlineStr">
        <is>
          <t>FT-05 AC-05; BR-032</t>
        </is>
      </c>
      <c r="E18" s="28" t="inlineStr">
        <is>
          <t>P1</t>
        </is>
      </c>
      <c r="F18" s="27" t="inlineStr">
        <is>
          <t>Inventory P1: OnHand=10, Reserved=0, Allocated=0 (bán tại quầy, KHÔNG qua Reserve/Allocate)</t>
        </is>
      </c>
      <c r="G18" s="27" t="inlineStr">
        <is>
          <t>reservationService.DeductOnHandAsync(new[]{ (P1, 3) })</t>
        </is>
      </c>
      <c r="H18" s="27" t="inlineStr">
        <is>
          <t>OnHand=7; Reserved/Allocated không đổi
AvailableQuantity=7</t>
        </is>
      </c>
      <c r="I18" s="27" t="inlineStr">
        <is>
          <t>No</t>
        </is>
      </c>
      <c r="J18" s="43" t="inlineStr">
        <is>
          <t>Pass</t>
        </is>
      </c>
      <c r="K18" s="27" t="n"/>
      <c r="L18" s="45" t="n"/>
      <c r="M18" s="43" t="inlineStr">
        <is>
          <t>✅ Pass (không đổi)</t>
        </is>
      </c>
    </row>
    <row r="19" ht="46.5" customHeight="1">
      <c r="A19" s="31" t="inlineStr">
        <is>
          <t>L1-RES-12</t>
        </is>
      </c>
      <c r="B19" s="37" t="inlineStr">
        <is>
          <t>BVA-Min-1</t>
        </is>
      </c>
      <c r="C19" s="32" t="inlineStr">
        <is>
          <t>Trừ tồn làm OnHand âm -&gt; chặn</t>
        </is>
      </c>
      <c r="D19" s="32" t="inlineStr">
        <is>
          <t>FT-05 NAC-01; BV-01; BR-032</t>
        </is>
      </c>
      <c r="E19" s="28" t="inlineStr">
        <is>
          <t>P1</t>
        </is>
      </c>
      <c r="F19" s="32" t="inlineStr">
        <is>
          <t>Inventory P1: OnHand=2</t>
        </is>
      </c>
      <c r="G19" s="32" t="inlineStr">
        <is>
          <t>reservationService.DeductOnHandAsync(new[]{ (P1, 3) })</t>
        </is>
      </c>
      <c r="H19" s="32" t="inlineStr">
        <is>
          <t>Ném Exception; OnHandQuantity vẫn = 2 (guarded UPDATE chặn tại DB)
RawAvailable() không âm</t>
        </is>
      </c>
      <c r="I19" s="35" t="inlineStr">
        <is>
          <t>Yes</t>
        </is>
      </c>
      <c r="J19" s="43" t="inlineStr">
        <is>
          <t>Pass</t>
        </is>
      </c>
      <c r="K19" s="32" t="n"/>
      <c r="L19" s="46" t="inlineStr">
        <is>
          <t>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      </is>
      </c>
      <c r="M19" s="43" t="inlineStr">
        <is>
          <t>✅ Pass (không đổi)</t>
        </is>
      </c>
    </row>
    <row r="20" ht="46.5" customHeight="1">
      <c r="A20" s="26" t="inlineStr">
        <is>
          <t>L1-RES-13</t>
        </is>
      </c>
      <c r="B20" s="37" t="inlineStr">
        <is>
          <t>Idempotency</t>
        </is>
      </c>
      <c r="C20" s="27" t="inlineStr">
        <is>
          <t>Gọi trừ tồn lần 2 cho cùng đơn -&gt; không trừ kép</t>
        </is>
      </c>
      <c r="D20" s="27" t="inlineStr">
        <is>
          <t>BR-029; BR-032</t>
        </is>
      </c>
      <c r="E20" s="28" t="inlineStr">
        <is>
          <t>P1</t>
        </is>
      </c>
      <c r="F20" s="27" t="inlineStr">
        <is>
          <t>Inventory P1: OnHand=10</t>
        </is>
      </c>
      <c r="G20" s="27" t="inlineStr">
        <is>
          <t>Gọi DeductOnHandAsync(new[]{(P1,3)}) HAI lần liên tiếp</t>
        </is>
      </c>
      <c r="H20" s="27" t="inlineStr">
        <is>
          <t>OnHand = 4 — service KHÔNG tự idempotent (đúng thiết kế)
=&gt; Idempotency phải do tầng gọi (OrderService) đảm bảo bằng business key</t>
        </is>
      </c>
      <c r="I20" s="29" t="inlineStr">
        <is>
          <t>Yes</t>
        </is>
      </c>
      <c r="J20" s="43" t="inlineStr">
        <is>
          <t>Pass</t>
        </is>
      </c>
      <c r="K20" s="27" t="n"/>
      <c r="L20" s="45" t="n"/>
      <c r="M20" s="43" t="inlineStr">
        <is>
          <t>✅ Pass (không đổi)</t>
        </is>
      </c>
    </row>
    <row r="21" ht="15" customHeight="1">
      <c r="A21" s="52" t="inlineStr">
        <is>
          <t xml:space="preserve">  ▶  Template Row — copy khi thêm case mới</t>
        </is>
      </c>
    </row>
    <row r="22" ht="53.25" customHeight="1">
      <c r="A22" s="43" t="inlineStr">
        <is>
          <t>L1-XX-[NN]</t>
        </is>
      </c>
      <c r="B22" s="43" t="inlineStr">
        <is>
          <t>[BC-TRUE | BC-FALSE | CC | EP-Valid | EP-Invalid | BVA-* | State-* | Guard-* | Concurrency | Idempotency | Atomicity]</t>
        </is>
      </c>
      <c r="C22" s="43" t="inlineStr">
        <is>
          <t>[Branch / condition / partition]</t>
        </is>
      </c>
      <c r="D22" s="43" t="inlineStr">
        <is>
          <t>[FT-xx AC/NAC/BV-xx; BR-xxx; NFR-xxx]</t>
        </is>
      </c>
      <c r="E22" s="43" t="inlineStr">
        <is>
          <t>P2</t>
        </is>
      </c>
      <c r="F22" s="43" t="inlineStr">
        <is>
          <t>[Arrange: state + _mock.Setup(...)]</t>
        </is>
      </c>
      <c r="G22" s="43" t="inlineStr">
        <is>
          <t>service.Method(params)</t>
        </is>
      </c>
      <c r="H22" s="43" t="inlineStr">
        <is>
          <t>[result.Should().Be(...) / Throws / _mock.Verify(..., Times.Never)]</t>
        </is>
      </c>
      <c r="I22" s="43" t="inlineStr">
        <is>
          <t>No</t>
        </is>
      </c>
      <c r="J22" s="43" t="inlineStr">
        <is>
          <t>Not Run</t>
        </is>
      </c>
      <c r="K22" s="43" t="n"/>
      <c r="L22" s="43" t="n"/>
    </row>
    <row r="23" ht="15.75" customHeight="1"/>
    <row r="24" ht="15" customHeight="1">
      <c r="A24" s="50" t="inlineStr">
        <is>
          <t xml:space="preserve">  ▶  Block: ⊕ v2.2 — Công thức AvailableQuantity  |  BR-032; FT-05 BV-01</t>
        </is>
      </c>
    </row>
    <row r="25" ht="60" customHeight="1">
      <c r="A25" s="26" t="inlineStr">
        <is>
          <t>L1-RES-14</t>
        </is>
      </c>
      <c r="B25" s="37" t="inlineStr">
        <is>
          <t>BVA-Min</t>
        </is>
      </c>
      <c r="C25" s="27" t="inlineStr">
        <is>
          <t>Available = OnHand - Reserved - Allocated - Damaged - Quarantine, sàn tại 0</t>
        </is>
      </c>
      <c r="D25" s="27" t="inlineStr">
        <is>
          <t>FT-05 BV-01; BR-032</t>
        </is>
      </c>
      <c r="E25" s="28" t="inlineStr">
        <is>
          <t>P1</t>
        </is>
      </c>
      <c r="F25" s="27" t="inlineStr">
        <is>
          <t>Inventory P1: OnHand=10, Reserved=3, Allocated=2, Damaged=1, Quarantine=1</t>
        </is>
      </c>
      <c r="G25" s="27" t="inlineStr">
        <is>
          <t>Đọc thuộc tính tính toán inventory.AvailableQuantity</t>
        </is>
      </c>
      <c r="H25" s="27" t="inlineStr">
        <is>
          <t>RawAvailable() = 10-3-2-1-1 = 3
[Theory] khi tổng trừ VƯỢT OnHand: RawAvailable() ÂM (dấu hiệu oversell cần phát hiện) trong khi AvailableQuantity vẫn trả 0 do Math.Max
=&gt; chính là lý do KHÔNG được assert trên AvailableQuantity</t>
        </is>
      </c>
      <c r="I25" s="27" t="inlineStr">
        <is>
          <t>No</t>
        </is>
      </c>
      <c r="J25" s="43" t="inlineStr">
        <is>
          <t>Pass</t>
        </is>
      </c>
      <c r="K25" s="27" t="n"/>
      <c r="L25" s="45" t="inlineStr">
        <is>
          <t>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      </is>
      </c>
      <c r="M25" s="43" t="inlineStr">
        <is>
          <t>✅ Pass (không đổi)</t>
        </is>
      </c>
    </row>
    <row r="26" ht="33.75" customHeight="1">
      <c r="A26" s="31" t="inlineStr">
        <is>
          <t>L1-RES-15</t>
        </is>
      </c>
      <c r="B26" s="37" t="inlineStr">
        <is>
          <t>EP-Valid</t>
        </is>
      </c>
      <c r="C26" s="32" t="inlineStr">
        <is>
          <t>Hàng cách ly và hàng hỏng bị loại khỏi tồn bán được</t>
        </is>
      </c>
      <c r="D26" s="32" t="inlineStr">
        <is>
          <t>FT-08 AC-05; BR-019; BR-032</t>
        </is>
      </c>
      <c r="E26" s="28" t="inlineStr">
        <is>
          <t>P1</t>
        </is>
      </c>
      <c r="F26" s="32" t="inlineStr">
        <is>
          <t>Inventory P1: OnHand=10, Quarantine=4 (hàng trả về chờ kiểm định)</t>
        </is>
      </c>
      <c r="G26" s="32" t="inlineStr">
        <is>
          <t>Đọc inventory.AvailableQuantity</t>
        </is>
      </c>
      <c r="H26" s="32" t="inlineStr">
        <is>
          <t>RawAvailable() = 10-0-0-0-4 = 6 — hàng cách ly KHÔNG bán được (FT-08)</t>
        </is>
      </c>
      <c r="I26" s="32" t="inlineStr">
        <is>
          <t>No</t>
        </is>
      </c>
      <c r="J26" s="43" t="inlineStr">
        <is>
          <t>Pass</t>
        </is>
      </c>
      <c r="K26" s="32" t="n"/>
      <c r="L26" s="46" t="inlineStr">
        <is>
          <t>🟠 BẪY ASSERTION: Inventory.AvailableQuantity (Inventory.cs:24) bọc Math.Max(0, ...) nên assert "không âm" LUÔN XANH kể cả khi đã oversell. Phải assert OnHandQuantity VÀ biểu thức thô RawAvailable() (= OnHand - Reserved - Allocated - Damaged - Quarantine, CHƯA kẹp).</t>
        </is>
      </c>
      <c r="M26" s="43" t="inlineStr">
        <is>
          <t>✅ Pass (không đổi)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4:L24"/>
    <mergeCell ref="A2:L2"/>
    <mergeCell ref="A1:L1"/>
    <mergeCell ref="A5:L5"/>
    <mergeCell ref="A17:L17"/>
    <mergeCell ref="A21:L21"/>
    <mergeCell ref="A12:L12"/>
  </mergeCells>
  <dataValidations count="2">
    <dataValidation sqref="E6:E11 E13:E16 E18:E20 E22 E25:E26" showDropDown="0" showInputMessage="0" showErrorMessage="0" allowBlank="1" type="list">
      <formula1>"P1,P2,P3"</formula1>
      <formula2>0</formula2>
    </dataValidation>
    <dataValidation sqref="J6:J11 J13:J16 J18:J20 J22 J25:J26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DiscountTierService  |  MỚI v2.1  |  methods: GetAll, GetById, Create, Update, GetApplicableDiscountPercent  |  FT-02; BR-006; BR-050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GetApplicableDiscountPercentAsync()  |  FT-02 AC-01; BV-01; BR-006</t>
        </is>
      </c>
    </row>
    <row r="6" ht="30" customHeight="1">
      <c r="A6" s="26" t="inlineStr">
        <is>
          <t>L1-DT-01</t>
        </is>
      </c>
      <c r="B6" s="37" t="inlineStr">
        <is>
          <t>BVA-Max</t>
        </is>
      </c>
      <c r="C6" s="27" t="inlineStr">
        <is>
          <t>Tổng 9.999.999đ -&gt; 0% (giá niêm yết)</t>
        </is>
      </c>
      <c r="D6" s="27" t="inlineStr">
        <is>
          <t>FT-02 AC-01; BV-01; BR-006</t>
        </is>
      </c>
      <c r="E6" s="28" t="inlineStr">
        <is>
          <t>P1</t>
        </is>
      </c>
      <c r="F6" s="27" t="inlineStr">
        <is>
          <t>Bảng bậc chiết khấu đã seed</t>
        </is>
      </c>
      <c r="G6" s="27" t="inlineStr">
        <is>
          <t>discountTierService.GetApplicableDiscountPercentAsync(9_999_999)</t>
        </is>
      </c>
      <c r="H6" s="27" t="inlineStr">
        <is>
          <t>Trả 0% — dưới ngưỡng bậc đầu tiên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L1-DT-02</t>
        </is>
      </c>
      <c r="B7" s="37" t="inlineStr">
        <is>
          <t>BVA-Min</t>
        </is>
      </c>
      <c r="C7" s="32" t="inlineStr">
        <is>
          <t>Tổng đúng 10.000.000đ -&gt; áp bậc đầu tiên</t>
        </is>
      </c>
      <c r="D7" s="32" t="inlineStr">
        <is>
          <t>FT-02 AC-01; BV-01; BR-006</t>
        </is>
      </c>
      <c r="E7" s="28" t="inlineStr">
        <is>
          <t>P1</t>
        </is>
      </c>
      <c r="F7" s="32" t="inlineStr">
        <is>
          <t>Bậc 1 bắt đầu từ 10.000.000đ</t>
        </is>
      </c>
      <c r="G7" s="32" t="inlineStr">
        <is>
          <t>discountTierService.GetApplicableDiscountPercentAsync(10_000_000)</t>
        </is>
      </c>
      <c r="H7" s="32" t="inlineStr">
        <is>
          <t>Trả đúng % của bậc 1 (không phải 0%)</t>
        </is>
      </c>
      <c r="I7" s="32" t="inlineStr">
        <is>
          <t>No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0" customHeight="1">
      <c r="A8" s="26" t="inlineStr">
        <is>
          <t>L1-DT-03</t>
        </is>
      </c>
      <c r="B8" s="37" t="inlineStr">
        <is>
          <t>BVA-Max</t>
        </is>
      </c>
      <c r="C8" s="27" t="inlineStr">
        <is>
          <t>Tổng 99.999.999đ -&gt; vẫn trong dải chiết khấu tự động</t>
        </is>
      </c>
      <c r="D8" s="27" t="inlineStr">
        <is>
          <t>FT-02 BV-01; BR-006</t>
        </is>
      </c>
      <c r="E8" s="28" t="inlineStr">
        <is>
          <t>P1</t>
        </is>
      </c>
      <c r="F8" s="27" t="inlineStr">
        <is>
          <t>Bảng bậc seed đầy đủ</t>
        </is>
      </c>
      <c r="G8" s="27" t="inlineStr">
        <is>
          <t>discountTierService.GetApplicableDiscountPercentAsync(99_999_999)</t>
        </is>
      </c>
      <c r="H8" s="27" t="inlineStr">
        <is>
          <t>Trả % của bậc cao nhất &lt; 100M; không rơi vào luồng báo giá</t>
        </is>
      </c>
      <c r="I8" s="27" t="inlineStr">
        <is>
          <t>No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30" customHeight="1">
      <c r="A9" s="31" t="inlineStr">
        <is>
          <t>L1-DT-04</t>
        </is>
      </c>
      <c r="B9" s="37" t="inlineStr">
        <is>
          <t>BVA-Min</t>
        </is>
      </c>
      <c r="C9" s="32" t="inlineStr">
        <is>
          <t>Tổng đúng 100.000.000đ -&gt; KHÔNG áp chiết khấu tự động</t>
        </is>
      </c>
      <c r="D9" s="32" t="inlineStr">
        <is>
          <t>FT-02 AC-01; BV-01; BR-026</t>
        </is>
      </c>
      <c r="E9" s="28" t="inlineStr">
        <is>
          <t>P1</t>
        </is>
      </c>
      <c r="F9" s="32" t="inlineStr">
        <is>
          <t>Ngưỡng báo giá = 100.000.000đ</t>
        </is>
      </c>
      <c r="G9" s="32" t="inlineStr">
        <is>
          <t>discountTierService.GetApplicableDiscountPercentAsync(100_000_000)</t>
        </is>
      </c>
      <c r="H9" s="32" t="inlineStr">
        <is>
          <t>Trả 0% / báo cần báo giá — không tự áp bậc</t>
        </is>
      </c>
      <c r="I9" s="32" t="inlineStr">
        <is>
          <t>No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30" customHeight="1">
      <c r="A10" s="26" t="inlineStr">
        <is>
          <t>L1-DT-05</t>
        </is>
      </c>
      <c r="B10" s="37" t="inlineStr">
        <is>
          <t>BVA-Min-1</t>
        </is>
      </c>
      <c r="C10" s="27" t="inlineStr">
        <is>
          <t>Tổng âm hoặc 0 -&gt; 0%, không lỗi</t>
        </is>
      </c>
      <c r="D10" s="27" t="inlineStr">
        <is>
          <t>FT-02 BV-01</t>
        </is>
      </c>
      <c r="E10" s="34" t="inlineStr">
        <is>
          <t>P2</t>
        </is>
      </c>
      <c r="F10" s="27" t="inlineStr">
        <is>
          <t>[Theory] subtotal = -1 và 0</t>
        </is>
      </c>
      <c r="G10" s="27" t="inlineStr">
        <is>
          <t>discountTierService.GetApplicableDiscountPercentAsync(x)</t>
        </is>
      </c>
      <c r="H10" s="27" t="inlineStr">
        <is>
          <t>Trả 0%; không ném lỗi hạ tầng</t>
        </is>
      </c>
      <c r="I10" s="27" t="inlineStr">
        <is>
          <t>No</t>
        </is>
      </c>
      <c r="J10" s="43" t="inlineStr">
        <is>
          <t>Pass</t>
        </is>
      </c>
      <c r="K10" s="27" t="n"/>
      <c r="L10" s="45" t="n"/>
      <c r="M10" s="43" t="inlineStr">
        <is>
          <t>✅ Pass (không đổi)</t>
        </is>
      </c>
    </row>
    <row r="11" ht="30" customHeight="1">
      <c r="A11" s="31" t="inlineStr">
        <is>
          <t>L1-DT-06</t>
        </is>
      </c>
      <c r="B11" s="37" t="inlineStr">
        <is>
          <t>EP-Valid</t>
        </is>
      </c>
      <c r="C11" s="32" t="inlineStr">
        <is>
          <t>Chỉ dùng bậc đang hiệu lực tại thời điểm tính</t>
        </is>
      </c>
      <c r="D11" s="32" t="inlineStr">
        <is>
          <t>BR-050; FT-09 AC-03</t>
        </is>
      </c>
      <c r="E11" s="28" t="inlineStr">
        <is>
          <t>P1</t>
        </is>
      </c>
      <c r="F11" s="32" t="inlineStr">
        <is>
          <t>Bậc cũ hết hiệu lực hôm qua, bậc mới hiệu lực hôm nay</t>
        </is>
      </c>
      <c r="G11" s="32" t="inlineStr">
        <is>
          <t>discountTierService.GetApplicableDiscountPercentAsync(15_000_000)</t>
        </is>
      </c>
      <c r="H11" s="32" t="inlineStr">
        <is>
          <t>Áp bậc MỚI; bậc hết hiệu lực bị bỏ qua</t>
        </is>
      </c>
      <c r="I11" s="32" t="inlineStr">
        <is>
          <t>No</t>
        </is>
      </c>
      <c r="J11" s="43" t="inlineStr">
        <is>
          <t>Pass</t>
        </is>
      </c>
      <c r="K11" s="32" t="n"/>
      <c r="L11" s="46" t="n"/>
      <c r="M11" s="43" t="inlineStr">
        <is>
          <t>✅ Pass (không đổi)</t>
        </is>
      </c>
    </row>
    <row r="12" ht="18" customHeight="1">
      <c r="A12" s="50" t="inlineStr">
        <is>
          <t xml:space="preserve">  ▶  Block: CRUD  |  BR-050; FT-09 AC-03</t>
        </is>
      </c>
    </row>
    <row r="13" ht="30" customHeight="1">
      <c r="A13" s="26" t="inlineStr">
        <is>
          <t>L1-DT-07</t>
        </is>
      </c>
      <c r="B13" s="37" t="inlineStr">
        <is>
          <t>EP-Invalid</t>
        </is>
      </c>
      <c r="C13" s="27" t="inlineStr">
        <is>
          <t>Tạo bậc chồng lấn khoảng giá trị -&gt; từ chối</t>
        </is>
      </c>
      <c r="D13" s="27" t="inlineStr">
        <is>
          <t>BR-006; BR-050</t>
        </is>
      </c>
      <c r="E13" s="28" t="inlineStr">
        <is>
          <t>P1</t>
        </is>
      </c>
      <c r="F13" s="27" t="inlineStr">
        <is>
          <t>Đã có bậc 10.000.000–49.999.999</t>
        </is>
      </c>
      <c r="G13" s="27" t="inlineStr">
        <is>
          <t>discountTierService.CreateAsync(dto{from:30_000_000, to:60_000_000})</t>
        </is>
      </c>
      <c r="H13" s="27" t="inlineStr">
        <is>
          <t>Từ chối vì chồng lấn; bảng bậc không đổi</t>
        </is>
      </c>
      <c r="I13" s="29" t="inlineStr">
        <is>
          <t>Yes</t>
        </is>
      </c>
      <c r="J13" s="43" t="inlineStr">
        <is>
          <t>Fail</t>
        </is>
      </c>
      <c r="K13" s="27" t="n"/>
      <c r="L13" s="45" t="n"/>
      <c r="M13" s="43" t="inlineStr">
        <is>
          <t>✅ ĐÃ FIX
DiscountTierService.cs:36,114-124 EnsureNoOverlapAsync throw khi khoảng giá trị chồng lấn.</t>
        </is>
      </c>
    </row>
    <row r="14" ht="30" customHeight="1">
      <c r="A14" s="31" t="inlineStr">
        <is>
          <t>L1-DT-08</t>
        </is>
      </c>
      <c r="B14" s="37" t="inlineStr">
        <is>
          <t>EP-Invalid</t>
        </is>
      </c>
      <c r="C14" s="32" t="inlineStr">
        <is>
          <t>Tạo bậc có % ngoài khoảng 0–100 -&gt; từ chối</t>
        </is>
      </c>
      <c r="D14" s="32" t="inlineStr">
        <is>
          <t>BR-006</t>
        </is>
      </c>
      <c r="E14" s="36" t="inlineStr">
        <is>
          <t>P2</t>
        </is>
      </c>
      <c r="F14" s="32" t="inlineStr">
        <is>
          <t>[Theory] percent = -1 và 101</t>
        </is>
      </c>
      <c r="G14" s="32" t="inlineStr">
        <is>
          <t>discountTierService.CreateAsync(dto{percent:x})</t>
        </is>
      </c>
      <c r="H14" s="32" t="inlineStr">
        <is>
          <t>Từ chối validation</t>
        </is>
      </c>
      <c r="I14" s="35" t="inlineStr">
        <is>
          <t>Yes</t>
        </is>
      </c>
      <c r="J14" s="43" t="inlineStr">
        <is>
          <t>Pass</t>
        </is>
      </c>
      <c r="K14" s="32" t="n"/>
      <c r="L14" s="46" t="n"/>
      <c r="M14" s="43" t="inlineStr">
        <is>
          <t>✅ Pass (không đổi)</t>
        </is>
      </c>
    </row>
    <row r="15" ht="30" customHeight="1">
      <c r="A15" s="26" t="inlineStr">
        <is>
          <t>L1-DT-09</t>
        </is>
      </c>
      <c r="B15" s="37" t="inlineStr">
        <is>
          <t>EP-Valid</t>
        </is>
      </c>
      <c r="C15" s="27" t="inlineStr">
        <is>
          <t>Sửa bậc tạo phiên bản hiệu lực mới, không ghi đè lịch sử</t>
        </is>
      </c>
      <c r="D15" s="27" t="inlineStr">
        <is>
          <t>BR-050; FT-09 NAC-04</t>
        </is>
      </c>
      <c r="E15" s="28" t="inlineStr">
        <is>
          <t>P1</t>
        </is>
      </c>
      <c r="F15" s="27" t="inlineStr">
        <is>
          <t>Bậc T1 đang hiệu lực và đã dùng cho đơn cũ</t>
        </is>
      </c>
      <c r="G15" s="27" t="inlineStr">
        <is>
          <t>discountTierService.UpdateAsync(T1, dto)</t>
        </is>
      </c>
      <c r="H15" s="27" t="inlineStr">
        <is>
          <t>Giá trị cũ vẫn tra cứu được; đơn cũ không bị tính lại</t>
        </is>
      </c>
      <c r="I15" s="27" t="inlineStr">
        <is>
          <t>No</t>
        </is>
      </c>
      <c r="J15" s="43" t="inlineStr">
        <is>
          <t>Pass</t>
        </is>
      </c>
      <c r="K15" s="27" t="n"/>
      <c r="L15" s="45" t="n"/>
      <c r="M15" s="43" t="inlineStr">
        <is>
          <t>✅ Pass (không đổi)</t>
        </is>
      </c>
    </row>
    <row r="16" ht="15" customHeight="1">
      <c r="A16" s="52" t="inlineStr">
        <is>
          <t xml:space="preserve">  ▶  Template Row — copy khi thêm case mới</t>
        </is>
      </c>
    </row>
    <row r="17" ht="53.25" customHeight="1">
      <c r="A17" s="43" t="inlineStr">
        <is>
          <t>L1-XX-[NN]</t>
        </is>
      </c>
      <c r="B17" s="43" t="inlineStr">
        <is>
          <t>[BC-TRUE | BC-FALSE | CC | EP-Valid | EP-Invalid | BVA-* | State-* | Guard-* | Concurrency | Idempotency | Atomicity]</t>
        </is>
      </c>
      <c r="C17" s="43" t="inlineStr">
        <is>
          <t>[Branch / condition / partition]</t>
        </is>
      </c>
      <c r="D17" s="43" t="inlineStr">
        <is>
          <t>[FT-xx AC/NAC/BV-xx; BR-xxx; NFR-xxx]</t>
        </is>
      </c>
      <c r="E17" s="43" t="inlineStr">
        <is>
          <t>P2</t>
        </is>
      </c>
      <c r="F17" s="43" t="inlineStr">
        <is>
          <t>[Arrange: state + _mock.Setup(...)]</t>
        </is>
      </c>
      <c r="G17" s="43" t="inlineStr">
        <is>
          <t>service.Method(params)</t>
        </is>
      </c>
      <c r="H17" s="43" t="inlineStr">
        <is>
          <t>[result.Should().Be(...) / Throws / _mock.Verify(..., Times.Never)]</t>
        </is>
      </c>
      <c r="I17" s="43" t="inlineStr">
        <is>
          <t>No</t>
        </is>
      </c>
      <c r="J17" s="43" t="inlineStr">
        <is>
          <t>Not Run</t>
        </is>
      </c>
      <c r="K17" s="43" t="n"/>
      <c r="L17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6:L16"/>
    <mergeCell ref="A1:L1"/>
    <mergeCell ref="A5:L5"/>
    <mergeCell ref="A12:L12"/>
  </mergeCells>
  <dataValidations count="2">
    <dataValidation sqref="E6:E11 E13:E15 E17" showDropDown="0" showInputMessage="0" showErrorMessage="0" allowBlank="1" type="list">
      <formula1>"P1,P2,P3"</formula1>
      <formula2>0</formula2>
    </dataValidation>
    <dataValidation sqref="J6:J11 J13:J15 J17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SystemConfigService  |  MỚI v2.1  |  methods: GetAllAsync, GetEffectiveValueAsync, GetHistoryAsync, SetValueAsync  |  FT-09; BR-050; BR-022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GetEffectiveValueAsync()  |  FT-09 AC-03; BV-02; BR-050</t>
        </is>
      </c>
    </row>
    <row r="6" ht="46.5" customHeight="1">
      <c r="A6" s="26" t="inlineStr">
        <is>
          <t>L1-CFG-01</t>
        </is>
      </c>
      <c r="B6" s="37" t="inlineStr">
        <is>
          <t>BVA</t>
        </is>
      </c>
      <c r="C6" s="27" t="inlineStr">
        <is>
          <t>Lấy giá trị tại T-1s / T / T+1s quanh thời điểm hiệu lực</t>
        </is>
      </c>
      <c r="D6" s="27" t="inlineStr">
        <is>
          <t>FT-09 BV-02; BR-050</t>
        </is>
      </c>
      <c r="E6" s="28" t="inlineStr">
        <is>
          <t>P1</t>
        </is>
      </c>
      <c r="F6" s="27" t="inlineStr">
        <is>
          <t>Config key 'QUOTATION_MIN_VALUE' có phiên bản mới hiệu lực từ T</t>
        </is>
      </c>
      <c r="G6" s="27" t="inlineStr">
        <is>
          <t>[Theory] systemConfigService.GetEffectiveValueAsync('QUOTATION_MIN_VALUE', asOf: T-1s | T | T+1s)</t>
        </is>
      </c>
      <c r="H6" s="27" t="inlineStr">
        <is>
          <t>T-1s trả giá trị CŨ; T và T+1s trả giá trị MỚI
Kiểu trả về là string? — phải parse trước khi so sánh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46.5" customHeight="1">
      <c r="A7" s="31" t="inlineStr">
        <is>
          <t>L1-CFG-02</t>
        </is>
      </c>
      <c r="B7" s="37" t="inlineStr">
        <is>
          <t>EP-Invalid</t>
        </is>
      </c>
      <c r="C7" s="32" t="inlineStr">
        <is>
          <t>Khoá cấu hình không tồn tại -&gt; trả mặc định / not-found rõ ràng</t>
        </is>
      </c>
      <c r="D7" s="32" t="inlineStr">
        <is>
          <t>FT-09 AC-03</t>
        </is>
      </c>
      <c r="E7" s="36" t="inlineStr">
        <is>
          <t>P2</t>
        </is>
      </c>
      <c r="F7" s="32" t="inlineStr">
        <is>
          <t>Không tồn tại key 'UNKNOWN_KEY'</t>
        </is>
      </c>
      <c r="G7" s="32" t="inlineStr">
        <is>
          <t>systemConfigService.GetEffectiveValueAsync('UNKNOWN_KEY')</t>
        </is>
      </c>
      <c r="H7" s="32" t="inlineStr">
        <is>
          <t>Trả null (kiểu string?) — không ném lỗi hạ tầng
Tầng gọi phải có giá trị mặc định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18" customHeight="1">
      <c r="A8" s="50" t="inlineStr">
        <is>
          <t xml:space="preserve">  ▶  Block: SetValueAsync() / GetHistoryAsync()  |  BR-022; BR-050</t>
        </is>
      </c>
    </row>
    <row r="9" ht="46.5" customHeight="1">
      <c r="A9" s="26" t="inlineStr">
        <is>
          <t>L1-CFG-03</t>
        </is>
      </c>
      <c r="B9" s="37" t="inlineStr">
        <is>
          <t>EP-Valid</t>
        </is>
      </c>
      <c r="C9" s="27" t="inlineStr">
        <is>
          <t>Đổi cấu hình tạo PHIÊN BẢN mới + ghi audit, không ghi đè bản cũ</t>
        </is>
      </c>
      <c r="D9" s="27" t="inlineStr">
        <is>
          <t>FT-09 AC-03; AC-04; BR-050; BR-022</t>
        </is>
      </c>
      <c r="E9" s="28" t="inlineStr">
        <is>
          <t>P1</t>
        </is>
      </c>
      <c r="F9" s="27" t="inlineStr">
        <is>
          <t>Key 'COD_WARNING_MINUTES' đang có giá trị 25</t>
        </is>
      </c>
      <c r="G9" s="27" t="inlineStr">
        <is>
          <t>systemConfigService.SetValueAsync('COD_WARNING_MINUTES', UpdateSystemConfigRequest{Value:'20'}, actorUserId, actorEmail, ipAddress)</t>
        </is>
      </c>
      <c r="H9" s="27" t="inlineStr">
        <is>
          <t>Tạo phiên bản MỚI; GetHistoryAsync('COD_WARNING_MINUTES') trả cả bản 25 và 20
AuditLog ghi actorEmail + ipAddress + before/after</t>
        </is>
      </c>
      <c r="I9" s="27" t="inlineStr">
        <is>
          <t>No</t>
        </is>
      </c>
      <c r="J9" s="43" t="inlineStr">
        <is>
          <t>Pass</t>
        </is>
      </c>
      <c r="K9" s="27" t="n"/>
      <c r="L9" s="45" t="n"/>
      <c r="M9" s="43" t="inlineStr">
        <is>
          <t>✅ Pass (không đổi)</t>
        </is>
      </c>
    </row>
    <row r="10" ht="33.75" customHeight="1">
      <c r="A10" s="31" t="inlineStr">
        <is>
          <t>L1-CFG-04</t>
        </is>
      </c>
      <c r="B10" s="37" t="inlineStr">
        <is>
          <t>EP-Invalid</t>
        </is>
      </c>
      <c r="C10" s="32" t="inlineStr">
        <is>
          <t>Đặt thời điểm hiệu lực vào QUÁ KHỨ để tính lại dữ liệu cũ -&gt; từ chối</t>
        </is>
      </c>
      <c r="D10" s="32" t="inlineStr">
        <is>
          <t>FT-09 NAC-04; BR-050</t>
        </is>
      </c>
      <c r="E10" s="28" t="inlineStr">
        <is>
          <t>P1</t>
        </is>
      </c>
      <c r="F10" s="32" t="inlineStr">
        <is>
          <t>Có giỏ hàng đang giữ giá và đơn đã hoàn tất</t>
        </is>
      </c>
      <c r="G10" s="32" t="inlineStr">
        <is>
          <t>systemConfigService.SetValueAsync('LIST_PRICE_MAX_EXCLUSIVE', request{EffectiveFrom: NOW-1d}, actor...)</t>
        </is>
      </c>
      <c r="H10" s="32" t="inlineStr">
        <is>
          <t>Từ chối thay đổi hồi tố; snapshot giá và đơn cũ không đổi</t>
        </is>
      </c>
      <c r="I10" s="35" t="inlineStr">
        <is>
          <t>Yes</t>
        </is>
      </c>
      <c r="J10" s="43" t="inlineStr">
        <is>
          <t>Fail</t>
        </is>
      </c>
      <c r="K10" s="32" t="n"/>
      <c r="L10" s="46" t="n"/>
      <c r="M10" s="43" t="inlineStr">
        <is>
          <t>✅ ĐÃ FIX
SystemConfigService.cs:95-96 throw nếu EffectiveDate &lt; UtcNow (chặn hồi tố).</t>
        </is>
      </c>
    </row>
    <row r="11" ht="33.75" customHeight="1">
      <c r="A11" s="26" t="inlineStr">
        <is>
          <t>L1-CFG-05</t>
        </is>
      </c>
      <c r="B11" s="37" t="inlineStr">
        <is>
          <t>EP-Invalid</t>
        </is>
      </c>
      <c r="C11" s="27" t="inlineStr">
        <is>
          <t>Ghi audit thất bại -&gt; giao dịch cấu hình KHÔNG hoàn tất</t>
        </is>
      </c>
      <c r="D11" s="27" t="inlineStr">
        <is>
          <t>FT-09 AC-04; BR-022</t>
        </is>
      </c>
      <c r="E11" s="28" t="inlineStr">
        <is>
          <t>P1</t>
        </is>
      </c>
      <c r="F11" s="27" t="inlineStr">
        <is>
          <t>Mock audit ném lỗi khi ghi</t>
        </is>
      </c>
      <c r="G11" s="27" t="inlineStr">
        <is>
          <t>systemConfigService.SetValueAsync('PRICE_LOCK_HOURS', request, actor...)</t>
        </is>
      </c>
      <c r="H11" s="27" t="inlineStr">
        <is>
          <t>Cấu hình KHÔNG được lưu — rollback trọn vẹn</t>
        </is>
      </c>
      <c r="I11" s="29" t="inlineStr">
        <is>
          <t>Yes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33.75" customHeight="1">
      <c r="A12" s="31" t="inlineStr">
        <is>
          <t>L1-CFG-06</t>
        </is>
      </c>
      <c r="B12" s="37" t="inlineStr">
        <is>
          <t>EP-Valid</t>
        </is>
      </c>
      <c r="C12" s="32" t="inlineStr">
        <is>
          <t>Lịch sử trả theo thứ tự thời gian, đủ actor và lý do</t>
        </is>
      </c>
      <c r="D12" s="32" t="inlineStr">
        <is>
          <t>FT-09 AC-04</t>
        </is>
      </c>
      <c r="E12" s="36" t="inlineStr">
        <is>
          <t>P2</t>
        </is>
      </c>
      <c r="F12" s="32" t="inlineStr">
        <is>
          <t>Key 'SEPAY_RESERVATION_MINUTES' đã đổi 3 lần</t>
        </is>
      </c>
      <c r="G12" s="32" t="inlineStr">
        <is>
          <t>systemConfigService.GetHistoryAsync('SEPAY_RESERVATION_MINUTES')</t>
        </is>
      </c>
      <c r="H12" s="32" t="inlineStr">
        <is>
          <t>Trả List&lt;SystemConfigVersionDto&gt; đủ 3 bản, sắp theo thời gian, mỗi bản có actor + giá trị</t>
        </is>
      </c>
      <c r="I12" s="32" t="inlineStr">
        <is>
          <t>No</t>
        </is>
      </c>
      <c r="J12" s="43" t="inlineStr">
        <is>
          <t>Pass</t>
        </is>
      </c>
      <c r="K12" s="32" t="n"/>
      <c r="L12" s="46" t="n"/>
      <c r="M12" s="43" t="inlineStr">
        <is>
          <t>✅ Pass (không đổi)</t>
        </is>
      </c>
    </row>
    <row r="13" ht="15" customHeight="1">
      <c r="A13" s="52" t="inlineStr">
        <is>
          <t xml:space="preserve">  ▶  Template Row — copy khi thêm case mới</t>
        </is>
      </c>
    </row>
    <row r="14" ht="53.25" customHeight="1">
      <c r="A14" s="43" t="inlineStr">
        <is>
          <t>L1-XX-[NN]</t>
        </is>
      </c>
      <c r="B14" s="43" t="inlineStr">
        <is>
          <t>[BC-TRUE | BC-FALSE | CC | EP-Valid | EP-Invalid | BVA-* | State-* | Guard-* | Concurrency | Idempotency | Atomicity]</t>
        </is>
      </c>
      <c r="C14" s="43" t="inlineStr">
        <is>
          <t>[Branch / condition / partition]</t>
        </is>
      </c>
      <c r="D14" s="43" t="inlineStr">
        <is>
          <t>[FT-xx AC/NAC/BV-xx; BR-xxx; NFR-xxx]</t>
        </is>
      </c>
      <c r="E14" s="43" t="inlineStr">
        <is>
          <t>P2</t>
        </is>
      </c>
      <c r="F14" s="43" t="inlineStr">
        <is>
          <t>[Arrange: state + _mock.Setup(...)]</t>
        </is>
      </c>
      <c r="G14" s="43" t="inlineStr">
        <is>
          <t>service.Method(params)</t>
        </is>
      </c>
      <c r="H14" s="43" t="inlineStr">
        <is>
          <t>[result.Should().Be(...) / Throws / _mock.Verify(..., Times.Never)]</t>
        </is>
      </c>
      <c r="I14" s="43" t="inlineStr">
        <is>
          <t>No</t>
        </is>
      </c>
      <c r="J14" s="43" t="inlineStr">
        <is>
          <t>Not Run</t>
        </is>
      </c>
      <c r="K14" s="43" t="n"/>
      <c r="L14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:L1"/>
    <mergeCell ref="A5:L5"/>
    <mergeCell ref="A13:L13"/>
    <mergeCell ref="A8:L8"/>
  </mergeCells>
  <dataValidations count="2">
    <dataValidation sqref="E6:E7 E9:E12 E14" showDropDown="0" showInputMessage="0" showErrorMessage="0" allowBlank="1" type="list">
      <formula1>"P1,P2,P3"</formula1>
      <formula2>0</formula2>
    </dataValidation>
    <dataValidation sqref="J6:J7 J9:J12 J14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AdminUserService  |  MỚI v2.1  |  methods: SearchAsync, GetByIdAsync, CreateStaffAsync, ChangeRoleAsync, SetActiveStatusAsync  |  FT-09; NFR-SEC03; BR-022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CreateStaffAsync() / ChangeRoleAsync()  |  FT-09 AC-04; BR-022</t>
        </is>
      </c>
    </row>
    <row r="6" ht="46.5" customHeight="1">
      <c r="A6" s="26" t="inlineStr">
        <is>
          <t>L1-ADM-01</t>
        </is>
      </c>
      <c r="B6" s="37" t="inlineStr">
        <is>
          <t>EP-Valid</t>
        </is>
      </c>
      <c r="C6" s="27" t="inlineStr">
        <is>
          <t>Tạo tài khoản nhân viên -&gt; mật khẩu lưu dạng hash, gán đúng vai trò</t>
        </is>
      </c>
      <c r="D6" s="27" t="inlineStr">
        <is>
          <t>NFR-SEC02; FT-09 AC-04</t>
        </is>
      </c>
      <c r="E6" s="28" t="inlineStr">
        <is>
          <t>P1</t>
        </is>
      </c>
      <c r="F6" s="27" t="inlineStr">
        <is>
          <t>Email nhân viên mới chưa tồn tại</t>
        </is>
      </c>
      <c r="G6" s="27" t="inlineStr">
        <is>
          <t>adminUserService.CreateStaffAsync(CreateStaffUserRequest, actorUserId, actorEmail, ipAddress)</t>
        </is>
      </c>
      <c r="H6" s="27" t="inlineStr">
        <is>
          <t>Trả AdminUserDto đúng vai trò; PasswordHash != plaintext
AuditLog ghi actorEmail + ipAddress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3.75" customHeight="1">
      <c r="A7" s="31" t="inlineStr">
        <is>
          <t>L1-ADM-02</t>
        </is>
      </c>
      <c r="B7" s="37" t="inlineStr">
        <is>
          <t>EP-Invalid</t>
        </is>
      </c>
      <c r="C7" s="32" t="inlineStr">
        <is>
          <t>Tạo nhân viên trùng email -&gt; từ chối</t>
        </is>
      </c>
      <c r="D7" s="32" t="inlineStr">
        <is>
          <t>FT-01 NAC-01</t>
        </is>
      </c>
      <c r="E7" s="28" t="inlineStr">
        <is>
          <t>P1</t>
        </is>
      </c>
      <c r="F7" s="32" t="inlineStr">
        <is>
          <t>Email đã tồn tại</t>
        </is>
      </c>
      <c r="G7" s="32" t="inlineStr">
        <is>
          <t>adminUserService.CreateStaffAsync(request{emailTrùng}, actor...)</t>
        </is>
      </c>
      <c r="H7" s="32" t="inlineStr">
        <is>
          <t>Ném lỗi trùng danh tính; không tạo user thứ 2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3.75" customHeight="1">
      <c r="A8" s="26" t="inlineStr">
        <is>
          <t>L1-ADM-03</t>
        </is>
      </c>
      <c r="B8" s="37" t="inlineStr">
        <is>
          <t>EP-Valid</t>
        </is>
      </c>
      <c r="C8" s="27" t="inlineStr">
        <is>
          <t>Đổi vai trò -&gt; ghi audit before/after</t>
        </is>
      </c>
      <c r="D8" s="27" t="inlineStr">
        <is>
          <t>FT-09 AC-04; BR-022</t>
        </is>
      </c>
      <c r="E8" s="28" t="inlineStr">
        <is>
          <t>P1</t>
        </is>
      </c>
      <c r="F8" s="27" t="inlineStr">
        <is>
          <t>U1 đang là SalesStaff</t>
        </is>
      </c>
      <c r="G8" s="27" t="inlineStr">
        <is>
          <t>adminUserService.ChangeRoleAsync(U1, ChangeUserRoleRequest{Role:'SalesManager'}, actor...)</t>
        </is>
      </c>
      <c r="H8" s="27" t="inlineStr">
        <is>
          <t>Vai trò đổi; AuditLog ghi before/after + actorEmail + ipAddress</t>
        </is>
      </c>
      <c r="I8" s="27" t="inlineStr">
        <is>
          <t>No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33.75" customHeight="1">
      <c r="A9" s="31" t="inlineStr">
        <is>
          <t>L1-ADM-04</t>
        </is>
      </c>
      <c r="B9" s="37" t="inlineStr">
        <is>
          <t>EP-Invalid</t>
        </is>
      </c>
      <c r="C9" s="32" t="inlineStr">
        <is>
          <t>Đổi vai trò sang giá trị không hợp lệ -&gt; từ chối</t>
        </is>
      </c>
      <c r="D9" s="32" t="inlineStr">
        <is>
          <t>NFR-SEC03</t>
        </is>
      </c>
      <c r="E9" s="28" t="inlineStr">
        <is>
          <t>P1</t>
        </is>
      </c>
      <c r="F9" s="32" t="inlineStr">
        <is>
          <t>Vai trò 'SuperUser' không nằm trong 7 vai trò SRS</t>
        </is>
      </c>
      <c r="G9" s="32" t="inlineStr">
        <is>
          <t>adminUserService.ChangeRoleAsync(U1, request{Role:'SuperUser'}, actor...)</t>
        </is>
      </c>
      <c r="H9" s="32" t="inlineStr">
        <is>
          <t>Từ chối validation; vai trò cũ giữ nguyên</t>
        </is>
      </c>
      <c r="I9" s="35" t="inlineStr">
        <is>
          <t>Yes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33.75" customHeight="1">
      <c r="A10" s="26" t="inlineStr">
        <is>
          <t>L1-ADM-05</t>
        </is>
      </c>
      <c r="B10" s="37" t="inlineStr">
        <is>
          <t>EP-Invalid</t>
        </is>
      </c>
      <c r="C10" s="27" t="inlineStr">
        <is>
          <t>Hạ vai trò Sales đang phụ trách khách -&gt; phải xử lý bàn giao trước</t>
        </is>
      </c>
      <c r="D10" s="27" t="inlineStr">
        <is>
          <t>FT-04 NAC-03; BV-01</t>
        </is>
      </c>
      <c r="E10" s="28" t="inlineStr">
        <is>
          <t>P1</t>
        </is>
      </c>
      <c r="F10" s="27" t="inlineStr">
        <is>
          <t>S1 đang phụ trách 5 khách (CustomerProfile.AssignedSalesStaffId = S1)</t>
        </is>
      </c>
      <c r="G10" s="27" t="inlineStr">
        <is>
          <t>adminUserService.ChangeRoleAsync(S1, request{Role:'WarehouseStaff'}, actor...)</t>
        </is>
      </c>
      <c r="H10" s="27" t="inlineStr">
        <is>
          <t>Từ chối hoặc buộc bàn giao trước — không để 5 khách mất người phụ trách</t>
        </is>
      </c>
      <c r="I10" s="29" t="inlineStr">
        <is>
          <t>Yes</t>
        </is>
      </c>
      <c r="J10" s="43" t="inlineStr">
        <is>
          <t>Fail</t>
        </is>
      </c>
      <c r="K10" s="27" t="n"/>
      <c r="L10" s="45" t="n"/>
      <c r="M10" s="43" t="inlineStr">
        <is>
          <t>✅ ĐÃ FIX
AdminUserService.cs:145-152 check còn khách gán cho NV trước khi đổi role, throw nếu còn.</t>
        </is>
      </c>
    </row>
    <row r="11" ht="18" customHeight="1">
      <c r="A11" s="50" t="inlineStr">
        <is>
          <t xml:space="preserve">  ▶  Block: SetActiveStatusAsync() / SearchAsync()</t>
        </is>
      </c>
    </row>
    <row r="12" ht="33.75" customHeight="1">
      <c r="A12" s="26" t="inlineStr">
        <is>
          <t>L1-ADM-06</t>
        </is>
      </c>
      <c r="B12" s="37" t="inlineStr">
        <is>
          <t>EP-Valid</t>
        </is>
      </c>
      <c r="C12" s="27" t="inlineStr">
        <is>
          <t>Vô hiệu hoá tài khoản -&gt; phiên hiện tại không dùng được nữa</t>
        </is>
      </c>
      <c r="D12" s="27" t="inlineStr">
        <is>
          <t>NFR-SEC02; NFR-SEC03</t>
        </is>
      </c>
      <c r="E12" s="28" t="inlineStr">
        <is>
          <t>P1</t>
        </is>
      </c>
      <c r="F12" s="27" t="inlineStr">
        <is>
          <t>U1 đang hoạt động, có RefreshToken</t>
        </is>
      </c>
      <c r="G12" s="27" t="inlineStr">
        <is>
          <t>adminUserService.SetActiveStatusAsync(U1, SetUserActiveStatusRequest{IsActive:false}, actor...)</t>
        </is>
      </c>
      <c r="H12" s="27" t="inlineStr">
        <is>
          <t>IsActive=false; refresh token bị thu hồi; AuditLog được ghi</t>
        </is>
      </c>
      <c r="I12" s="27" t="inlineStr">
        <is>
          <t>No</t>
        </is>
      </c>
      <c r="J12" s="43" t="inlineStr">
        <is>
          <t>Pass</t>
        </is>
      </c>
      <c r="K12" s="27" t="n"/>
      <c r="L12" s="45" t="n"/>
      <c r="M12" s="43" t="inlineStr">
        <is>
          <t>✅ Pass (không đổi)</t>
        </is>
      </c>
    </row>
    <row r="13" ht="33.75" customHeight="1">
      <c r="A13" s="31" t="inlineStr">
        <is>
          <t>L1-ADM-07</t>
        </is>
      </c>
      <c r="B13" s="37" t="inlineStr">
        <is>
          <t>EP-Invalid</t>
        </is>
      </c>
      <c r="C13" s="32" t="inlineStr">
        <is>
          <t>Vô hiệu hoá Sales đang là người duy nhất trong round-robin -&gt; cảnh báo/chặn</t>
        </is>
      </c>
      <c r="D13" s="32" t="inlineStr">
        <is>
          <t>FT-04 NAC-03; BV-02</t>
        </is>
      </c>
      <c r="E13" s="28" t="inlineStr">
        <is>
          <t>P1</t>
        </is>
      </c>
      <c r="F13" s="32" t="inlineStr">
        <is>
          <t>Chỉ còn S1 trong danh sách round-robin</t>
        </is>
      </c>
      <c r="G13" s="32" t="inlineStr">
        <is>
          <t>adminUserService.SetActiveStatusAsync(S1, request{IsActive:false}, actor...)</t>
        </is>
      </c>
      <c r="H13" s="32" t="inlineStr">
        <is>
          <t>Chặn hoặc cảnh báo — tránh không còn ai nhận khách mới</t>
        </is>
      </c>
      <c r="I13" s="35" t="inlineStr">
        <is>
          <t>Yes</t>
        </is>
      </c>
      <c r="J13" s="43" t="inlineStr">
        <is>
          <t>Fail</t>
        </is>
      </c>
      <c r="K13" s="32" t="n"/>
      <c r="L13" s="46" t="n"/>
      <c r="M13" s="43" t="inlineStr">
        <is>
          <t>✅ ĐÃ FIX
AdminUserService.cs:209-216 đếm NV Sales active còn lại, chặn vô hiệu hoá người cuối cùng.</t>
        </is>
      </c>
    </row>
    <row r="14" ht="33.75" customHeight="1">
      <c r="A14" s="26" t="inlineStr">
        <is>
          <t>L1-ADM-08</t>
        </is>
      </c>
      <c r="B14" s="37" t="inlineStr">
        <is>
          <t>EP-Valid</t>
        </is>
      </c>
      <c r="C14" s="27" t="inlineStr">
        <is>
          <t>Search lọc theo vai trò + trạng thái + phân trang</t>
        </is>
      </c>
      <c r="D14" s="27" t="inlineStr">
        <is>
          <t>FT-09 AC-01</t>
        </is>
      </c>
      <c r="E14" s="34" t="inlineStr">
        <is>
          <t>P3</t>
        </is>
      </c>
      <c r="F14" s="27" t="inlineStr">
        <is>
          <t>10 user: 4 SalesStaff (1 inactive)</t>
        </is>
      </c>
      <c r="G14" s="27" t="inlineStr">
        <is>
          <t>adminUserService.SearchAsync(AdminUserQueryDto{Role:'SalesStaff', IsActive:true})</t>
        </is>
      </c>
      <c r="H14" s="27" t="inlineStr">
        <is>
          <t>Trả PagedResultDto&lt;AdminUserDto&gt; đúng 3 user; TotalCount=3</t>
        </is>
      </c>
      <c r="I14" s="27" t="inlineStr">
        <is>
          <t>No</t>
        </is>
      </c>
      <c r="J14" s="43" t="inlineStr">
        <is>
          <t>Pass</t>
        </is>
      </c>
      <c r="K14" s="27" t="n"/>
      <c r="L14" s="45" t="n"/>
      <c r="M14" s="43" t="inlineStr">
        <is>
          <t>✅ Pass (không đổi)</t>
        </is>
      </c>
    </row>
    <row r="15" ht="33.75" customHeight="1">
      <c r="A15" s="31" t="inlineStr">
        <is>
          <t>L1-ADM-09</t>
        </is>
      </c>
      <c r="B15" s="37" t="inlineStr">
        <is>
          <t>EP-Invalid</t>
        </is>
      </c>
      <c r="C15" s="32" t="inlineStr">
        <is>
          <t>GetById với id không tồn tại -&gt; not-found, không lộ thông tin</t>
        </is>
      </c>
      <c r="D15" s="32" t="inlineStr">
        <is>
          <t>FT-09 NAC-01</t>
        </is>
      </c>
      <c r="E15" s="36" t="inlineStr">
        <is>
          <t>P3</t>
        </is>
      </c>
      <c r="F15" s="32" t="inlineStr">
        <is>
          <t>Không có user Ux</t>
        </is>
      </c>
      <c r="G15" s="32" t="inlineStr">
        <is>
          <t>adminUserService.GetByIdAsync(Ux)</t>
        </is>
      </c>
      <c r="H15" s="32" t="inlineStr">
        <is>
          <t>Ném not-found; không lộ thông tin</t>
        </is>
      </c>
      <c r="I15" s="35" t="inlineStr">
        <is>
          <t>Yes</t>
        </is>
      </c>
      <c r="J15" s="43" t="inlineStr">
        <is>
          <t>Pass</t>
        </is>
      </c>
      <c r="K15" s="32" t="n"/>
      <c r="L15" s="46" t="n"/>
      <c r="M15" s="43" t="inlineStr">
        <is>
          <t>✅ Pass (không đổi)</t>
        </is>
      </c>
    </row>
    <row r="16" ht="15" customHeight="1">
      <c r="A16" s="52" t="inlineStr">
        <is>
          <t xml:space="preserve">  ▶  Template Row — copy khi thêm case mới</t>
        </is>
      </c>
    </row>
    <row r="17" ht="53.25" customHeight="1">
      <c r="A17" s="43" t="inlineStr">
        <is>
          <t>L1-XX-[NN]</t>
        </is>
      </c>
      <c r="B17" s="43" t="inlineStr">
        <is>
          <t>[BC-TRUE | BC-FALSE | CC | EP-Valid | EP-Invalid | BVA-* | State-* | Guard-* | Concurrency | Idempotency | Atomicity]</t>
        </is>
      </c>
      <c r="C17" s="43" t="inlineStr">
        <is>
          <t>[Branch / condition / partition]</t>
        </is>
      </c>
      <c r="D17" s="43" t="inlineStr">
        <is>
          <t>[FT-xx AC/NAC/BV-xx; BR-xxx; NFR-xxx]</t>
        </is>
      </c>
      <c r="E17" s="43" t="inlineStr">
        <is>
          <t>P2</t>
        </is>
      </c>
      <c r="F17" s="43" t="inlineStr">
        <is>
          <t>[Arrange: state + _mock.Setup(...)]</t>
        </is>
      </c>
      <c r="G17" s="43" t="inlineStr">
        <is>
          <t>service.Method(params)</t>
        </is>
      </c>
      <c r="H17" s="43" t="inlineStr">
        <is>
          <t>[result.Should().Be(...) / Throws / _mock.Verify(..., Times.Never)]</t>
        </is>
      </c>
      <c r="I17" s="43" t="inlineStr">
        <is>
          <t>No</t>
        </is>
      </c>
      <c r="J17" s="43" t="inlineStr">
        <is>
          <t>Not Run</t>
        </is>
      </c>
      <c r="K17" s="43" t="n"/>
      <c r="L17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6:L16"/>
    <mergeCell ref="A11:L11"/>
    <mergeCell ref="A1:L1"/>
    <mergeCell ref="A5:L5"/>
  </mergeCells>
  <dataValidations count="2">
    <dataValidation sqref="E6:E10 E12:E15 E17" showDropDown="0" showInputMessage="0" showErrorMessage="0" allowBlank="1" type="list">
      <formula1>"P1,P2,P3"</formula1>
      <formula2>0</formula2>
    </dataValidation>
    <dataValidation sqref="J6:J10 J12:J15 J17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VehicleService  |  MỚI v2.1  |  methods: GetAllAsync, GetByIdAsync, CreateAsync, UpdateAsync  |  FT-07; BV-01; BR-037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CRUD đội xe  |  FT-07 BV-01; BR-037</t>
        </is>
      </c>
    </row>
    <row r="6" ht="30" customHeight="1">
      <c r="A6" s="26" t="inlineStr">
        <is>
          <t>L1-VEH-01</t>
        </is>
      </c>
      <c r="B6" s="37" t="inlineStr">
        <is>
          <t>EP-Valid</t>
        </is>
      </c>
      <c r="C6" s="27" t="inlineStr">
        <is>
          <t>Danh sách xe chỉ trả xe đang hoạt động khi lọc active</t>
        </is>
      </c>
      <c r="D6" s="27" t="inlineStr">
        <is>
          <t>FT-07 BV-01; BR-037</t>
        </is>
      </c>
      <c r="E6" s="28" t="inlineStr">
        <is>
          <t>P1</t>
        </is>
      </c>
      <c r="F6" s="27" t="inlineStr">
        <is>
          <t>5 xe: 4 active, 1 bảo trì</t>
        </is>
      </c>
      <c r="G6" s="27" t="inlineStr">
        <is>
          <t>vehicleService.GetAllAsync(query{active:true})</t>
        </is>
      </c>
      <c r="H6" s="27" t="inlineStr">
        <is>
          <t>Trả đúng 4 xe; xe bảo trì không xuất hiện để chọn lịch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L1-VEH-02</t>
        </is>
      </c>
      <c r="B7" s="37" t="inlineStr">
        <is>
          <t>EP-Valid</t>
        </is>
      </c>
      <c r="C7" s="32" t="inlineStr">
        <is>
          <t>Tạo xe mới với biển số hợp lệ</t>
        </is>
      </c>
      <c r="D7" s="32" t="inlineStr">
        <is>
          <t>FT-07 BR-037</t>
        </is>
      </c>
      <c r="E7" s="36" t="inlineStr">
        <is>
          <t>P3</t>
        </is>
      </c>
      <c r="F7" s="32" t="inlineStr">
        <is>
          <t>Biển số chưa tồn tại</t>
        </is>
      </c>
      <c r="G7" s="32" t="inlineStr">
        <is>
          <t>vehicleService.CreateAsync(dto)</t>
        </is>
      </c>
      <c r="H7" s="32" t="inlineStr">
        <is>
          <t>Xe được lưu, mặc định trạng thái hoạt động</t>
        </is>
      </c>
      <c r="I7" s="32" t="inlineStr">
        <is>
          <t>No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0" customHeight="1">
      <c r="A8" s="26" t="inlineStr">
        <is>
          <t>L1-VEH-03</t>
        </is>
      </c>
      <c r="B8" s="37" t="inlineStr">
        <is>
          <t>EP-Invalid</t>
        </is>
      </c>
      <c r="C8" s="27" t="inlineStr">
        <is>
          <t>Tạo xe trùng biển số -&gt; từ chối</t>
        </is>
      </c>
      <c r="D8" s="27" t="inlineStr">
        <is>
          <t>BR-037</t>
        </is>
      </c>
      <c r="E8" s="34" t="inlineStr">
        <is>
          <t>P2</t>
        </is>
      </c>
      <c r="F8" s="27" t="inlineStr">
        <is>
          <t>Biển số đã tồn tại</t>
        </is>
      </c>
      <c r="G8" s="27" t="inlineStr">
        <is>
          <t>vehicleService.CreateAsync(dto{biểnSốTrùng})</t>
        </is>
      </c>
      <c r="H8" s="27" t="inlineStr">
        <is>
          <t>Từ chối; không tạo bản ghi thứ 2</t>
        </is>
      </c>
      <c r="I8" s="29" t="inlineStr">
        <is>
          <t>Yes</t>
        </is>
      </c>
      <c r="J8" s="43" t="inlineStr">
        <is>
          <t>Fail</t>
        </is>
      </c>
      <c r="K8" s="27" t="n"/>
      <c r="L8" s="45" t="n"/>
      <c r="M8" s="43" t="inlineStr">
        <is>
          <t>✅ ĐÃ FIX
VehicleService.cs:44-46 check trùng biển số, throw nếu trùng.</t>
        </is>
      </c>
    </row>
    <row r="9" ht="30" customHeight="1">
      <c r="A9" s="31" t="inlineStr">
        <is>
          <t>L1-VEH-04</t>
        </is>
      </c>
      <c r="B9" s="37" t="inlineStr">
        <is>
          <t>EP-Valid</t>
        </is>
      </c>
      <c r="C9" s="32" t="inlineStr">
        <is>
          <t>Chuyển xe sang trạng thái bảo trì -&gt; không còn xếp lịch được</t>
        </is>
      </c>
      <c r="D9" s="32" t="inlineStr">
        <is>
          <t>FT-07 NAC-01; BR-037</t>
        </is>
      </c>
      <c r="E9" s="28" t="inlineStr">
        <is>
          <t>P1</t>
        </is>
      </c>
      <c r="F9" s="32" t="inlineStr">
        <is>
          <t>Xe V1 đang hoạt động</t>
        </is>
      </c>
      <c r="G9" s="32" t="inlineStr">
        <is>
          <t>vehicleService.UpdateAsync(V1, dto{status:'Maintenance'})</t>
        </is>
      </c>
      <c r="H9" s="32" t="inlineStr">
        <is>
          <t>V1 không còn trong danh sách xe khả dụng để lập chuyến</t>
        </is>
      </c>
      <c r="I9" s="32" t="inlineStr">
        <is>
          <t>No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30" customHeight="1">
      <c r="A10" s="26" t="inlineStr">
        <is>
          <t>L1-VEH-05</t>
        </is>
      </c>
      <c r="B10" s="37" t="inlineStr">
        <is>
          <t>EP-Invalid</t>
        </is>
      </c>
      <c r="C10" s="27" t="inlineStr">
        <is>
          <t>Đưa xe đang có chuyến trong tương lai vào bảo trì -&gt; cảnh báo/chặn</t>
        </is>
      </c>
      <c r="D10" s="27" t="inlineStr">
        <is>
          <t>FT-07 NAC-01</t>
        </is>
      </c>
      <c r="E10" s="34" t="inlineStr">
        <is>
          <t>P2</t>
        </is>
      </c>
      <c r="F10" s="27" t="inlineStr">
        <is>
          <t>V1 đã được xếp chuyến ngày mai</t>
        </is>
      </c>
      <c r="G10" s="27" t="inlineStr">
        <is>
          <t>vehicleService.UpdateAsync(V1, dto{status:'Maintenance'})</t>
        </is>
      </c>
      <c r="H10" s="27" t="inlineStr">
        <is>
          <t>Chặn hoặc buộc xử lý chuyến đã xếp trước</t>
        </is>
      </c>
      <c r="I10" s="29" t="inlineStr">
        <is>
          <t>Yes</t>
        </is>
      </c>
      <c r="J10" s="43" t="inlineStr">
        <is>
          <t>Blocked</t>
        </is>
      </c>
      <c r="K10" s="27" t="n"/>
      <c r="L10" s="44" t="inlineStr">
        <is>
          <t>VehicleService không biết tới lịch chuyến — tính năng chưa có</t>
        </is>
      </c>
      <c r="M10" s="43" t="inlineStr">
        <is>
          <t>✅ ĐÃ FIX
VehicleService.cs:91-102 khi chuyển sang Maintenance, check Orders có chuyến trong tương lai chưa giao, chặn nếu có.</t>
        </is>
      </c>
    </row>
    <row r="11" ht="15" customHeight="1">
      <c r="A11" s="52" t="inlineStr">
        <is>
          <t xml:space="preserve">  ▶  Template Row — copy khi thêm case mới</t>
        </is>
      </c>
    </row>
    <row r="12" ht="53.25" customHeight="1">
      <c r="A12" s="43" t="inlineStr">
        <is>
          <t>L1-XX-[NN]</t>
        </is>
      </c>
      <c r="B12" s="43" t="inlineStr">
        <is>
          <t>[BC-TRUE | BC-FALSE | CC | EP-Valid | EP-Invalid | BVA-* | State-* | Guard-* | Concurrency | Idempotency | Atomicity]</t>
        </is>
      </c>
      <c r="C12" s="43" t="inlineStr">
        <is>
          <t>[Branch / condition / partition]</t>
        </is>
      </c>
      <c r="D12" s="43" t="inlineStr">
        <is>
          <t>[FT-xx AC/NAC/BV-xx; BR-xxx; NFR-xxx]</t>
        </is>
      </c>
      <c r="E12" s="43" t="inlineStr">
        <is>
          <t>P2</t>
        </is>
      </c>
      <c r="F12" s="43" t="inlineStr">
        <is>
          <t>[Arrange: state + _mock.Setup(...)]</t>
        </is>
      </c>
      <c r="G12" s="43" t="inlineStr">
        <is>
          <t>service.Method(params)</t>
        </is>
      </c>
      <c r="H12" s="43" t="inlineStr">
        <is>
          <t>[result.Should().Be(...) / Throws / _mock.Verify(..., Times.Never)]</t>
        </is>
      </c>
      <c r="I12" s="43" t="inlineStr">
        <is>
          <t>No</t>
        </is>
      </c>
      <c r="J12" s="43" t="inlineStr">
        <is>
          <t>Not Run</t>
        </is>
      </c>
      <c r="K12" s="43" t="n"/>
      <c r="L12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1:L11"/>
    <mergeCell ref="A2:L2"/>
    <mergeCell ref="A1:L1"/>
    <mergeCell ref="A5:L5"/>
  </mergeCells>
  <dataValidations count="2">
    <dataValidation sqref="E6:E10 E12" showDropDown="0" showInputMessage="0" showErrorMessage="0" allowBlank="1" type="list">
      <formula1>"P1,P2,P3"</formula1>
      <formula2>0</formula2>
    </dataValidation>
    <dataValidation sqref="J6:J10 J12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WebhookLogService  |  MỚI v2.1  |  methods: LogReceivedAsync, MarkProcessedAsync, MarkFailedAsync, RetryAsync, SearchAsync  |  FT-03; BR-029; BR-049; NFR-SEC05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Ghi nhận &amp; đánh dấu  |  FT-03 AC-01; NAC-01; BR-049</t>
        </is>
      </c>
    </row>
    <row r="6" ht="46.5" customHeight="1">
      <c r="A6" s="26" t="inlineStr">
        <is>
          <t>L1-WHL-01</t>
        </is>
      </c>
      <c r="B6" s="37" t="inlineStr">
        <is>
          <t>EP-Valid</t>
        </is>
      </c>
      <c r="C6" s="27" t="inlineStr">
        <is>
          <t>Mọi callback đều được ghi log, kể cả callback bị từ chối</t>
        </is>
      </c>
      <c r="D6" s="27" t="inlineStr">
        <is>
          <t>FT-03 NAC-01; NFR-SEC05</t>
        </is>
      </c>
      <c r="E6" s="28" t="inlineStr">
        <is>
          <t>P1</t>
        </is>
      </c>
      <c r="F6" s="27" t="inlineStr">
        <is>
          <t>Callback SePay có chữ ký SAI</t>
        </is>
      </c>
      <c r="G6" s="27" t="inlineStr">
        <is>
          <t>webhookLogService.LogReceivedAsync(SePayWebhookDto payload)</t>
        </is>
      </c>
      <c r="H6" s="27" t="inlineStr">
        <is>
          <t>Trả Guid id của bản ghi log; Status = WebhookLogStatus.Received (0)
Mọi callback đều được ghi log trước khi validate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3.75" customHeight="1">
      <c r="A7" s="31" t="inlineStr">
        <is>
          <t>L1-WHL-02</t>
        </is>
      </c>
      <c r="B7" s="37" t="inlineStr">
        <is>
          <t>EP-Valid</t>
        </is>
      </c>
      <c r="C7" s="32" t="inlineStr">
        <is>
          <t>Đánh dấu đã xử lý -&gt; lưu kết quả để trả lại cho lần gửi trùng</t>
        </is>
      </c>
      <c r="D7" s="32" t="inlineStr">
        <is>
          <t>FT-03 NAC-02; BR-029</t>
        </is>
      </c>
      <c r="E7" s="28" t="inlineStr">
        <is>
          <t>P1</t>
        </is>
      </c>
      <c r="F7" s="32" t="inlineStr">
        <is>
          <t>Log L1 Status=Received</t>
        </is>
      </c>
      <c r="G7" s="32" t="inlineStr">
        <is>
          <t>webhookLogService.MarkProcessedAsync(L1)</t>
        </is>
      </c>
      <c r="H7" s="32" t="inlineStr">
        <is>
          <t>Status = Processed (1)</t>
        </is>
      </c>
      <c r="I7" s="32" t="inlineStr">
        <is>
          <t>No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3.75" customHeight="1">
      <c r="A8" s="26" t="inlineStr">
        <is>
          <t>L1-WHL-03</t>
        </is>
      </c>
      <c r="B8" s="37" t="inlineStr">
        <is>
          <t>EP-Valid</t>
        </is>
      </c>
      <c r="C8" s="27" t="inlineStr">
        <is>
          <t>Đánh dấu thất bại -&gt; tăng số lần thử, giữ nguyên lỗi</t>
        </is>
      </c>
      <c r="D8" s="27" t="inlineStr">
        <is>
          <t>BR-049; FT-09 AC-05</t>
        </is>
      </c>
      <c r="E8" s="28" t="inlineStr">
        <is>
          <t>P1</t>
        </is>
      </c>
      <c r="F8" s="27" t="inlineStr">
        <is>
          <t>Log L1 đã thất bại 1 lần (AttemptCount=1)</t>
        </is>
      </c>
      <c r="G8" s="27" t="inlineStr">
        <is>
          <t>webhookLogService.MarkFailedAsync(L1, exception)</t>
        </is>
      </c>
      <c r="H8" s="27" t="inlineStr">
        <is>
          <t>Status = Failed (2); AttemptCount tăng lên 2; nội dung exception được lưu</t>
        </is>
      </c>
      <c r="I8" s="27" t="inlineStr">
        <is>
          <t>No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33.75" customHeight="1">
      <c r="A9" s="31" t="inlineStr">
        <is>
          <t>L1-WHL-04</t>
        </is>
      </c>
      <c r="B9" s="37" t="inlineStr">
        <is>
          <t>EP-Valid</t>
        </is>
      </c>
      <c r="C9" s="32" t="inlineStr">
        <is>
          <t>Search lọc theo trạng thái/khoảng thời gian</t>
        </is>
      </c>
      <c r="D9" s="32" t="inlineStr">
        <is>
          <t>FT-03 SB; FT-09 AC-01</t>
        </is>
      </c>
      <c r="E9" s="36" t="inlineStr">
        <is>
          <t>P2</t>
        </is>
      </c>
      <c r="F9" s="32" t="inlineStr">
        <is>
          <t>3 log: 1 Processed, 2 Failed</t>
        </is>
      </c>
      <c r="G9" s="32" t="inlineStr">
        <is>
          <t>webhookLogService.SearchAsync(WebhookLogQueryDto{Status:'Failed'})</t>
        </is>
      </c>
      <c r="H9" s="32" t="inlineStr">
        <is>
          <t>Trả PagedResultDto&lt;WebhookLogDto&gt; đúng 2 bản ghi</t>
        </is>
      </c>
      <c r="I9" s="32" t="inlineStr">
        <is>
          <t>No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18" customHeight="1">
      <c r="A10" s="50" t="inlineStr">
        <is>
          <t xml:space="preserve">  ▶  Block: RetryAsync()  |  BR-029; BR-049</t>
        </is>
      </c>
    </row>
    <row r="11" ht="46.5" customHeight="1">
      <c r="A11" s="26" t="inlineStr">
        <is>
          <t>L1-WHL-05</t>
        </is>
      </c>
      <c r="B11" s="37" t="inlineStr">
        <is>
          <t>EP-Valid</t>
        </is>
      </c>
      <c r="C11" s="27" t="inlineStr">
        <is>
          <t>Retry callback thất bại -&gt; xử lý lại đúng 1 lần</t>
        </is>
      </c>
      <c r="D11" s="27" t="inlineStr">
        <is>
          <t>BR-029</t>
        </is>
      </c>
      <c r="E11" s="28" t="inlineStr">
        <is>
          <t>P1</t>
        </is>
      </c>
      <c r="F11" s="27" t="inlineStr">
        <is>
          <t>Log L1 Status=Failed, đơn chưa Paid</t>
        </is>
      </c>
      <c r="G11" s="27" t="inlineStr">
        <is>
          <t>webhookLogService.RetryAsync(L1)</t>
        </is>
      </c>
      <c r="H11" s="27" t="inlineStr">
        <is>
          <t>Trả WebhookLogDto; xử lý lại bằng token ĐỌC TỪ CẤU HÌNH SERVER (không dùng token đã lưu)
Nếu hợp lệ: đơn chuyển Paid đúng 1 lần</t>
        </is>
      </c>
      <c r="I11" s="27" t="inlineStr">
        <is>
          <t>No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46.5" customHeight="1">
      <c r="A12" s="31" t="inlineStr">
        <is>
          <t>L1-WHL-06</t>
        </is>
      </c>
      <c r="B12" s="37" t="inlineStr">
        <is>
          <t>Delegation-Guard</t>
        </is>
      </c>
      <c r="C12" s="32" t="inlineStr">
        <is>
          <t>Retry callback ĐÃ xử lý thành công -&gt; không tạo giao dịch thứ 2</t>
        </is>
      </c>
      <c r="D12" s="32" t="inlineStr">
        <is>
          <t>FT-03 NAC-02; BR-029</t>
        </is>
      </c>
      <c r="E12" s="28" t="inlineStr">
        <is>
          <t>P1</t>
        </is>
      </c>
      <c r="F12" s="32" t="inlineStr">
        <is>
          <t>Log L1 Status=Processed (đã xử lý xong)</t>
        </is>
      </c>
      <c r="G12" s="32" t="inlineStr">
        <is>
          <t>webhookLogService.RetryAsync(L1)</t>
        </is>
      </c>
      <c r="H12" s="32" t="inlineStr">
        <is>
          <t>Verify KHÔNG gọi xuống OrderService.ProcessSePayWebhookAsync lần nữa (delegation guard tại tầng log)
Trả WebhookLogDto phản ánh kết quả gốc</t>
        </is>
      </c>
      <c r="I12" s="35" t="inlineStr">
        <is>
          <t>Yes</t>
        </is>
      </c>
      <c r="J12" s="43" t="inlineStr">
        <is>
          <t>Pass</t>
        </is>
      </c>
      <c r="K12" s="32" t="n"/>
      <c r="L12" s="46" t="n"/>
      <c r="M12" s="43" t="inlineStr">
        <is>
          <t>✅ Pass (không đổi)</t>
        </is>
      </c>
    </row>
    <row r="13" ht="46.5" customHeight="1">
      <c r="A13" s="26" t="inlineStr">
        <is>
          <t>L1-WHL-07</t>
        </is>
      </c>
      <c r="B13" s="37" t="inlineStr">
        <is>
          <t>BVA-Max+1</t>
        </is>
      </c>
      <c r="C13" s="27" t="inlineStr">
        <is>
          <t>Vượt số lần retry tối đa -&gt; dừng và cảnh báo</t>
        </is>
      </c>
      <c r="D13" s="27" t="inlineStr">
        <is>
          <t>BR-049; FT-09 BV-03</t>
        </is>
      </c>
      <c r="E13" s="28" t="inlineStr">
        <is>
          <t>P1</t>
        </is>
      </c>
      <c r="F13" s="27" t="inlineStr">
        <is>
          <t>[Theory] AttemptCount = 4 / 5 / 6 (const WebhookLogService.MaxAttempts = 5)</t>
        </is>
      </c>
      <c r="G13" s="27" t="inlineStr">
        <is>
          <t>webhookLogService.RetryAsync(L1)</t>
        </is>
      </c>
      <c r="H13" s="27" t="inlineStr">
        <is>
          <t>AttemptCount=4: vẫn thử lại
AttemptCount &gt;= 5: Status = Abandoned (3), dừng thử lại + tạo cảnh báo</t>
        </is>
      </c>
      <c r="I13" s="29" t="inlineStr">
        <is>
          <t>Yes</t>
        </is>
      </c>
      <c r="J13" s="43" t="inlineStr">
        <is>
          <t>Pass</t>
        </is>
      </c>
      <c r="K13" s="27" t="n"/>
      <c r="L13" s="45" t="n"/>
      <c r="M13" s="43" t="inlineStr">
        <is>
          <t>✅ Pass (không đổi)</t>
        </is>
      </c>
    </row>
    <row r="14" ht="15" customHeight="1">
      <c r="A14" s="52" t="inlineStr">
        <is>
          <t xml:space="preserve">  ▶  Template Row — copy khi thêm case mới</t>
        </is>
      </c>
    </row>
    <row r="15" ht="53.25" customHeight="1">
      <c r="A15" s="43" t="inlineStr">
        <is>
          <t>L1-XX-[NN]</t>
        </is>
      </c>
      <c r="B15" s="43" t="inlineStr">
        <is>
          <t>[BC-TRUE | BC-FALSE | CC | EP-Valid | EP-Invalid | BVA-* | State-* | Guard-* | Concurrency | Idempotency | Atomicity]</t>
        </is>
      </c>
      <c r="C15" s="43" t="inlineStr">
        <is>
          <t>[Branch / condition / partition]</t>
        </is>
      </c>
      <c r="D15" s="43" t="inlineStr">
        <is>
          <t>[FT-xx AC/NAC/BV-xx; BR-xxx; NFR-xxx]</t>
        </is>
      </c>
      <c r="E15" s="43" t="inlineStr">
        <is>
          <t>P2</t>
        </is>
      </c>
      <c r="F15" s="43" t="inlineStr">
        <is>
          <t>[Arrange: state + _mock.Setup(...)]</t>
        </is>
      </c>
      <c r="G15" s="43" t="inlineStr">
        <is>
          <t>service.Method(params)</t>
        </is>
      </c>
      <c r="H15" s="43" t="inlineStr">
        <is>
          <t>[result.Should().Be(...) / Throws / _mock.Verify(..., Times.Never)]</t>
        </is>
      </c>
      <c r="I15" s="43" t="inlineStr">
        <is>
          <t>No</t>
        </is>
      </c>
      <c r="J15" s="43" t="inlineStr">
        <is>
          <t>Not Run</t>
        </is>
      </c>
      <c r="K15" s="43" t="n"/>
      <c r="L15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0:L10"/>
    <mergeCell ref="A1:L1"/>
    <mergeCell ref="A5:L5"/>
    <mergeCell ref="A14:L14"/>
  </mergeCells>
  <dataValidations count="2">
    <dataValidation sqref="E6:E9 E11:E13 E15" showDropDown="0" showInputMessage="0" showErrorMessage="0" allowBlank="1" type="list">
      <formula1>"P1,P2,P3"</formula1>
      <formula2>0</formula2>
    </dataValidation>
    <dataValidation sqref="J6:J9 J11:J13 J15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AuditLogService  |  MỚI v2.1  |  methods: LogAsync, SearchAsync, ExportCsvAsync  |  FT-09; BR-022; BR-048; NFR-SEC08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LogAsync()  |  FT-09 AC-04; BR-022; BR-048</t>
        </is>
      </c>
    </row>
    <row r="6" ht="30" customHeight="1">
      <c r="A6" s="26" t="inlineStr">
        <is>
          <t>L1-AUD-01</t>
        </is>
      </c>
      <c r="B6" s="37" t="inlineStr">
        <is>
          <t>EP-Valid</t>
        </is>
      </c>
      <c r="C6" s="27" t="inlineStr">
        <is>
          <t>Ghi log đầy đủ actor, hành động, thực thể, thời điểm, before/after</t>
        </is>
      </c>
      <c r="D6" s="27" t="inlineStr">
        <is>
          <t>FT-09 AC-04; BR-022</t>
        </is>
      </c>
      <c r="E6" s="28" t="inlineStr">
        <is>
          <t>P1</t>
        </is>
      </c>
      <c r="F6" s="27" t="inlineStr">
        <is>
          <t>Thay đổi giá của sản phẩm P1</t>
        </is>
      </c>
      <c r="G6" s="27" t="inlineStr">
        <is>
          <t>auditLogService.LogAsync(entity:'Product', action:'PriceChange', before, after, actorId)</t>
        </is>
      </c>
      <c r="H6" s="27" t="inlineStr">
        <is>
          <t>Bản ghi lưu đủ 5 thành phần; không thiếu trường bắt buộc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L1-AUD-02</t>
        </is>
      </c>
      <c r="B7" s="37" t="inlineStr">
        <is>
          <t>EP-Invalid</t>
        </is>
      </c>
      <c r="C7" s="32" t="inlineStr">
        <is>
          <t>Thiếu actor hoặc thực thể -&gt; từ chối ghi log rỗng nghĩa</t>
        </is>
      </c>
      <c r="D7" s="32" t="inlineStr">
        <is>
          <t>BR-022</t>
        </is>
      </c>
      <c r="E7" s="36" t="inlineStr">
        <is>
          <t>P2</t>
        </is>
      </c>
      <c r="F7" s="32" t="inlineStr">
        <is>
          <t>actorId = null</t>
        </is>
      </c>
      <c r="G7" s="32" t="inlineStr">
        <is>
          <t>auditLogService.LogAsync(entity:'Order', action:'Cancel', actorId:null)</t>
        </is>
      </c>
      <c r="H7" s="32" t="inlineStr">
        <is>
          <t>Từ chối / ghi rõ hệ thống là actor — không tạo bản ghi khuyết thông tin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43.5" customHeight="1">
      <c r="A8" s="26" t="inlineStr">
        <is>
          <t>L1-AUD-03</t>
        </is>
      </c>
      <c r="B8" s="37" t="inlineStr">
        <is>
          <t>EP-Valid</t>
        </is>
      </c>
      <c r="C8" s="27" t="inlineStr">
        <is>
          <t>Log là APPEND-ONLY: không có API sửa/xoá</t>
        </is>
      </c>
      <c r="D8" s="27" t="inlineStr">
        <is>
          <t>FT-09 NAC-03; BR-048; NFR-SEC08</t>
        </is>
      </c>
      <c r="E8" s="28" t="inlineStr">
        <is>
          <t>P1</t>
        </is>
      </c>
      <c r="F8" s="27" t="inlineStr">
        <is>
          <t>Đã có bản ghi A1</t>
        </is>
      </c>
      <c r="G8" s="27" t="inlineStr">
        <is>
          <t>Rà interface IAuditLogService + thử cập nhật entity qua context</t>
        </is>
      </c>
      <c r="H8" s="27" t="inlineStr">
        <is>
          <t>Không tồn tại phương thức Update/Delete
Mọi nỗ lực sửa đều bị chặn</t>
        </is>
      </c>
      <c r="I8" s="29" t="inlineStr">
        <is>
          <t>Yes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30" customHeight="1">
      <c r="A9" s="31" t="inlineStr">
        <is>
          <t>L1-AUD-04</t>
        </is>
      </c>
      <c r="B9" s="37" t="inlineStr">
        <is>
          <t>EP-Valid</t>
        </is>
      </c>
      <c r="C9" s="32" t="inlineStr">
        <is>
          <t>PII trong log được mask</t>
        </is>
      </c>
      <c r="D9" s="32" t="inlineStr">
        <is>
          <t>NFR-SEC06</t>
        </is>
      </c>
      <c r="E9" s="28" t="inlineStr">
        <is>
          <t>P1</t>
        </is>
      </c>
      <c r="F9" s="32" t="inlineStr">
        <is>
          <t>Thay đổi hồ sơ chứa SĐT và MST</t>
        </is>
      </c>
      <c r="G9" s="32" t="inlineStr">
        <is>
          <t>auditLogService.LogAsync(... before/after chứa PII ...)</t>
        </is>
      </c>
      <c r="H9" s="32" t="inlineStr">
        <is>
          <t>Giá trị lưu đã mask (vd 0912***678); không lưu token/secret</t>
        </is>
      </c>
      <c r="I9" s="32" t="inlineStr">
        <is>
          <t>No</t>
        </is>
      </c>
      <c r="J9" s="43" t="inlineStr">
        <is>
          <t>Fail</t>
        </is>
      </c>
      <c r="K9" s="32" t="n"/>
      <c r="L9" s="46" t="n"/>
      <c r="M9" s="43" t="inlineStr">
        <is>
          <t>✅ ĐÃ FIX
SensitiveDataRedactor.cs mask PII (phone/MST dạng 0912***678), redact hoàn toàn secret/token; đã wire vào AuditLogService.cs:41-42.</t>
        </is>
      </c>
    </row>
    <row r="10" ht="18" customHeight="1">
      <c r="A10" s="50" t="inlineStr">
        <is>
          <t xml:space="preserve">  ▶  Block: SearchAsync() / ExportCsvAsync()</t>
        </is>
      </c>
    </row>
    <row r="11" ht="30" customHeight="1">
      <c r="A11" s="26" t="inlineStr">
        <is>
          <t>L1-AUD-05</t>
        </is>
      </c>
      <c r="B11" s="37" t="inlineStr">
        <is>
          <t>EP-Valid</t>
        </is>
      </c>
      <c r="C11" s="27" t="inlineStr">
        <is>
          <t>Search lọc theo thực thể, actor, khoảng thời gian</t>
        </is>
      </c>
      <c r="D11" s="27" t="inlineStr">
        <is>
          <t>FT-09 AC-04</t>
        </is>
      </c>
      <c r="E11" s="34" t="inlineStr">
        <is>
          <t>P2</t>
        </is>
      </c>
      <c r="F11" s="27" t="inlineStr">
        <is>
          <t>10 bản ghi thuộc 3 thực thể</t>
        </is>
      </c>
      <c r="G11" s="27" t="inlineStr">
        <is>
          <t>auditLogService.SearchAsync(query{entity:'Order', from, to})</t>
        </is>
      </c>
      <c r="H11" s="27" t="inlineStr">
        <is>
          <t>Chỉ trả bản ghi khớp bộ lọc</t>
        </is>
      </c>
      <c r="I11" s="27" t="inlineStr">
        <is>
          <t>No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30" customHeight="1">
      <c r="A12" s="31" t="inlineStr">
        <is>
          <t>L1-AUD-06</t>
        </is>
      </c>
      <c r="B12" s="37" t="inlineStr">
        <is>
          <t>EP-Valid</t>
        </is>
      </c>
      <c r="C12" s="32" t="inlineStr">
        <is>
          <t>Export CSV giữ nguyên nội dung và escape ký tự đặc biệt</t>
        </is>
      </c>
      <c r="D12" s="32" t="inlineStr">
        <is>
          <t>FT-09 AC-04</t>
        </is>
      </c>
      <c r="E12" s="36" t="inlineStr">
        <is>
          <t>P2</t>
        </is>
      </c>
      <c r="F12" s="32" t="inlineStr">
        <is>
          <t>Bản ghi có dấu phẩy và dấu ngoặc kép trong lý do</t>
        </is>
      </c>
      <c r="G12" s="32" t="inlineStr">
        <is>
          <t>auditLogService.ExportCsvAsync(query)</t>
        </is>
      </c>
      <c r="H12" s="32" t="inlineStr">
        <is>
          <t>CSV hợp lệ, không vỡ cột; nội dung khớp bản ghi gốc</t>
        </is>
      </c>
      <c r="I12" s="32" t="inlineStr">
        <is>
          <t>No</t>
        </is>
      </c>
      <c r="J12" s="43" t="inlineStr">
        <is>
          <t>Pass</t>
        </is>
      </c>
      <c r="K12" s="32" t="n"/>
      <c r="L12" s="46" t="n"/>
      <c r="M12" s="43" t="inlineStr">
        <is>
          <t>✅ Pass (không đổi)</t>
        </is>
      </c>
    </row>
    <row r="13" ht="30" customHeight="1">
      <c r="A13" s="26" t="inlineStr">
        <is>
          <t>L1-AUD-07</t>
        </is>
      </c>
      <c r="B13" s="37" t="inlineStr">
        <is>
          <t>EP-Invalid</t>
        </is>
      </c>
      <c r="C13" s="27" t="inlineStr">
        <is>
          <t>Export bởi vai trò không được phép -&gt; forbidden</t>
        </is>
      </c>
      <c r="D13" s="27" t="inlineStr">
        <is>
          <t>FT-09 NAC-01; NFR-SEC03</t>
        </is>
      </c>
      <c r="E13" s="28" t="inlineStr">
        <is>
          <t>P1</t>
        </is>
      </c>
      <c r="F13" s="27" t="inlineStr">
        <is>
          <t>Caller vai trò Customer</t>
        </is>
      </c>
      <c r="G13" s="27" t="inlineStr">
        <is>
          <t>auditLogService.ExportCsvAsync(query, callerRole:'Customer')</t>
        </is>
      </c>
      <c r="H13" s="27" t="inlineStr">
        <is>
          <t>Ném forbidden; không sinh file</t>
        </is>
      </c>
      <c r="I13" s="29" t="inlineStr">
        <is>
          <t>Yes</t>
        </is>
      </c>
      <c r="J13" s="43" t="inlineStr">
        <is>
          <t>Blocked</t>
        </is>
      </c>
      <c r="K13" s="27" t="n"/>
      <c r="L13" s="45" t="inlineStr">
        <is>
          <t>ExportCsvAsync không có tham số callerRole — chuyển L3</t>
        </is>
      </c>
      <c r="M13" s="43" t="inlineStr">
        <is>
          <t>🔒 CẦN L3 (không phải bug)
ExportCsvAsync (AuditLogService.cs:79) không nhận callerRole, nhưng [Authorize] ở AuditLogController.cs:11 đã chặn. Có test L3: VietTien.IntegrationTests/RoleGateTests.cs:114-134 (L1_AUD_07_...).</t>
        </is>
      </c>
    </row>
    <row r="14" ht="15" customHeight="1">
      <c r="A14" s="52" t="inlineStr">
        <is>
          <t xml:space="preserve">  ▶  Template Row — copy khi thêm case mới</t>
        </is>
      </c>
    </row>
    <row r="15" ht="53.25" customHeight="1">
      <c r="A15" s="43" t="inlineStr">
        <is>
          <t>L1-XX-[NN]</t>
        </is>
      </c>
      <c r="B15" s="43" t="inlineStr">
        <is>
          <t>[BC-TRUE | BC-FALSE | CC | EP-Valid | EP-Invalid | BVA-* | State-* | Guard-* | Concurrency | Idempotency | Atomicity]</t>
        </is>
      </c>
      <c r="C15" s="43" t="inlineStr">
        <is>
          <t>[Branch / condition / partition]</t>
        </is>
      </c>
      <c r="D15" s="43" t="inlineStr">
        <is>
          <t>[FT-xx AC/NAC/BV-xx; BR-xxx; NFR-xxx]</t>
        </is>
      </c>
      <c r="E15" s="43" t="inlineStr">
        <is>
          <t>P2</t>
        </is>
      </c>
      <c r="F15" s="43" t="inlineStr">
        <is>
          <t>[Arrange: state + _mock.Setup(...)]</t>
        </is>
      </c>
      <c r="G15" s="43" t="inlineStr">
        <is>
          <t>service.Method(params)</t>
        </is>
      </c>
      <c r="H15" s="43" t="inlineStr">
        <is>
          <t>[result.Should().Be(...) / Throws / _mock.Verify(..., Times.Never)]</t>
        </is>
      </c>
      <c r="I15" s="43" t="inlineStr">
        <is>
          <t>No</t>
        </is>
      </c>
      <c r="J15" s="43" t="inlineStr">
        <is>
          <t>Not Run</t>
        </is>
      </c>
      <c r="K15" s="43" t="n"/>
      <c r="L15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0:L10"/>
    <mergeCell ref="A1:L1"/>
    <mergeCell ref="A5:L5"/>
    <mergeCell ref="A14:L14"/>
  </mergeCells>
  <dataValidations count="2">
    <dataValidation sqref="E6:E9 E11:E13 E15" showDropDown="0" showInputMessage="0" showErrorMessage="0" allowBlank="1" type="list">
      <formula1>"P1,P2,P3"</formula1>
      <formula2>0</formula2>
    </dataValidation>
    <dataValidation sqref="J6:J9 J11:J13 J15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MarketingPostService  |  MỚI v2.1  |  methods: CRUD, SubmitAsync, ApproveAsync, RejectAsync, PublishAsync, WebhookCallbackAsync  |  FT-10; BR-046; BR-003; BR-049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Vòng đời bài đăng  |  FT-10; BR-046; 4.4.4</t>
        </is>
      </c>
    </row>
    <row r="6" ht="46.5" customHeight="1">
      <c r="A6" s="26" t="inlineStr">
        <is>
          <t>L1-MKT-01</t>
        </is>
      </c>
      <c r="B6" s="37" t="inlineStr">
        <is>
          <t>EP-Valid</t>
        </is>
      </c>
      <c r="C6" s="27" t="inlineStr">
        <is>
          <t>Sales Staff tạo bài -&gt; trạng thái nháp, chưa đăng được</t>
        </is>
      </c>
      <c r="D6" s="27" t="inlineStr">
        <is>
          <t>FT-10; BR-046</t>
        </is>
      </c>
      <c r="E6" s="28" t="inlineStr">
        <is>
          <t>P1</t>
        </is>
      </c>
      <c r="F6" s="27" t="inlineStr">
        <is>
          <t>Caller vai trò SalesStaff</t>
        </is>
      </c>
      <c r="G6" s="27" t="inlineStr">
        <is>
          <t>marketingPostService.CreatePostAsync(CreateMarketingPostDto, userId)</t>
        </is>
      </c>
      <c r="H6" s="27" t="inlineStr">
        <is>
          <t>Trả MarketingPostDto; Status = MarketingPostStatus.Draft (0)
Chưa có FacebookPostId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3.75" customHeight="1">
      <c r="A7" s="31" t="inlineStr">
        <is>
          <t>L1-MKT-02</t>
        </is>
      </c>
      <c r="B7" s="37" t="inlineStr">
        <is>
          <t>State-Valid</t>
        </is>
      </c>
      <c r="C7" s="32" t="inlineStr">
        <is>
          <t>Gửi duyệt -&gt; chuyển chờ Sales Manager</t>
        </is>
      </c>
      <c r="D7" s="32" t="inlineStr">
        <is>
          <t>FT-10; BR-046</t>
        </is>
      </c>
      <c r="E7" s="28" t="inlineStr">
        <is>
          <t>P1</t>
        </is>
      </c>
      <c r="F7" s="32" t="inlineStr">
        <is>
          <t>Bài M1 Status=Draft, tác giả S1</t>
        </is>
      </c>
      <c r="G7" s="32" t="inlineStr">
        <is>
          <t>marketingPostService.SubmitPostAsync(M1, userId: S1, userRole: 'SalesStaff')</t>
        </is>
      </c>
      <c r="H7" s="32" t="inlineStr">
        <is>
          <t>Status chuyển Draft -&gt; Submitted (1); Sales Manager nhận thông báo</t>
        </is>
      </c>
      <c r="I7" s="32" t="inlineStr">
        <is>
          <t>No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3.75" customHeight="1">
      <c r="A8" s="26" t="inlineStr">
        <is>
          <t>L1-MKT-03</t>
        </is>
      </c>
      <c r="B8" s="37" t="inlineStr">
        <is>
          <t>EP-Invalid</t>
        </is>
      </c>
      <c r="C8" s="27" t="inlineStr">
        <is>
          <t>Sales Staff tự duyệt bài của mình -&gt; forbidden</t>
        </is>
      </c>
      <c r="D8" s="27" t="inlineStr">
        <is>
          <t>FT-10; BR-046; NFR-SEC03</t>
        </is>
      </c>
      <c r="E8" s="28" t="inlineStr">
        <is>
          <t>P1</t>
        </is>
      </c>
      <c r="F8" s="27" t="inlineStr">
        <is>
          <t>Bài M1 Status=Submitted; caller là chính tác giả S1 (SalesStaff)</t>
        </is>
      </c>
      <c r="G8" s="27" t="inlineStr">
        <is>
          <t>marketingPostService.MakeDecisionAsync(M1, dto{Decision=Approve}, managerId: S1)</t>
        </is>
      </c>
      <c r="H8" s="27" t="inlineStr">
        <is>
          <t>Ném forbidden (403); Status vẫn = Submitted</t>
        </is>
      </c>
      <c r="I8" s="29" t="inlineStr">
        <is>
          <t>Yes</t>
        </is>
      </c>
      <c r="J8" s="43" t="inlineStr">
        <is>
          <t>Blocked</t>
        </is>
      </c>
      <c r="K8" s="27" t="n"/>
      <c r="L8" s="45" t="inlineStr">
        <is>
          <t>Phân quyền ở [Authorize] Controller — chuyển L3</t>
        </is>
      </c>
      <c r="M8" s="43" t="inlineStr">
        <is>
          <t>🔒 CẦN L3 (không phải bug)
MakeDecisionAsync (184-266) tự nó không check role, nhưng [Authorize(Roles="SalesManager,SaleManager,Admin,CEO")] ở Controller đã chặn hẳn Sales Staff gọi endpoint này (kể cả tự duyệt bài của chính mình) — đã có test L3 xác nhận: VietTien.IntegrationTests/RoleGateTests.cs:136-157 (L1_MKT_03_MakeDecision_SalesStaffRole_Forbidden).</t>
        </is>
      </c>
    </row>
    <row r="9" ht="33.75" customHeight="1">
      <c r="A9" s="31" t="inlineStr">
        <is>
          <t>L1-MKT-04</t>
        </is>
      </c>
      <c r="B9" s="37" t="inlineStr">
        <is>
          <t>State-Invalid</t>
        </is>
      </c>
      <c r="C9" s="32" t="inlineStr">
        <is>
          <t>Đăng bài CHƯA được duyệt -&gt; chặn</t>
        </is>
      </c>
      <c r="D9" s="32" t="inlineStr">
        <is>
          <t>FT-10; BR-046; 4.4.4 invalid row 1</t>
        </is>
      </c>
      <c r="E9" s="28" t="inlineStr">
        <is>
          <t>P1</t>
        </is>
      </c>
      <c r="F9" s="32" t="inlineStr">
        <is>
          <t>Bài M1 Status=Draft (chưa Submit/Approve)</t>
        </is>
      </c>
      <c r="G9" s="32" t="inlineStr">
        <is>
          <t>marketingPostService.PublishNowAsync(M1, managerId)</t>
        </is>
      </c>
      <c r="H9" s="32" t="inlineStr">
        <is>
          <t>Từ chối; KHÔNG gọi IMakeWebhookService; Status vẫn Draft</t>
        </is>
      </c>
      <c r="I9" s="35" t="inlineStr">
        <is>
          <t>Yes</t>
        </is>
      </c>
      <c r="J9" s="43" t="inlineStr">
        <is>
          <t>Fail</t>
        </is>
      </c>
      <c r="K9" s="32" t="n"/>
      <c r="L9" s="46" t="n"/>
      <c r="M9" s="43" t="inlineStr">
        <is>
          <t>✅ ĐÃ FIX
MarketingPostService.cs:276-277 throw nếu Status != Approved trước khi gọi webhook.</t>
        </is>
      </c>
    </row>
    <row r="10" ht="33.75" customHeight="1">
      <c r="A10" s="26" t="inlineStr">
        <is>
          <t>L1-MKT-05</t>
        </is>
      </c>
      <c r="B10" s="37" t="inlineStr">
        <is>
          <t>State-Valid</t>
        </is>
      </c>
      <c r="C10" s="27" t="inlineStr">
        <is>
          <t>Sales Manager duyệt -&gt; cho phép đăng/hẹn giờ</t>
        </is>
      </c>
      <c r="D10" s="27" t="inlineStr">
        <is>
          <t>FT-10; BR-046</t>
        </is>
      </c>
      <c r="E10" s="28" t="inlineStr">
        <is>
          <t>P1</t>
        </is>
      </c>
      <c r="F10" s="27" t="inlineStr">
        <is>
          <t>Bài M1 Status=Submitted; caller vai trò SalesManager</t>
        </is>
      </c>
      <c r="G10" s="27" t="inlineStr">
        <is>
          <t>marketingPostService.MakeDecisionAsync(M1, dto{Decision=Approve}, managerId)</t>
        </is>
      </c>
      <c r="H10" s="27" t="inlineStr">
        <is>
          <t>Status = Approved (2); lưu người duyệt + thời điểm</t>
        </is>
      </c>
      <c r="I10" s="27" t="inlineStr">
        <is>
          <t>No</t>
        </is>
      </c>
      <c r="J10" s="43" t="inlineStr">
        <is>
          <t>Pass</t>
        </is>
      </c>
      <c r="K10" s="27" t="n"/>
      <c r="L10" s="45" t="n"/>
      <c r="M10" s="43" t="inlineStr">
        <is>
          <t>✅ Pass (không đổi)</t>
        </is>
      </c>
    </row>
    <row r="11" ht="46.5" customHeight="1">
      <c r="A11" s="31" t="inlineStr">
        <is>
          <t>L1-MKT-06</t>
        </is>
      </c>
      <c r="B11" s="37" t="inlineStr">
        <is>
          <t>State-Valid</t>
        </is>
      </c>
      <c r="C11" s="32" t="inlineStr">
        <is>
          <t>Từ chối kèm lý do -&gt; trả về cho Sales sửa</t>
        </is>
      </c>
      <c r="D11" s="32" t="inlineStr">
        <is>
          <t>FT-10; BR-046</t>
        </is>
      </c>
      <c r="E11" s="36" t="inlineStr">
        <is>
          <t>P2</t>
        </is>
      </c>
      <c r="F11" s="32" t="inlineStr">
        <is>
          <t>Bài M1 Status=Submitted</t>
        </is>
      </c>
      <c r="G11" s="32" t="inlineStr">
        <is>
          <t>marketingPostService.MakeDecisionAsync(M1, dto{Decision=Reject, Reason}, managerId)</t>
        </is>
      </c>
      <c r="H11" s="32" t="inlineStr">
        <is>
          <t>Status = Rejected (3) hoặc ReworkRequired (4) theo dto
Lý do được lưu và hiển thị cho Sales</t>
        </is>
      </c>
      <c r="I11" s="32" t="inlineStr">
        <is>
          <t>No</t>
        </is>
      </c>
      <c r="J11" s="43" t="inlineStr">
        <is>
          <t>Pass</t>
        </is>
      </c>
      <c r="K11" s="32" t="n"/>
      <c r="L11" s="46" t="n"/>
      <c r="M11" s="43" t="inlineStr">
        <is>
          <t>✅ Pass (không đổi)</t>
        </is>
      </c>
    </row>
    <row r="12" ht="33.75" customHeight="1">
      <c r="A12" s="26" t="inlineStr">
        <is>
          <t>L1-MKT-07</t>
        </is>
      </c>
      <c r="B12" s="37" t="inlineStr">
        <is>
          <t>EP-Invalid</t>
        </is>
      </c>
      <c r="C12" s="27" t="inlineStr">
        <is>
          <t>Sửa nội dung bài ĐÃ duyệt mà không duyệt lại -&gt; chặn</t>
        </is>
      </c>
      <c r="D12" s="27" t="inlineStr">
        <is>
          <t>FT-10; BR-046</t>
        </is>
      </c>
      <c r="E12" s="28" t="inlineStr">
        <is>
          <t>P1</t>
        </is>
      </c>
      <c r="F12" s="27" t="inlineStr">
        <is>
          <t>Bài M1 Status=Approved</t>
        </is>
      </c>
      <c r="G12" s="27" t="inlineStr">
        <is>
          <t>marketingPostService.UpdatePostAsync(M1, dto{đổi caption}, userId, userRole)</t>
        </is>
      </c>
      <c r="H12" s="27" t="inlineStr">
        <is>
          <t>Từ chối, hoặc đưa về Submitted/ReworkRequired — KHÔNG giữ phê duyệt cũ cho nội dung mới</t>
        </is>
      </c>
      <c r="I12" s="29" t="inlineStr">
        <is>
          <t>Yes</t>
        </is>
      </c>
      <c r="J12" s="43" t="inlineStr">
        <is>
          <t>Pass</t>
        </is>
      </c>
      <c r="K12" s="27" t="n"/>
      <c r="L12" s="45" t="n"/>
      <c r="M12" s="43" t="inlineStr">
        <is>
          <t>✅ Pass (không đổi)</t>
        </is>
      </c>
    </row>
    <row r="13" ht="18" customHeight="1">
      <c r="A13" s="50" t="inlineStr">
        <is>
          <t xml:space="preserve">  ▶  Block: Đăng bài &amp; callback  |  BR-049; NFR-P07</t>
        </is>
      </c>
    </row>
    <row r="14" ht="46.5" customHeight="1">
      <c r="A14" s="26" t="inlineStr">
        <is>
          <t>L1-MKT-08</t>
        </is>
      </c>
      <c r="B14" s="37" t="inlineStr">
        <is>
          <t>EP-Valid</t>
        </is>
      </c>
      <c r="C14" s="27" t="inlineStr">
        <is>
          <t>Publish -&gt; gọi webhook 1 lần, trạng thái đang đăng</t>
        </is>
      </c>
      <c r="D14" s="27" t="inlineStr">
        <is>
          <t>FT-10; NFR-P07</t>
        </is>
      </c>
      <c r="E14" s="28" t="inlineStr">
        <is>
          <t>P1</t>
        </is>
      </c>
      <c r="F14" s="27" t="inlineStr">
        <is>
          <t>Bài M1 Status=Approved; mock IMakeWebhookService</t>
        </is>
      </c>
      <c r="G14" s="27" t="inlineStr">
        <is>
          <t>marketingPostService.PublishNowAsync(M1, managerId)</t>
        </is>
      </c>
      <c r="H14" s="27" t="inlineStr">
        <is>
          <t>makeWebhookService gọi đúng 1 lần
Status = Posting (6) — không chờ đồng bộ</t>
        </is>
      </c>
      <c r="I14" s="27" t="inlineStr">
        <is>
          <t>No</t>
        </is>
      </c>
      <c r="J14" s="43" t="inlineStr">
        <is>
          <t>Pass</t>
        </is>
      </c>
      <c r="K14" s="27" t="n"/>
      <c r="L14" s="45" t="n"/>
      <c r="M14" s="43" t="inlineStr">
        <is>
          <t>✅ Pass (không đổi)</t>
        </is>
      </c>
    </row>
    <row r="15" ht="33.75" customHeight="1">
      <c r="A15" s="31" t="inlineStr">
        <is>
          <t>L1-MKT-09</t>
        </is>
      </c>
      <c r="B15" s="37" t="inlineStr">
        <is>
          <t>EP-Valid</t>
        </is>
      </c>
      <c r="C15" s="32" t="inlineStr">
        <is>
          <t>Callback thành công -&gt; lưu id/URL bài và số liệu</t>
        </is>
      </c>
      <c r="D15" s="32" t="inlineStr">
        <is>
          <t>FT-10; BR-049</t>
        </is>
      </c>
      <c r="E15" s="28" t="inlineStr">
        <is>
          <t>P1</t>
        </is>
      </c>
      <c r="F15" s="32" t="inlineStr">
        <is>
          <t>Bài M1 Status=Posting</t>
        </is>
      </c>
      <c r="G15" s="32" t="inlineStr">
        <is>
          <t>marketingPostService.HandleMakeWebhookCallbackAsync(M1, MakeWebhookCallbackDto{success})</t>
        </is>
      </c>
      <c r="H15" s="32" t="inlineStr">
        <is>
          <t>Status = Success (7); lưu Facebook post id + URL</t>
        </is>
      </c>
      <c r="I15" s="32" t="inlineStr">
        <is>
          <t>No</t>
        </is>
      </c>
      <c r="J15" s="43" t="inlineStr">
        <is>
          <t>Pass</t>
        </is>
      </c>
      <c r="K15" s="32" t="n"/>
      <c r="L15" s="46" t="n"/>
      <c r="M15" s="43" t="inlineStr">
        <is>
          <t>✅ Pass (không đổi)</t>
        </is>
      </c>
    </row>
    <row r="16" ht="46.5" customHeight="1">
      <c r="A16" s="26" t="inlineStr">
        <is>
          <t>L1-MKT-10</t>
        </is>
      </c>
      <c r="B16" s="37" t="inlineStr">
        <is>
          <t>EP-Valid</t>
        </is>
      </c>
      <c r="C16" s="27" t="inlineStr">
        <is>
          <t>Callback thất bại -&gt; đánh dấu lỗi, giữ lịch sử, cảnh báo</t>
        </is>
      </c>
      <c r="D16" s="27" t="inlineStr">
        <is>
          <t>FT-10; BR-049; FT-09 AC-05</t>
        </is>
      </c>
      <c r="E16" s="28" t="inlineStr">
        <is>
          <t>P1</t>
        </is>
      </c>
      <c r="F16" s="27" t="inlineStr">
        <is>
          <t>Bài M1 Status=Posting</t>
        </is>
      </c>
      <c r="G16" s="27" t="inlineStr">
        <is>
          <t>marketingPostService.HandleMakeWebhookCallbackAsync(M1, dto{failed, error})</t>
        </is>
      </c>
      <c r="H16" s="27" t="inlineStr">
        <is>
          <t>Status = PublishFailed (8); lưu lỗi; tạo cảnh báo
Bài vẫn còn trong lịch sử</t>
        </is>
      </c>
      <c r="I16" s="27" t="inlineStr">
        <is>
          <t>No</t>
        </is>
      </c>
      <c r="J16" s="43" t="inlineStr">
        <is>
          <t>Pass</t>
        </is>
      </c>
      <c r="K16" s="27" t="n"/>
      <c r="L16" s="45" t="n"/>
      <c r="M16" s="43" t="inlineStr">
        <is>
          <t>✅ Pass (không đổi)</t>
        </is>
      </c>
    </row>
    <row r="17" ht="33.75" customHeight="1">
      <c r="A17" s="31" t="inlineStr">
        <is>
          <t>L1-MKT-11</t>
        </is>
      </c>
      <c r="B17" s="37" t="inlineStr">
        <is>
          <t>Idempotency</t>
        </is>
      </c>
      <c r="C17" s="32" t="inlineStr">
        <is>
          <t>Callback gửi trùng -&gt; không tạo bản ghi đăng thứ 2</t>
        </is>
      </c>
      <c r="D17" s="32" t="inlineStr">
        <is>
          <t>BR-029; BR-049</t>
        </is>
      </c>
      <c r="E17" s="28" t="inlineStr">
        <is>
          <t>P1</t>
        </is>
      </c>
      <c r="F17" s="32" t="inlineStr">
        <is>
          <t>Bài M1 Status=Success, đã nhận callback</t>
        </is>
      </c>
      <c r="G17" s="32" t="inlineStr">
        <is>
          <t>marketingPostService.HandleMakeWebhookCallbackAsync(M1, cùng payload)</t>
        </is>
      </c>
      <c r="H17" s="32" t="inlineStr">
        <is>
          <t>Không đổi trạng thái; không ghi thêm bản ghi publish</t>
        </is>
      </c>
      <c r="I17" s="35" t="inlineStr">
        <is>
          <t>Yes</t>
        </is>
      </c>
      <c r="J17" s="43" t="inlineStr">
        <is>
          <t>Pass</t>
        </is>
      </c>
      <c r="K17" s="32" t="n"/>
      <c r="L17" s="46" t="n"/>
      <c r="M17" s="43" t="inlineStr">
        <is>
          <t>✅ Pass (không đổi)</t>
        </is>
      </c>
    </row>
    <row r="18" ht="33.75" customHeight="1">
      <c r="A18" s="26" t="inlineStr">
        <is>
          <t>L1-MKT-12</t>
        </is>
      </c>
      <c r="B18" s="37" t="inlineStr">
        <is>
          <t>EP-Invalid</t>
        </is>
      </c>
      <c r="C18" s="27" t="inlineStr">
        <is>
          <t>Callback cho bài không ở trạng thái đang đăng -&gt; bỏ qua an toàn</t>
        </is>
      </c>
      <c r="D18" s="27" t="inlineStr">
        <is>
          <t>BR-049</t>
        </is>
      </c>
      <c r="E18" s="34" t="inlineStr">
        <is>
          <t>P2</t>
        </is>
      </c>
      <c r="F18" s="27" t="inlineStr">
        <is>
          <t>Bài M1 Status=Draft</t>
        </is>
      </c>
      <c r="G18" s="27" t="inlineStr">
        <is>
          <t>marketingPostService.HandleMakeWebhookCallbackAsync(M1, dto{success})</t>
        </is>
      </c>
      <c r="H18" s="27" t="inlineStr">
        <is>
          <t>Bỏ qua/từ chối — Draft KHÔNG được nhảy thẳng sang Success</t>
        </is>
      </c>
      <c r="I18" s="29" t="inlineStr">
        <is>
          <t>Yes</t>
        </is>
      </c>
      <c r="J18" s="43" t="inlineStr">
        <is>
          <t>Fail</t>
        </is>
      </c>
      <c r="K18" s="27" t="n"/>
      <c r="L18" s="45" t="n"/>
      <c r="M18" s="43" t="inlineStr">
        <is>
          <t>✅ ĐÃ FIX
HandleMakeWebhookCallbackAsync (306-307) bỏ qua callback nếu Status != Posting.</t>
        </is>
      </c>
    </row>
    <row r="19" ht="33.75" customHeight="1">
      <c r="A19" s="31" t="inlineStr">
        <is>
          <t>L1-MKT-13</t>
        </is>
      </c>
      <c r="B19" s="37" t="inlineStr">
        <is>
          <t>EP-Valid</t>
        </is>
      </c>
      <c r="C19" s="32" t="inlineStr">
        <is>
          <t>Đăng bài KHÔNG làm đổi quyền phụ trách khách hàng</t>
        </is>
      </c>
      <c r="D19" s="32" t="inlineStr">
        <is>
          <t>FT-04; BR-003</t>
        </is>
      </c>
      <c r="E19" s="28" t="inlineStr">
        <is>
          <t>P1</t>
        </is>
      </c>
      <c r="F19" s="32" t="inlineStr">
        <is>
          <t>Khách U1 thuộc Sales S1; bài do S2 tạo</t>
        </is>
      </c>
      <c r="G19" s="32" t="inlineStr">
        <is>
          <t>marketingPostService.HandleMakeWebhookCallbackAsync(M1, dto{success})</t>
        </is>
      </c>
      <c r="H19" s="32" t="inlineStr">
        <is>
          <t>CustomerProfile của U1 vẫn gán S1 — marketing không đổi ownership (BR-003)</t>
        </is>
      </c>
      <c r="I19" s="32" t="inlineStr">
        <is>
          <t>No</t>
        </is>
      </c>
      <c r="J19" s="43" t="inlineStr">
        <is>
          <t>Pass</t>
        </is>
      </c>
      <c r="K19" s="32" t="n"/>
      <c r="L19" s="46" t="n"/>
      <c r="M19" s="43" t="inlineStr">
        <is>
          <t>✅ Pass (không đổi)</t>
        </is>
      </c>
    </row>
    <row r="20" ht="15" customHeight="1">
      <c r="A20" s="52" t="inlineStr">
        <is>
          <t xml:space="preserve">  ▶  Template Row — copy khi thêm case mới</t>
        </is>
      </c>
    </row>
    <row r="21" ht="53.25" customHeight="1">
      <c r="A21" s="43" t="inlineStr">
        <is>
          <t>L1-XX-[NN]</t>
        </is>
      </c>
      <c r="B21" s="43" t="inlineStr">
        <is>
          <t>[BC-TRUE | BC-FALSE | CC | EP-Valid | EP-Invalid | BVA-* | State-* | Guard-* | Concurrency | Idempotency | Atomicity]</t>
        </is>
      </c>
      <c r="C21" s="43" t="inlineStr">
        <is>
          <t>[Branch / condition / partition]</t>
        </is>
      </c>
      <c r="D21" s="43" t="inlineStr">
        <is>
          <t>[FT-xx AC/NAC/BV-xx; BR-xxx; NFR-xxx]</t>
        </is>
      </c>
      <c r="E21" s="43" t="inlineStr">
        <is>
          <t>P2</t>
        </is>
      </c>
      <c r="F21" s="43" t="inlineStr">
        <is>
          <t>[Arrange: state + _mock.Setup(...)]</t>
        </is>
      </c>
      <c r="G21" s="43" t="inlineStr">
        <is>
          <t>service.Method(params)</t>
        </is>
      </c>
      <c r="H21" s="43" t="inlineStr">
        <is>
          <t>[result.Should().Be(...) / Throws / _mock.Verify(..., Times.Never)]</t>
        </is>
      </c>
      <c r="I21" s="43" t="inlineStr">
        <is>
          <t>No</t>
        </is>
      </c>
      <c r="J21" s="43" t="inlineStr">
        <is>
          <t>Not Run</t>
        </is>
      </c>
      <c r="K21" s="43" t="n"/>
      <c r="L21" s="43" t="n"/>
    </row>
    <row r="22" ht="15.75" customHeight="1"/>
    <row r="23" ht="15" customHeight="1">
      <c r="A23" s="50" t="inlineStr">
        <is>
          <t xml:space="preserve">  ▶  Block: ⊕ v2.2 — Giới hạn hàng đợi lên lịch  |  MAX_SCHEDULED_MARKETING_POSTS  |  4.4.4; BV-01</t>
        </is>
      </c>
    </row>
    <row r="24" ht="46.5" customHeight="1">
      <c r="A24" s="26" t="inlineStr">
        <is>
          <t>L1-MKT-14</t>
        </is>
      </c>
      <c r="B24" s="37" t="inlineStr">
        <is>
          <t>BVA</t>
        </is>
      </c>
      <c r="C24" s="27" t="inlineStr">
        <is>
          <t>Số bài Scheduled tại 29 / 30 / 31 so với ngưỡng cấu hình</t>
        </is>
      </c>
      <c r="D24" s="27" t="inlineStr">
        <is>
          <t>FT-10; BR-046; BR-050</t>
        </is>
      </c>
      <c r="E24" s="28" t="inlineStr">
        <is>
          <t>P1</t>
        </is>
      </c>
      <c r="F24" s="27" t="inlineStr">
        <is>
          <t>SystemConfig 'MAX_SCHEDULED_MARKETING_POSTS' = 30
[Theory] hiện có 29 / 30 bài Status = Scheduled (5)</t>
        </is>
      </c>
      <c r="G24" s="27" t="inlineStr">
        <is>
          <t>marketingPostService.MakeDecisionAsync(M1, dto{Decision=Approve, ScheduledAt=tương lai}, managerId)</t>
        </is>
      </c>
      <c r="H24" s="27" t="inlineStr">
        <is>
          <t>29 bài: lên lịch thành công (thành 30)
30 bài: TỪ CHỐI — vượt hàng đợi tối đa</t>
        </is>
      </c>
      <c r="I24" s="29" t="inlineStr">
        <is>
          <t>Yes</t>
        </is>
      </c>
      <c r="J24" s="43" t="inlineStr">
        <is>
          <t>Pass</t>
        </is>
      </c>
      <c r="K24" s="27" t="n"/>
      <c r="L24" s="45" t="n"/>
      <c r="M24" s="43" t="inlineStr">
        <is>
          <t>✅ Pass (không đổi)</t>
        </is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L20"/>
    <mergeCell ref="A2:L2"/>
    <mergeCell ref="A1:L1"/>
    <mergeCell ref="A23:L23"/>
    <mergeCell ref="A5:L5"/>
    <mergeCell ref="A13:L13"/>
  </mergeCells>
  <dataValidations count="2">
    <dataValidation sqref="E6:E12 E14:E19 E21 E24" showDropDown="0" showInputMessage="0" showErrorMessage="0" allowBlank="1" type="list">
      <formula1>"P1,P2,P3"</formula1>
      <formula2>0</formula2>
    </dataValidation>
    <dataValidation sqref="J6:J12 J14:J19 J21 J24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DashboardKpiServices  |  MỚI v2.1  |  CeoDashboardService · SalesManagerDashboardService · SalesStaffDashboardService · KpiService  |  FT-09; NAC-01; NFR-SEC03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Phân quyền phạm vi dữ liệu  |  FT-09 AC-01; BV-01; NAC-01</t>
        </is>
      </c>
    </row>
    <row r="6" ht="30" customHeight="1">
      <c r="A6" s="26" t="inlineStr">
        <is>
          <t>L1-DASH-01</t>
        </is>
      </c>
      <c r="B6" s="37" t="inlineStr">
        <is>
          <t>EP-Valid</t>
        </is>
      </c>
      <c r="C6" s="27" t="inlineStr">
        <is>
          <t>Sales Staff chỉ thấy số liệu khách/đơn của chính mình</t>
        </is>
      </c>
      <c r="D6" s="27" t="inlineStr">
        <is>
          <t>FT-09 AC-01; BV-01</t>
        </is>
      </c>
      <c r="E6" s="28" t="inlineStr">
        <is>
          <t>P1</t>
        </is>
      </c>
      <c r="F6" s="27" t="inlineStr">
        <is>
          <t>S1 phụ trách 3 khách (5 đơn); S2 phụ trách 2 khách (4 đơn)</t>
        </is>
      </c>
      <c r="G6" s="27" t="inlineStr">
        <is>
          <t>salesStaffDashboardService.GetAsync(S1, period)</t>
        </is>
      </c>
      <c r="H6" s="27" t="inlineStr">
        <is>
          <t>Chỉ tổng hợp 5 đơn của S1; không lẫn số liệu của S2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L1-DASH-02</t>
        </is>
      </c>
      <c r="B7" s="37" t="inlineStr">
        <is>
          <t>EP-Invalid</t>
        </is>
      </c>
      <c r="C7" s="32" t="inlineStr">
        <is>
          <t>Sales Staff truyền id của người khác -&gt; không lấy được dữ liệu người đó</t>
        </is>
      </c>
      <c r="D7" s="32" t="inlineStr">
        <is>
          <t>FT-09 NAC-01; NFR-SEC03</t>
        </is>
      </c>
      <c r="E7" s="28" t="inlineStr">
        <is>
          <t>P1</t>
        </is>
      </c>
      <c r="F7" s="32" t="inlineStr">
        <is>
          <t>Caller là S1</t>
        </is>
      </c>
      <c r="G7" s="32" t="inlineStr">
        <is>
          <t>salesStaffDashboardService.GetAsync(S2, period) với caller = S1</t>
        </is>
      </c>
      <c r="H7" s="32" t="inlineStr">
        <is>
          <t>Ném forbidden hoặc tự ép về phạm vi của S1 — không trả dữ liệu S2</t>
        </is>
      </c>
      <c r="I7" s="35" t="inlineStr">
        <is>
          <t>Yes</t>
        </is>
      </c>
      <c r="J7" s="43" t="inlineStr">
        <is>
          <t>Blocked</t>
        </is>
      </c>
      <c r="K7" s="32" t="n"/>
      <c r="L7" s="46" t="inlineStr">
        <is>
          <t>callerId lấy từ JWT, không truyền id người khác được — chuyển L3</t>
        </is>
      </c>
      <c r="M7" s="43" t="inlineStr">
        <is>
          <t>✅ ĐÃ FIX
SalesStaffDashboardService.GetDashboardAsync giờ nhận callerId (ISalesStaffDashboardService.cs:8).</t>
        </is>
      </c>
    </row>
    <row r="8" ht="30" customHeight="1">
      <c r="A8" s="26" t="inlineStr">
        <is>
          <t>L1-DASH-03</t>
        </is>
      </c>
      <c r="B8" s="37" t="inlineStr">
        <is>
          <t>EP-Valid</t>
        </is>
      </c>
      <c r="C8" s="27" t="inlineStr">
        <is>
          <t>Sales Manager thấy số liệu toàn nhóm</t>
        </is>
      </c>
      <c r="D8" s="27" t="inlineStr">
        <is>
          <t>FT-09 AC-01</t>
        </is>
      </c>
      <c r="E8" s="28" t="inlineStr">
        <is>
          <t>P1</t>
        </is>
      </c>
      <c r="F8" s="27" t="inlineStr">
        <is>
          <t>Nhóm có S1 và S2</t>
        </is>
      </c>
      <c r="G8" s="27" t="inlineStr">
        <is>
          <t>salesManagerDashboardService.GetAsync(managerId, period)</t>
        </is>
      </c>
      <c r="H8" s="27" t="inlineStr">
        <is>
          <t>Tổng hợp đủ 9 đơn của cả nhóm</t>
        </is>
      </c>
      <c r="I8" s="27" t="inlineStr">
        <is>
          <t>No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30" customHeight="1">
      <c r="A9" s="31" t="inlineStr">
        <is>
          <t>L1-DASH-04</t>
        </is>
      </c>
      <c r="B9" s="37" t="inlineStr">
        <is>
          <t>EP-Valid</t>
        </is>
      </c>
      <c r="C9" s="32" t="inlineStr">
        <is>
          <t>CEO thấy số liệu toàn công ty, gồm cả kho và mua hàng</t>
        </is>
      </c>
      <c r="D9" s="32" t="inlineStr">
        <is>
          <t>FT-09 AC-01</t>
        </is>
      </c>
      <c r="E9" s="28" t="inlineStr">
        <is>
          <t>P1</t>
        </is>
      </c>
      <c r="F9" s="32" t="inlineStr">
        <is>
          <t>Có dữ liệu đơn, tồn kho, PO, giao hàng</t>
        </is>
      </c>
      <c r="G9" s="32" t="inlineStr">
        <is>
          <t>ceoDashboardService.GetAsync(period)</t>
        </is>
      </c>
      <c r="H9" s="32" t="inlineStr">
        <is>
          <t>Bao gồm các nhóm chỉ số cấp công ty theo SRS</t>
        </is>
      </c>
      <c r="I9" s="32" t="inlineStr">
        <is>
          <t>No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30" customHeight="1">
      <c r="A10" s="26" t="inlineStr">
        <is>
          <t>L1-DASH-05</t>
        </is>
      </c>
      <c r="B10" s="37" t="inlineStr">
        <is>
          <t>EP-Invalid</t>
        </is>
      </c>
      <c r="C10" s="27" t="inlineStr">
        <is>
          <t>Vai trò Customer/Warehouse gọi dashboard cấp quản lý -&gt; forbidden</t>
        </is>
      </c>
      <c r="D10" s="27" t="inlineStr">
        <is>
          <t>FT-09 NAC-01; NFR-SEC03</t>
        </is>
      </c>
      <c r="E10" s="28" t="inlineStr">
        <is>
          <t>P1</t>
        </is>
      </c>
      <c r="F10" s="27" t="inlineStr">
        <is>
          <t>Caller vai trò Customer</t>
        </is>
      </c>
      <c r="G10" s="27" t="inlineStr">
        <is>
          <t>salesManagerDashboardService.GetAsync(customerId, period)</t>
        </is>
      </c>
      <c r="H10" s="27" t="inlineStr">
        <is>
          <t>Ném forbidden; không trả dòng dữ liệu nào</t>
        </is>
      </c>
      <c r="I10" s="29" t="inlineStr">
        <is>
          <t>Yes</t>
        </is>
      </c>
      <c r="J10" s="43" t="inlineStr">
        <is>
          <t>Blocked</t>
        </is>
      </c>
      <c r="K10" s="27" t="n"/>
      <c r="L10" s="45" t="inlineStr">
        <is>
          <t>GetDashboardAsync(from,to) không có caller — chuyển L3</t>
        </is>
      </c>
      <c r="M10" s="43" t="inlineStr">
        <is>
          <t>🔒 CẦN L3 (không phải bug)
SalesManagerDashboardService.GetDashboardAsync(from,to) không nhận caller/role, nhưng [Authorize] ở Controller đã chặn Customer/Warehouse. Có test L3: VietTien.IntegrationTests/RoleGateTests.cs:181-211 (L1_DASH_05_...).</t>
        </is>
      </c>
    </row>
    <row r="11" ht="18" customHeight="1">
      <c r="A11" s="50" t="inlineStr">
        <is>
          <t xml:space="preserve">  ▶  Block: Công thức &amp; khoảng thời gian  |  FT-09 AC-01</t>
        </is>
      </c>
    </row>
    <row r="12" ht="30" customHeight="1">
      <c r="A12" s="26" t="inlineStr">
        <is>
          <t>L1-DASH-06</t>
        </is>
      </c>
      <c r="B12" s="37" t="inlineStr">
        <is>
          <t>BVA</t>
        </is>
      </c>
      <c r="C12" s="27" t="inlineStr">
        <is>
          <t>Bộ lọc theo kỳ lấy đúng biên ngày đầu/cuối</t>
        </is>
      </c>
      <c r="D12" s="27" t="inlineStr">
        <is>
          <t>FT-09 AC-01; BV-02</t>
        </is>
      </c>
      <c r="E12" s="28" t="inlineStr">
        <is>
          <t>P1</t>
        </is>
      </c>
      <c r="F12" s="27" t="inlineStr">
        <is>
          <t>Đơn tạo lúc 00:00:00 ngày đầu kỳ và 23:59:59 ngày cuối kỳ</t>
        </is>
      </c>
      <c r="G12" s="27" t="inlineStr">
        <is>
          <t>kpiService.GetSnapshotAsync(from, to)</t>
        </is>
      </c>
      <c r="H12" s="27" t="inlineStr">
        <is>
          <t>Cả hai đơn biên đều được tính; đơn trước/sau kỳ bị loại</t>
        </is>
      </c>
      <c r="I12" s="27" t="inlineStr">
        <is>
          <t>No</t>
        </is>
      </c>
      <c r="J12" s="43" t="inlineStr">
        <is>
          <t>Pass</t>
        </is>
      </c>
      <c r="K12" s="27" t="n"/>
      <c r="L12" s="45" t="n"/>
      <c r="M12" s="43" t="inlineStr">
        <is>
          <t>✅ Pass (không đổi)</t>
        </is>
      </c>
    </row>
    <row r="13" ht="30" customHeight="1">
      <c r="A13" s="31" t="inlineStr">
        <is>
          <t>L1-DASH-07</t>
        </is>
      </c>
      <c r="B13" s="37" t="inlineStr">
        <is>
          <t>EP-Valid</t>
        </is>
      </c>
      <c r="C13" s="32" t="inlineStr">
        <is>
          <t>Đơn Cancelled không tính vào doanh thu</t>
        </is>
      </c>
      <c r="D13" s="32" t="inlineStr">
        <is>
          <t>FT-09 AC-01</t>
        </is>
      </c>
      <c r="E13" s="28" t="inlineStr">
        <is>
          <t>P1</t>
        </is>
      </c>
      <c r="F13" s="32" t="inlineStr">
        <is>
          <t>3 đơn Delivered + 2 đơn Cancelled</t>
        </is>
      </c>
      <c r="G13" s="32" t="inlineStr">
        <is>
          <t>kpiService.GetSnapshotAsync(period)</t>
        </is>
      </c>
      <c r="H13" s="32" t="inlineStr">
        <is>
          <t>Doanh thu chỉ cộng 3 đơn Delivered</t>
        </is>
      </c>
      <c r="I13" s="32" t="inlineStr">
        <is>
          <t>No</t>
        </is>
      </c>
      <c r="J13" s="43" t="inlineStr">
        <is>
          <t>Pass</t>
        </is>
      </c>
      <c r="K13" s="32" t="n"/>
      <c r="L13" s="46" t="n"/>
      <c r="M13" s="43" t="inlineStr">
        <is>
          <t>✅ Pass (không đổi)</t>
        </is>
      </c>
    </row>
    <row r="14" ht="30" customHeight="1">
      <c r="A14" s="26" t="inlineStr">
        <is>
          <t>L1-DASH-08</t>
        </is>
      </c>
      <c r="B14" s="37" t="inlineStr">
        <is>
          <t>EP-Valid</t>
        </is>
      </c>
      <c r="C14" s="27" t="inlineStr">
        <is>
          <t>Không có dữ liệu trong kỳ -&gt; trả 0, không lỗi</t>
        </is>
      </c>
      <c r="D14" s="27" t="inlineStr">
        <is>
          <t>FT-09 AC-01</t>
        </is>
      </c>
      <c r="E14" s="34" t="inlineStr">
        <is>
          <t>P2</t>
        </is>
      </c>
      <c r="F14" s="27" t="inlineStr">
        <is>
          <t>Kỳ không có đơn nào</t>
        </is>
      </c>
      <c r="G14" s="27" t="inlineStr">
        <is>
          <t>kpiService.GetSnapshotAsync(emptyPeriod)</t>
        </is>
      </c>
      <c r="H14" s="27" t="inlineStr">
        <is>
          <t>Các chỉ số = 0; không chia cho 0; không ném lỗi</t>
        </is>
      </c>
      <c r="I14" s="27" t="inlineStr">
        <is>
          <t>No</t>
        </is>
      </c>
      <c r="J14" s="43" t="inlineStr">
        <is>
          <t>Pass</t>
        </is>
      </c>
      <c r="K14" s="27" t="n"/>
      <c r="L14" s="45" t="n"/>
      <c r="M14" s="43" t="inlineStr">
        <is>
          <t>✅ Pass (không đổi)</t>
        </is>
      </c>
    </row>
    <row r="15" ht="15" customHeight="1">
      <c r="A15" s="52" t="inlineStr">
        <is>
          <t xml:space="preserve">  ▶  Template Row — copy khi thêm case mới</t>
        </is>
      </c>
    </row>
    <row r="16" ht="53.25" customHeight="1">
      <c r="A16" s="43" t="inlineStr">
        <is>
          <t>L1-XX-[NN]</t>
        </is>
      </c>
      <c r="B16" s="43" t="inlineStr">
        <is>
          <t>[BC-TRUE | BC-FALSE | CC | EP-Valid | EP-Invalid | BVA-* | State-* | Guard-* | Concurrency | Idempotency | Atomicity]</t>
        </is>
      </c>
      <c r="C16" s="43" t="inlineStr">
        <is>
          <t>[Branch / condition / partition]</t>
        </is>
      </c>
      <c r="D16" s="43" t="inlineStr">
        <is>
          <t>[FT-xx AC/NAC/BV-xx; BR-xxx; NFR-xxx]</t>
        </is>
      </c>
      <c r="E16" s="43" t="inlineStr">
        <is>
          <t>P2</t>
        </is>
      </c>
      <c r="F16" s="43" t="inlineStr">
        <is>
          <t>[Arrange: state + _mock.Setup(...)]</t>
        </is>
      </c>
      <c r="G16" s="43" t="inlineStr">
        <is>
          <t>service.Method(params)</t>
        </is>
      </c>
      <c r="H16" s="43" t="inlineStr">
        <is>
          <t>[result.Should().Be(...) / Throws / _mock.Verify(..., Times.Never)]</t>
        </is>
      </c>
      <c r="I16" s="43" t="inlineStr">
        <is>
          <t>No</t>
        </is>
      </c>
      <c r="J16" s="43" t="inlineStr">
        <is>
          <t>Not Run</t>
        </is>
      </c>
      <c r="K16" s="43" t="n"/>
      <c r="L16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5:L15"/>
    <mergeCell ref="A11:L11"/>
    <mergeCell ref="A1:L1"/>
    <mergeCell ref="A5:L5"/>
  </mergeCells>
  <dataValidations count="2">
    <dataValidation sqref="E6:E10 E12:E14 E16" showDropDown="0" showInputMessage="0" showErrorMessage="0" allowBlank="1" type="list">
      <formula1>"P1,P2,P3"</formula1>
      <formula2>0</formula2>
    </dataValidation>
    <dataValidation sqref="J6:J10 J12:J14 J16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JobRunService  |  MỚI v2.1  |  methods: RunTrackedAsync, GetLastRunAsync, SearchAsync, GetHealthSummaryAsync  |  FT-09; BR-049; NFR-A04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RunTrackedAsync()  |  FT-09 AC-05; NAC-05; BV-03; BR-049</t>
        </is>
      </c>
    </row>
    <row r="6" ht="30" customHeight="1">
      <c r="A6" s="26" t="inlineStr">
        <is>
          <t>L1-JOB-01</t>
        </is>
      </c>
      <c r="B6" s="37" t="inlineStr">
        <is>
          <t>EP-Valid</t>
        </is>
      </c>
      <c r="C6" s="27" t="inlineStr">
        <is>
          <t>Job chạy thành công -&gt; ghi bắt đầu, kết thúc, kết quả</t>
        </is>
      </c>
      <c r="D6" s="27" t="inlineStr">
        <is>
          <t>FT-09 AC-05; BR-049</t>
        </is>
      </c>
      <c r="E6" s="28" t="inlineStr">
        <is>
          <t>P1</t>
        </is>
      </c>
      <c r="F6" s="27" t="inlineStr">
        <is>
          <t>Delegate job trả thành công</t>
        </is>
      </c>
      <c r="G6" s="27" t="inlineStr">
        <is>
          <t>jobRunService.RunTrackedAsync('JobA', () =&gt; ok)</t>
        </is>
      </c>
      <c r="H6" s="27" t="inlineStr">
        <is>
          <t>JobExecutionLog có start, finish, result = Success, retryCount = 0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43.5" customHeight="1">
      <c r="A7" s="31" t="inlineStr">
        <is>
          <t>L1-JOB-02</t>
        </is>
      </c>
      <c r="B7" s="37" t="inlineStr">
        <is>
          <t>EP-Invalid</t>
        </is>
      </c>
      <c r="C7" s="32" t="inlineStr">
        <is>
          <t>Job ném lỗi -&gt; KHÔNG được đánh dấu thành công</t>
        </is>
      </c>
      <c r="D7" s="32" t="inlineStr">
        <is>
          <t>FT-09 NAC-05; BR-049</t>
        </is>
      </c>
      <c r="E7" s="28" t="inlineStr">
        <is>
          <t>P1</t>
        </is>
      </c>
      <c r="F7" s="32" t="inlineStr">
        <is>
          <t>Delegate job ném exception</t>
        </is>
      </c>
      <c r="G7" s="32" t="inlineStr">
        <is>
          <t>jobRunService.RunTrackedAsync('JobA', () =&gt; throw)</t>
        </is>
      </c>
      <c r="H7" s="32" t="inlineStr">
        <is>
          <t>Bản ghi = Failed, lưu nội dung lỗi
KHÔNG có bản ghi Success cho lần chạy này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43.5" customHeight="1">
      <c r="A8" s="26" t="inlineStr">
        <is>
          <t>L1-JOB-03</t>
        </is>
      </c>
      <c r="B8" s="37" t="inlineStr">
        <is>
          <t>BVA</t>
        </is>
      </c>
      <c r="C8" s="27" t="inlineStr">
        <is>
          <t>Số lần thử lại tại 0 / max-1 / max / max+1</t>
        </is>
      </c>
      <c r="D8" s="27" t="inlineStr">
        <is>
          <t>FT-09 BV-03; BR-049</t>
        </is>
      </c>
      <c r="E8" s="28" t="inlineStr">
        <is>
          <t>P1</t>
        </is>
      </c>
      <c r="F8" s="27" t="inlineStr">
        <is>
          <t>[Theory] retryCount theo cấu hình</t>
        </is>
      </c>
      <c r="G8" s="27" t="inlineStr">
        <is>
          <t>jobRunService.RunTrackedAsync(... với job luôn lỗi ...)</t>
        </is>
      </c>
      <c r="H8" s="27" t="inlineStr">
        <is>
          <t>Tới max: vẫn thử lại
Vượt max: đánh dấu thất bại cuối + tạo cảnh báo</t>
        </is>
      </c>
      <c r="I8" s="29" t="inlineStr">
        <is>
          <t>Yes</t>
        </is>
      </c>
      <c r="J8" s="43" t="inlineStr">
        <is>
          <t>Blocked</t>
        </is>
      </c>
      <c r="K8" s="27" t="n"/>
      <c r="L8" s="45" t="inlineStr">
        <is>
          <t>JobRunService không có cơ chế retry — tính năng chưa có</t>
        </is>
      </c>
      <c r="M8" s="43" t="inlineStr">
        <is>
          <t>❌ CHƯA FIX
JobRunService.cs:22-55 RunTrackedAsync chỉ try/catch đánh dấu Failed, không có retryCount/max-retry/cảnh báo.</t>
        </is>
      </c>
    </row>
    <row r="9" ht="30" customHeight="1">
      <c r="A9" s="31" t="inlineStr">
        <is>
          <t>L1-JOB-04</t>
        </is>
      </c>
      <c r="B9" s="37" t="inlineStr">
        <is>
          <t>EP-Invalid</t>
        </is>
      </c>
      <c r="C9" s="32" t="inlineStr">
        <is>
          <t>Lỗi của job KHÔNG được nuốt im lặng</t>
        </is>
      </c>
      <c r="D9" s="32" t="inlineStr">
        <is>
          <t>FT-09 NAC-05</t>
        </is>
      </c>
      <c r="E9" s="28" t="inlineStr">
        <is>
          <t>P1</t>
        </is>
      </c>
      <c r="F9" s="32" t="inlineStr">
        <is>
          <t>Job lỗi nhưng không ghi log được</t>
        </is>
      </c>
      <c r="G9" s="32" t="inlineStr">
        <is>
          <t>jobRunService.RunTrackedAsync('JobA', failingJob)</t>
        </is>
      </c>
      <c r="H9" s="32" t="inlineStr">
        <is>
          <t>Thiếu ghi log được coi là lỗi vận hành nghiêm trọng — có cảnh báo, không im lặng</t>
        </is>
      </c>
      <c r="I9" s="35" t="inlineStr">
        <is>
          <t>Yes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18" customHeight="1">
      <c r="A10" s="50" t="inlineStr">
        <is>
          <t xml:space="preserve">  ▶  Block: GetLastRunAsync() / SearchAsync() / GetHealthSummaryAsync()</t>
        </is>
      </c>
    </row>
    <row r="11" ht="30" customHeight="1">
      <c r="A11" s="26" t="inlineStr">
        <is>
          <t>L1-JOB-05</t>
        </is>
      </c>
      <c r="B11" s="37" t="inlineStr">
        <is>
          <t>EP-Valid</t>
        </is>
      </c>
      <c r="C11" s="27" t="inlineStr">
        <is>
          <t>GetLastRun trả đúng lần chạy gần nhất</t>
        </is>
      </c>
      <c r="D11" s="27" t="inlineStr">
        <is>
          <t>FT-09 AC-05</t>
        </is>
      </c>
      <c r="E11" s="34" t="inlineStr">
        <is>
          <t>P2</t>
        </is>
      </c>
      <c r="F11" s="27" t="inlineStr">
        <is>
          <t>JobA có 3 lần chạy</t>
        </is>
      </c>
      <c r="G11" s="27" t="inlineStr">
        <is>
          <t>jobRunService.GetLastRunAsync('JobA')</t>
        </is>
      </c>
      <c r="H11" s="27" t="inlineStr">
        <is>
          <t>Trả bản ghi mới nhất theo thời gian bắt đầu</t>
        </is>
      </c>
      <c r="I11" s="27" t="inlineStr">
        <is>
          <t>No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30" customHeight="1">
      <c r="A12" s="31" t="inlineStr">
        <is>
          <t>L1-JOB-06</t>
        </is>
      </c>
      <c r="B12" s="37" t="inlineStr">
        <is>
          <t>EP-Valid</t>
        </is>
      </c>
      <c r="C12" s="32" t="inlineStr">
        <is>
          <t>Health summary phản ánh đúng job đang lỗi</t>
        </is>
      </c>
      <c r="D12" s="32" t="inlineStr">
        <is>
          <t>FT-09 AC-05; NFR-A04</t>
        </is>
      </c>
      <c r="E12" s="28" t="inlineStr">
        <is>
          <t>P1</t>
        </is>
      </c>
      <c r="F12" s="32" t="inlineStr">
        <is>
          <t>JobA thành công, JobB thất bại lần cuối</t>
        </is>
      </c>
      <c r="G12" s="32" t="inlineStr">
        <is>
          <t>jobRunService.GetHealthSummaryAsync()</t>
        </is>
      </c>
      <c r="H12" s="32" t="inlineStr">
        <is>
          <t>JobB hiển thị trạng thái không khoẻ; JobA khoẻ</t>
        </is>
      </c>
      <c r="I12" s="32" t="inlineStr">
        <is>
          <t>No</t>
        </is>
      </c>
      <c r="J12" s="43" t="inlineStr">
        <is>
          <t>Pass</t>
        </is>
      </c>
      <c r="K12" s="32" t="n"/>
      <c r="L12" s="46" t="n"/>
      <c r="M12" s="43" t="inlineStr">
        <is>
          <t>✅ Pass (không đổi)</t>
        </is>
      </c>
    </row>
    <row r="13" ht="30" customHeight="1">
      <c r="A13" s="26" t="inlineStr">
        <is>
          <t>L1-JOB-07</t>
        </is>
      </c>
      <c r="B13" s="37" t="inlineStr">
        <is>
          <t>EP-Valid</t>
        </is>
      </c>
      <c r="C13" s="27" t="inlineStr">
        <is>
          <t>Job chưa từng chạy -&gt; hiển thị rõ 'chưa chạy', không báo khoẻ</t>
        </is>
      </c>
      <c r="D13" s="27" t="inlineStr">
        <is>
          <t>NFR-A04</t>
        </is>
      </c>
      <c r="E13" s="34" t="inlineStr">
        <is>
          <t>P2</t>
        </is>
      </c>
      <c r="F13" s="27" t="inlineStr">
        <is>
          <t>JobC chưa có bản ghi nào</t>
        </is>
      </c>
      <c r="G13" s="27" t="inlineStr">
        <is>
          <t>jobRunService.GetHealthSummaryAsync()</t>
        </is>
      </c>
      <c r="H13" s="27" t="inlineStr">
        <is>
          <t>JobC không bị coi là đang khoẻ mạnh (tránh im lặng giả)</t>
        </is>
      </c>
      <c r="I13" s="27" t="inlineStr">
        <is>
          <t>No</t>
        </is>
      </c>
      <c r="J13" s="43" t="inlineStr">
        <is>
          <t>Pass</t>
        </is>
      </c>
      <c r="K13" s="27" t="n"/>
      <c r="L13" s="45" t="n"/>
      <c r="M13" s="43" t="inlineStr">
        <is>
          <t>✅ Pass (không đổi)</t>
        </is>
      </c>
    </row>
    <row r="14" ht="15" customHeight="1">
      <c r="A14" s="52" t="inlineStr">
        <is>
          <t xml:space="preserve">  ▶  Template Row — copy khi thêm case mới</t>
        </is>
      </c>
    </row>
    <row r="15" ht="53.25" customHeight="1">
      <c r="A15" s="43" t="inlineStr">
        <is>
          <t>L1-XX-[NN]</t>
        </is>
      </c>
      <c r="B15" s="43" t="inlineStr">
        <is>
          <t>[BC-TRUE | BC-FALSE | CC | EP-Valid | EP-Invalid | BVA-* | State-* | Guard-* | Concurrency | Idempotency | Atomicity]</t>
        </is>
      </c>
      <c r="C15" s="43" t="inlineStr">
        <is>
          <t>[Branch / condition / partition]</t>
        </is>
      </c>
      <c r="D15" s="43" t="inlineStr">
        <is>
          <t>[FT-xx AC/NAC/BV-xx; BR-xxx; NFR-xxx]</t>
        </is>
      </c>
      <c r="E15" s="43" t="inlineStr">
        <is>
          <t>P2</t>
        </is>
      </c>
      <c r="F15" s="43" t="inlineStr">
        <is>
          <t>[Arrange: state + _mock.Setup(...)]</t>
        </is>
      </c>
      <c r="G15" s="43" t="inlineStr">
        <is>
          <t>service.Method(params)</t>
        </is>
      </c>
      <c r="H15" s="43" t="inlineStr">
        <is>
          <t>[result.Should().Be(...) / Throws / _mock.Verify(..., Times.Never)]</t>
        </is>
      </c>
      <c r="I15" s="43" t="inlineStr">
        <is>
          <t>No</t>
        </is>
      </c>
      <c r="J15" s="43" t="inlineStr">
        <is>
          <t>Not Run</t>
        </is>
      </c>
      <c r="K15" s="43" t="n"/>
      <c r="L15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0:L10"/>
    <mergeCell ref="A1:L1"/>
    <mergeCell ref="A5:L5"/>
    <mergeCell ref="A14:L14"/>
  </mergeCells>
  <dataValidations count="2">
    <dataValidation sqref="E6:E9 E11:E13 E15" showDropDown="0" showInputMessage="0" showErrorMessage="0" allowBlank="1" type="list">
      <formula1>"P1,P2,P3"</formula1>
      <formula2>0</formula2>
    </dataValidation>
    <dataValidation sqref="J6:J9 J11:J13 J15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ScheduledJobs  |  MỚI v2.1  |  OrderSlaJob · SePayReservationExpiryJob · SePayWebhookRetryJob · LowStockAlertJob · MarketingPostMakeScheduleJob  |  FT-03; FT-09; FT-12; BR-010/033/049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SePayReservationExpiryJob  |  FT-03 BV-01; BR-008; BR-033</t>
        </is>
      </c>
    </row>
    <row r="6" ht="46.5" customHeight="1">
      <c r="A6" s="26" t="inlineStr">
        <is>
          <t>L1-SJOB-01</t>
        </is>
      </c>
      <c r="B6" s="37" t="inlineStr">
        <is>
          <t>BVA-Max</t>
        </is>
      </c>
      <c r="C6" s="27" t="inlineStr">
        <is>
          <t>Reservation 14:59 -&gt; KHÔNG bị giải phóng</t>
        </is>
      </c>
      <c r="D6" s="27" t="inlineStr">
        <is>
          <t>FT-03 BV-01; BR-008</t>
        </is>
      </c>
      <c r="E6" s="28" t="inlineStr">
        <is>
          <t>P1</t>
        </is>
      </c>
      <c r="F6" s="27" t="inlineStr">
        <is>
          <t>SystemConfig 'SEPAY_RESERVATION_MINUTES' = 15
Reservation tạo cách đây 14 phút (mock clock)</t>
        </is>
      </c>
      <c r="G6" s="27" t="inlineStr">
        <is>
          <t>Chạy 1 chu kỳ SePayReservationExpiryJob</t>
        </is>
      </c>
      <c r="H6" s="27" t="inlineStr">
        <is>
          <t>Reservation còn nguyên; Reserved không bị trả lại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46.5" customHeight="1">
      <c r="A7" s="31" t="inlineStr">
        <is>
          <t>L1-SJOB-02</t>
        </is>
      </c>
      <c r="B7" s="37" t="inlineStr">
        <is>
          <t>BVA-Max+1</t>
        </is>
      </c>
      <c r="C7" s="32" t="inlineStr">
        <is>
          <t>Reservation đúng 15:00 -&gt; giải phóng, hoàn tồn khả dụng</t>
        </is>
      </c>
      <c r="D7" s="32" t="inlineStr">
        <is>
          <t>FT-03 BV-01; BR-033</t>
        </is>
      </c>
      <c r="E7" s="28" t="inlineStr">
        <is>
          <t>P1</t>
        </is>
      </c>
      <c r="F7" s="32" t="inlineStr">
        <is>
          <t>'SEPAY_RESERVATION_MINUTES' = 15
Reservation tạo cách đây 15 phút; Reserved P1=3, Available=7</t>
        </is>
      </c>
      <c r="G7" s="32" t="inlineStr">
        <is>
          <t>Chạy 1 chu kỳ SePayReservationExpiryJob</t>
        </is>
      </c>
      <c r="H7" s="32" t="inlineStr">
        <is>
          <t>Reserved=0; Available=10; đơn chuyển trạng thái theo luồng</t>
        </is>
      </c>
      <c r="I7" s="32" t="inlineStr">
        <is>
          <t>No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46.5" customHeight="1">
      <c r="A8" s="26" t="inlineStr">
        <is>
          <t>L1-SJOB-03</t>
        </is>
      </c>
      <c r="B8" s="37" t="inlineStr">
        <is>
          <t>EP-Valid</t>
        </is>
      </c>
      <c r="C8" s="27" t="inlineStr">
        <is>
          <t>Job KHÔNG đụng tới phần đã ALLOCATED</t>
        </is>
      </c>
      <c r="D8" s="27" t="inlineStr">
        <is>
          <t>BR-033; FT-05 AC-02</t>
        </is>
      </c>
      <c r="E8" s="28" t="inlineStr">
        <is>
          <t>P1</t>
        </is>
      </c>
      <c r="F8" s="27" t="inlineStr">
        <is>
          <t>Đơn A: Allocated=3 (quá hạn); đơn B: Reserved=2 (quá hạn)</t>
        </is>
      </c>
      <c r="G8" s="27" t="inlineStr">
        <is>
          <t>Chạy 1 chu kỳ job</t>
        </is>
      </c>
      <c r="H8" s="27" t="inlineStr">
        <is>
          <t>Chỉ B được giải phóng (ReleaseReservedAsync)
A giữ nguyên Allocated=3 — job KHÔNG gọi ReleaseAllocatedAsync</t>
        </is>
      </c>
      <c r="I8" s="27" t="inlineStr">
        <is>
          <t>No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30" customHeight="1">
      <c r="A9" s="31" t="inlineStr">
        <is>
          <t>L1-SJOB-04</t>
        </is>
      </c>
      <c r="B9" s="37" t="inlineStr">
        <is>
          <t>Idempotency</t>
        </is>
      </c>
      <c r="C9" s="32" t="inlineStr">
        <is>
          <t>Chạy job 2 lần liên tiếp -&gt; không hoàn tồn 2 lần</t>
        </is>
      </c>
      <c r="D9" s="32" t="inlineStr">
        <is>
          <t>BR-029; BR-032</t>
        </is>
      </c>
      <c r="E9" s="28" t="inlineStr">
        <is>
          <t>P1</t>
        </is>
      </c>
      <c r="F9" s="32" t="inlineStr">
        <is>
          <t>Có 1 reservation quá hạn (3 đơn vị); Available ban đầu = 7</t>
        </is>
      </c>
      <c r="G9" s="32" t="inlineStr">
        <is>
          <t>Chạy job lần 1 rồi lần 2</t>
        </is>
      </c>
      <c r="H9" s="32" t="inlineStr">
        <is>
          <t>Available = 10 sau lần 1 và VẪN = 10 sau lần 2</t>
        </is>
      </c>
      <c r="I9" s="35" t="inlineStr">
        <is>
          <t>Yes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18" customHeight="1">
      <c r="A10" s="50" t="inlineStr">
        <is>
          <t xml:space="preserve">  ▶  Block: OrderSlaJob  |  FT-03 BV-02; BR-010</t>
        </is>
      </c>
    </row>
    <row r="11" ht="46.5" customHeight="1">
      <c r="A11" s="26" t="inlineStr">
        <is>
          <t>L1-SJOB-05</t>
        </is>
      </c>
      <c r="B11" s="37" t="inlineStr">
        <is>
          <t>BVA</t>
        </is>
      </c>
      <c r="C11" s="27" t="inlineStr">
        <is>
          <t>COD tại 24:59 / 25:00 -&gt; chỉ mốc 25:00 phát cảnh báo cho Sales</t>
        </is>
      </c>
      <c r="D11" s="27" t="inlineStr">
        <is>
          <t>FT-03 BV-02; BR-010</t>
        </is>
      </c>
      <c r="E11" s="28" t="inlineStr">
        <is>
          <t>P1</t>
        </is>
      </c>
      <c r="F11" s="27" t="inlineStr">
        <is>
          <t>SystemConfig 'COD_WARNING_MINUTES' = 25
[Theory] đơn COD tạo cách đây 24 / 25 / 26 phút, OrderStatus = PendingConfirmation</t>
        </is>
      </c>
      <c r="G11" s="27" t="inlineStr">
        <is>
          <t>Chạy 1 chu kỳ OrderSlaJob</t>
        </is>
      </c>
      <c r="H11" s="27" t="inlineStr">
        <is>
          <t>24 phút: chưa cảnh báo
25 và 26 phút: tạo đúng 1 cảnh báo cho Sales phụ trách</t>
        </is>
      </c>
      <c r="I11" s="27" t="inlineStr">
        <is>
          <t>No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46.5" customHeight="1">
      <c r="A12" s="31" t="inlineStr">
        <is>
          <t>L1-SJOB-06</t>
        </is>
      </c>
      <c r="B12" s="37" t="inlineStr">
        <is>
          <t>BVA</t>
        </is>
      </c>
      <c r="C12" s="32" t="inlineStr">
        <is>
          <t>COD tại 29:59 / 30:00 -&gt; chỉ mốc 30:00 escalate Sales Manager</t>
        </is>
      </c>
      <c r="D12" s="32" t="inlineStr">
        <is>
          <t>FT-03 BV-02; BR-010</t>
        </is>
      </c>
      <c r="E12" s="28" t="inlineStr">
        <is>
          <t>P1</t>
        </is>
      </c>
      <c r="F12" s="32" t="inlineStr">
        <is>
          <t>'COD_ESCALATION_MINUTES' = 30
[Theory] 29 / 30 / 31 phút</t>
        </is>
      </c>
      <c r="G12" s="32" t="inlineStr">
        <is>
          <t>Chạy 1 chu kỳ OrderSlaJob</t>
        </is>
      </c>
      <c r="H12" s="32" t="inlineStr">
        <is>
          <t>30 và 31 phút: tạo escalation cho Sales Manager</t>
        </is>
      </c>
      <c r="I12" s="32" t="inlineStr">
        <is>
          <t>No</t>
        </is>
      </c>
      <c r="J12" s="43" t="inlineStr">
        <is>
          <t>Pass</t>
        </is>
      </c>
      <c r="K12" s="32" t="n"/>
      <c r="L12" s="46" t="n"/>
      <c r="M12" s="43" t="inlineStr">
        <is>
          <t>✅ Pass (không đổi)</t>
        </is>
      </c>
    </row>
    <row r="13" ht="46.5" customHeight="1">
      <c r="A13" s="26" t="inlineStr">
        <is>
          <t>L1-SJOB-07</t>
        </is>
      </c>
      <c r="B13" s="37" t="inlineStr">
        <is>
          <t>BVA-Max+1</t>
        </is>
      </c>
      <c r="C13" s="27" t="inlineStr">
        <is>
          <t>COD tại 35:00 -&gt; hết hạn giữ hàng</t>
        </is>
      </c>
      <c r="D13" s="27" t="inlineStr">
        <is>
          <t>FT-03 BV-02; BR-008</t>
        </is>
      </c>
      <c r="E13" s="28" t="inlineStr">
        <is>
          <t>P1</t>
        </is>
      </c>
      <c r="F13" s="27" t="inlineStr">
        <is>
          <t>'COD_RESERVATION_MINUTES' = 35
[Theory] 34 / 35 / 36 phút; đơn COD chưa xác nhận</t>
        </is>
      </c>
      <c r="G13" s="27" t="inlineStr">
        <is>
          <t>Chạy 1 chu kỳ OrderSlaJob</t>
        </is>
      </c>
      <c r="H13" s="27" t="inlineStr">
        <is>
          <t>35 và 36 phút: gọi ReleaseReservedAsync, tồn trả về khả dụng</t>
        </is>
      </c>
      <c r="I13" s="27" t="inlineStr">
        <is>
          <t>No</t>
        </is>
      </c>
      <c r="J13" s="43" t="inlineStr">
        <is>
          <t>Pass</t>
        </is>
      </c>
      <c r="K13" s="27" t="n"/>
      <c r="L13" s="45" t="n"/>
      <c r="M13" s="43" t="inlineStr">
        <is>
          <t>✅ Pass (không đổi)</t>
        </is>
      </c>
    </row>
    <row r="14" ht="30" customHeight="1">
      <c r="A14" s="31" t="inlineStr">
        <is>
          <t>L1-SJOB-08</t>
        </is>
      </c>
      <c r="B14" s="37" t="inlineStr">
        <is>
          <t>Idempotency</t>
        </is>
      </c>
      <c r="C14" s="32" t="inlineStr">
        <is>
          <t>Chạy lại job -&gt; không tạo cảnh báo trùng cho cùng đơn</t>
        </is>
      </c>
      <c r="D14" s="32" t="inlineStr">
        <is>
          <t>FT-09 AC-02; BR-049</t>
        </is>
      </c>
      <c r="E14" s="28" t="inlineStr">
        <is>
          <t>P1</t>
        </is>
      </c>
      <c r="F14" s="32" t="inlineStr">
        <is>
          <t>Đơn đã được cảnh báo mốc 25 phút</t>
        </is>
      </c>
      <c r="G14" s="32" t="inlineStr">
        <is>
          <t>Chạy job thêm 1 chu kỳ</t>
        </is>
      </c>
      <c r="H14" s="32" t="inlineStr">
        <is>
          <t>Không tạo cảnh báo thứ 2 cho cùng nghiệp vụ</t>
        </is>
      </c>
      <c r="I14" s="35" t="inlineStr">
        <is>
          <t>Yes</t>
        </is>
      </c>
      <c r="J14" s="43" t="inlineStr">
        <is>
          <t>Pass</t>
        </is>
      </c>
      <c r="K14" s="32" t="n"/>
      <c r="L14" s="46" t="n"/>
      <c r="M14" s="43" t="inlineStr">
        <is>
          <t>✅ Pass (không đổi)</t>
        </is>
      </c>
    </row>
    <row r="15" ht="18" customHeight="1">
      <c r="A15" s="50" t="inlineStr">
        <is>
          <t xml:space="preserve">  ▶  Block: SePayWebhookRetryJob  |  BR-029; BR-049</t>
        </is>
      </c>
    </row>
    <row r="16" ht="46.5" customHeight="1">
      <c r="A16" s="26" t="inlineStr">
        <is>
          <t>L1-SJOB-09</t>
        </is>
      </c>
      <c r="B16" s="37" t="inlineStr">
        <is>
          <t>EP-Valid</t>
        </is>
      </c>
      <c r="C16" s="27" t="inlineStr">
        <is>
          <t>Chỉ retry callback ở trạng thái thất bại và chưa vượt số lần</t>
        </is>
      </c>
      <c r="D16" s="27" t="inlineStr">
        <is>
          <t>BR-049</t>
        </is>
      </c>
      <c r="E16" s="28" t="inlineStr">
        <is>
          <t>P1</t>
        </is>
      </c>
      <c r="F16" s="27" t="inlineStr">
        <is>
          <t>3 log: Processed, Failed(AttemptCount=2), Abandoned(AttemptCount=5)</t>
        </is>
      </c>
      <c r="G16" s="27" t="inlineStr">
        <is>
          <t>Chạy 1 chu kỳ SePayWebhookRetryJob</t>
        </is>
      </c>
      <c r="H16" s="27" t="inlineStr">
        <is>
          <t>Chỉ log Failed(2) được RetryAsync
Processed và Abandoned bị bỏ qua</t>
        </is>
      </c>
      <c r="I16" s="27" t="inlineStr">
        <is>
          <t>No</t>
        </is>
      </c>
      <c r="J16" s="43" t="inlineStr">
        <is>
          <t>Pass</t>
        </is>
      </c>
      <c r="K16" s="27" t="n"/>
      <c r="L16" s="45" t="n"/>
      <c r="M16" s="43" t="inlineStr">
        <is>
          <t>✅ Pass (không đổi)</t>
        </is>
      </c>
    </row>
    <row r="17" ht="30" customHeight="1">
      <c r="A17" s="31" t="inlineStr">
        <is>
          <t>L1-SJOB-10</t>
        </is>
      </c>
      <c r="B17" s="37" t="inlineStr">
        <is>
          <t>Idempotency</t>
        </is>
      </c>
      <c r="C17" s="32" t="inlineStr">
        <is>
          <t>Retry callback đã xử lý -&gt; không tạo giao dịch thanh toán thứ 2</t>
        </is>
      </c>
      <c r="D17" s="32" t="inlineStr">
        <is>
          <t>FT-03 NAC-02; BR-029</t>
        </is>
      </c>
      <c r="E17" s="28" t="inlineStr">
        <is>
          <t>P1</t>
        </is>
      </c>
      <c r="F17" s="32" t="inlineStr">
        <is>
          <t>Đơn đã Paid, có 1 PaymentTransaction</t>
        </is>
      </c>
      <c r="G17" s="32" t="inlineStr">
        <is>
          <t>Chạy job với log tương ứng</t>
        </is>
      </c>
      <c r="H17" s="32" t="inlineStr">
        <is>
          <t>Vẫn đúng 1 PaymentTransaction; không thông báo lặp</t>
        </is>
      </c>
      <c r="I17" s="35" t="inlineStr">
        <is>
          <t>Yes</t>
        </is>
      </c>
      <c r="J17" s="43" t="inlineStr">
        <is>
          <t>Pass</t>
        </is>
      </c>
      <c r="K17" s="32" t="n"/>
      <c r="L17" s="46" t="n"/>
      <c r="M17" s="43" t="inlineStr">
        <is>
          <t>✅ Pass (không đổi)</t>
        </is>
      </c>
    </row>
    <row r="18" ht="18" customHeight="1">
      <c r="A18" s="50" t="inlineStr">
        <is>
          <t xml:space="preserve">  ▶  Block: LowStockAlertJob  |  FT-12 AC-04; BV-03</t>
        </is>
      </c>
    </row>
    <row r="19" ht="72.75" customHeight="1">
      <c r="A19" s="26" t="inlineStr">
        <is>
          <t>L1-SJOB-11</t>
        </is>
      </c>
      <c r="B19" s="37" t="inlineStr">
        <is>
          <t>BVA</t>
        </is>
      </c>
      <c r="C19" s="27" t="inlineStr">
        <is>
          <t>Tồn tại threshold+1 / threshold / threshold-1</t>
        </is>
      </c>
      <c r="D19" s="27" t="inlineStr">
        <is>
          <t>FT-12 AC-04; BV-03</t>
        </is>
      </c>
      <c r="E19" s="28" t="inlineStr">
        <is>
          <t>P1</t>
        </is>
      </c>
      <c r="F19" s="27" t="inlineStr">
        <is>
          <t>Inventory P1 có ReorderThreshold = 20 (cấu hình TRÊN DÒNG Inventory, không phải SystemConfig)
[Theory] AvailableQuantity = 21 / 20 / 19</t>
        </is>
      </c>
      <c r="G19" s="27" t="inlineStr">
        <is>
          <t>Chạy 1 chu kỳ LowStockAlertJob (job chạy mỗi 15 phút)</t>
        </is>
      </c>
      <c r="H19" s="27" t="inlineStr">
        <is>
          <t>Code dùng điều kiện AvailableQuantity &lt; ReorderThreshold:
21: không cảnh báo
19: có cảnh báo
20: KHÔNG cảnh báo theo code</t>
        </is>
      </c>
      <c r="I19" s="27" t="inlineStr">
        <is>
          <t>No</t>
        </is>
      </c>
      <c r="J19" s="43" t="inlineStr">
        <is>
          <t>Fail</t>
        </is>
      </c>
      <c r="K19" s="27" t="n"/>
      <c r="L19" s="45" t="n"/>
      <c r="M19" s="43" t="inlineStr">
        <is>
          <t>❌ CHƯA FIX
LowStockAlertJob.cs:45 dùng '&gt; ReorderThreshold' nên bằng ngưỡng vẫn bị cảnh báo (lẽ ra không) — lỗi off-by-one vẫn còn, lặp lại ở dòng 84 cho vật tư.</t>
        </is>
      </c>
    </row>
    <row r="20" ht="46.5" customHeight="1">
      <c r="A20" s="31" t="inlineStr">
        <is>
          <t>L1-SJOB-12</t>
        </is>
      </c>
      <c r="B20" s="37" t="inlineStr">
        <is>
          <t>EP-Valid</t>
        </is>
      </c>
      <c r="C20" s="32" t="inlineStr">
        <is>
          <t>Không tạo cảnh báo trùng khi đã có cảnh báo đang mở</t>
        </is>
      </c>
      <c r="D20" s="32" t="inlineStr">
        <is>
          <t>FT-12 AC-04; FT-09 AC-02</t>
        </is>
      </c>
      <c r="E20" s="28" t="inlineStr">
        <is>
          <t>P1</t>
        </is>
      </c>
      <c r="F20" s="32" t="inlineStr">
        <is>
          <t>P1 đã có LowStockAlert tạo cách đây 1 giờ (cooldown 24 giờ cho inventory)</t>
        </is>
      </c>
      <c r="G20" s="32" t="inlineStr">
        <is>
          <t>Chạy LowStockAlertJob thêm 1 chu kỳ</t>
        </is>
      </c>
      <c r="H20" s="32" t="inlineStr">
        <is>
          <t>Không tạo cảnh báo thứ 2 — cooldown 24h chặn
[Theory] cũng test nguyên vật liệu với cooldown 2 ngày</t>
        </is>
      </c>
      <c r="I20" s="35" t="inlineStr">
        <is>
          <t>Yes</t>
        </is>
      </c>
      <c r="J20" s="43" t="inlineStr">
        <is>
          <t>Pass</t>
        </is>
      </c>
      <c r="K20" s="32" t="n"/>
      <c r="L20" s="46" t="n"/>
      <c r="M20" s="43" t="inlineStr">
        <is>
          <t>✅ Pass (không đổi)</t>
        </is>
      </c>
    </row>
    <row r="21" ht="33.75" customHeight="1">
      <c r="A21" s="26" t="inlineStr">
        <is>
          <t>L1-SJOB-13</t>
        </is>
      </c>
      <c r="B21" s="37" t="inlineStr">
        <is>
          <t>EP-Valid</t>
        </is>
      </c>
      <c r="C21" s="27" t="inlineStr">
        <is>
          <t>Cảnh báo tự đóng khi tồn hồi phục trên ngưỡng</t>
        </is>
      </c>
      <c r="D21" s="27" t="inlineStr">
        <is>
          <t>FT-12 AC-04</t>
        </is>
      </c>
      <c r="E21" s="34" t="inlineStr">
        <is>
          <t>P2</t>
        </is>
      </c>
      <c r="F21" s="27" t="inlineStr">
        <is>
          <t>Cảnh báo đang mở; tồn P1 được nhập lên trên ReorderThreshold</t>
        </is>
      </c>
      <c r="G21" s="27" t="inlineStr">
        <is>
          <t>Chạy LowStockAlertJob</t>
        </is>
      </c>
      <c r="H21" s="27" t="inlineStr">
        <is>
          <t>Cảnh báo chuyển trạng thái đã xử lý theo quy tắc cấu hình</t>
        </is>
      </c>
      <c r="I21" s="27" t="inlineStr">
        <is>
          <t>No</t>
        </is>
      </c>
      <c r="J21" s="43" t="inlineStr">
        <is>
          <t>Pass</t>
        </is>
      </c>
      <c r="K21" s="27" t="n"/>
      <c r="L21" s="45" t="n"/>
      <c r="M21" s="43" t="inlineStr">
        <is>
          <t>✅ Pass (không đổi)</t>
        </is>
      </c>
    </row>
    <row r="22" ht="18" customHeight="1">
      <c r="A22" s="50" t="inlineStr">
        <is>
          <t xml:space="preserve">  ▶  Block: MarketingPostMakeScheduleJob  |  FT-10; BR-046; BR-049</t>
        </is>
      </c>
    </row>
    <row r="23" ht="30" customHeight="1">
      <c r="A23" s="26" t="inlineStr">
        <is>
          <t>L1-SJOB-14</t>
        </is>
      </c>
      <c r="B23" s="37" t="inlineStr">
        <is>
          <t>EP-Valid</t>
        </is>
      </c>
      <c r="C23" s="27" t="inlineStr">
        <is>
          <t>Chỉ đăng bài ĐÃ DUYỆT và tới giờ hẹn</t>
        </is>
      </c>
      <c r="D23" s="27" t="inlineStr">
        <is>
          <t>FT-10; BR-046</t>
        </is>
      </c>
      <c r="E23" s="28" t="inlineStr">
        <is>
          <t>P1</t>
        </is>
      </c>
      <c r="F23" s="27" t="inlineStr">
        <is>
          <t>3 bài: 1 nháp tới giờ, 1 đã duyệt chưa tới giờ, 1 đã duyệt tới giờ</t>
        </is>
      </c>
      <c r="G23" s="27" t="inlineStr">
        <is>
          <t>Chạy 1 chu kỳ job</t>
        </is>
      </c>
      <c r="H23" s="27" t="inlineStr">
        <is>
          <t>Chỉ bài thứ 3 được gửi đăng</t>
        </is>
      </c>
      <c r="I23" s="27" t="inlineStr">
        <is>
          <t>No</t>
        </is>
      </c>
      <c r="J23" s="43" t="inlineStr">
        <is>
          <t>Pass</t>
        </is>
      </c>
      <c r="K23" s="27" t="n"/>
      <c r="L23" s="45" t="n"/>
      <c r="M23" s="43" t="inlineStr">
        <is>
          <t>✅ Pass (không đổi)</t>
        </is>
      </c>
    </row>
    <row r="24" ht="30" customHeight="1">
      <c r="A24" s="31" t="inlineStr">
        <is>
          <t>L1-SJOB-15</t>
        </is>
      </c>
      <c r="B24" s="37" t="inlineStr">
        <is>
          <t>Idempotency</t>
        </is>
      </c>
      <c r="C24" s="32" t="inlineStr">
        <is>
          <t>Chạy lại job -&gt; không đăng lặp bài đã gửi</t>
        </is>
      </c>
      <c r="D24" s="32" t="inlineStr">
        <is>
          <t>BR-029; BR-049</t>
        </is>
      </c>
      <c r="E24" s="28" t="inlineStr">
        <is>
          <t>P1</t>
        </is>
      </c>
      <c r="F24" s="32" t="inlineStr">
        <is>
          <t>Bài M1 đã được gửi đăng ở chu kỳ trước</t>
        </is>
      </c>
      <c r="G24" s="32" t="inlineStr">
        <is>
          <t>Chạy job thêm 1 chu kỳ</t>
        </is>
      </c>
      <c r="H24" s="32" t="inlineStr">
        <is>
          <t>Không gọi webhook lần 2 cho M1</t>
        </is>
      </c>
      <c r="I24" s="35" t="inlineStr">
        <is>
          <t>Yes</t>
        </is>
      </c>
      <c r="J24" s="43" t="inlineStr">
        <is>
          <t>Pass</t>
        </is>
      </c>
      <c r="K24" s="32" t="n"/>
      <c r="L24" s="46" t="n"/>
      <c r="M24" s="43" t="inlineStr">
        <is>
          <t>✅ Pass (không đổi)</t>
        </is>
      </c>
    </row>
    <row r="25" ht="30" customHeight="1">
      <c r="A25" s="26" t="inlineStr">
        <is>
          <t>L1-SJOB-16</t>
        </is>
      </c>
      <c r="B25" s="37" t="inlineStr">
        <is>
          <t>EP-Valid</t>
        </is>
      </c>
      <c r="C25" s="27" t="inlineStr">
        <is>
          <t>Webhook lỗi -&gt; đánh dấu thất bại + cảnh báo, không mất bài</t>
        </is>
      </c>
      <c r="D25" s="27" t="inlineStr">
        <is>
          <t>BR-049; FT-09 AC-05</t>
        </is>
      </c>
      <c r="E25" s="28" t="inlineStr">
        <is>
          <t>P1</t>
        </is>
      </c>
      <c r="F25" s="27" t="inlineStr">
        <is>
          <t>Mock IMakeWebhookService ném lỗi</t>
        </is>
      </c>
      <c r="G25" s="27" t="inlineStr">
        <is>
          <t>Chạy job</t>
        </is>
      </c>
      <c r="H25" s="27" t="inlineStr">
        <is>
          <t>Bài chuyển trạng thái thất bại, giữ trong lịch sử, tạo cảnh báo</t>
        </is>
      </c>
      <c r="I25" s="29" t="inlineStr">
        <is>
          <t>Yes</t>
        </is>
      </c>
      <c r="J25" s="43" t="inlineStr">
        <is>
          <t>Pass</t>
        </is>
      </c>
      <c r="K25" s="27" t="n"/>
      <c r="L25" s="45" t="n"/>
      <c r="M25" s="43" t="inlineStr">
        <is>
          <t>✅ Pass (không đổi)</t>
        </is>
      </c>
    </row>
    <row r="26" ht="15" customHeight="1">
      <c r="A26" s="52" t="inlineStr">
        <is>
          <t xml:space="preserve">  ▶  Template Row — copy khi thêm case mới</t>
        </is>
      </c>
    </row>
    <row r="27" ht="53.25" customHeight="1">
      <c r="A27" s="43" t="inlineStr">
        <is>
          <t>L1-XX-[NN]</t>
        </is>
      </c>
      <c r="B27" s="43" t="inlineStr">
        <is>
          <t>[BC-TRUE | BC-FALSE | CC | EP-Valid | EP-Invalid | BVA-* | State-* | Guard-* | Concurrency | Idempotency | Atomicity]</t>
        </is>
      </c>
      <c r="C27" s="43" t="inlineStr">
        <is>
          <t>[Branch / condition / partition]</t>
        </is>
      </c>
      <c r="D27" s="43" t="inlineStr">
        <is>
          <t>[FT-xx AC/NAC/BV-xx; BR-xxx; NFR-xxx]</t>
        </is>
      </c>
      <c r="E27" s="43" t="inlineStr">
        <is>
          <t>P2</t>
        </is>
      </c>
      <c r="F27" s="43" t="inlineStr">
        <is>
          <t>[Arrange: state + _mock.Setup(...)]</t>
        </is>
      </c>
      <c r="G27" s="43" t="inlineStr">
        <is>
          <t>service.Method(params)</t>
        </is>
      </c>
      <c r="H27" s="43" t="inlineStr">
        <is>
          <t>[result.Should().Be(...) / Throws / _mock.Verify(..., Times.Never)]</t>
        </is>
      </c>
      <c r="I27" s="43" t="inlineStr">
        <is>
          <t>No</t>
        </is>
      </c>
      <c r="J27" s="43" t="inlineStr">
        <is>
          <t>Not Run</t>
        </is>
      </c>
      <c r="K27" s="43" t="n"/>
      <c r="L27" s="43" t="n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6:L26"/>
    <mergeCell ref="A2:L2"/>
    <mergeCell ref="A15:L15"/>
    <mergeCell ref="A10:L10"/>
    <mergeCell ref="A1:L1"/>
    <mergeCell ref="A5:L5"/>
    <mergeCell ref="A22:L22"/>
    <mergeCell ref="A18:L18"/>
  </mergeCells>
  <dataValidations count="2">
    <dataValidation sqref="E6:E9 E11:E14 E16:E17 E19:E21 E23:E25 E27" showDropDown="0" showInputMessage="0" showErrorMessage="0" allowBlank="1" type="list">
      <formula1>"P1,P2,P3"</formula1>
      <formula2>0</formula2>
    </dataValidation>
    <dataValidation sqref="J6:J9 J11:J14 J16:J17 J19:J21 J23:J25 J27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ExternalIntegrations  |  MỚI v2.1  |  EmailService · eSmsService · CloudinaryService · MakeWebhookService · AiGeneratorService  |  Test hợp đồng gọi ra ngoài (mock HttpClient)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EmailService / eSmsService</t>
        </is>
      </c>
    </row>
    <row r="6" ht="60" customHeight="1">
      <c r="A6" s="26" t="inlineStr">
        <is>
          <t>L1-EXT-01</t>
        </is>
      </c>
      <c r="B6" s="37" t="inlineStr">
        <is>
          <t>EP-Valid</t>
        </is>
      </c>
      <c r="C6" s="27" t="inlineStr">
        <is>
          <t>Gửi email OTP dùng đúng template và địa chỉ nhận</t>
        </is>
      </c>
      <c r="D6" s="27" t="inlineStr">
        <is>
          <t>FT-01 AC-02; NFR-U02</t>
        </is>
      </c>
      <c r="E6" s="34" t="inlineStr">
        <is>
          <t>P2</t>
        </is>
      </c>
      <c r="F6" s="27" t="inlineStr">
        <is>
          <t>Mock SMTP/MailKit client (không kết nối thật)</t>
        </is>
      </c>
      <c r="G6" s="27" t="inlineStr">
        <is>
          <t>emailService.SendOtpEmailAsync(to, otp)</t>
        </is>
      </c>
      <c r="H6" s="27" t="inlineStr">
        <is>
          <t>Verify NỘI DUNG email gửi đi: đúng địa chỉ nhận, tiêu đề tiếng Việt, thân thư CHỨA mã OTP
Gọi đúng 1 lần
OTP không xuất hiện trong log ứng dụng</t>
        </is>
      </c>
      <c r="I6" s="27" t="inlineStr">
        <is>
          <t>No</t>
        </is>
      </c>
      <c r="J6" s="43" t="inlineStr">
        <is>
          <t>Pass</t>
        </is>
      </c>
      <c r="K6" s="27" t="n"/>
      <c r="L6" s="45" t="n"/>
      <c r="M6" s="43" t="inlineStr">
        <is>
          <t>✅ Pass (không đổi)</t>
        </is>
      </c>
    </row>
    <row r="7" ht="30" customHeight="1">
      <c r="A7" s="31" t="inlineStr">
        <is>
          <t>L1-EXT-02</t>
        </is>
      </c>
      <c r="B7" s="37" t="inlineStr">
        <is>
          <t>EP-Invalid</t>
        </is>
      </c>
      <c r="C7" s="32" t="inlineStr">
        <is>
          <t>SMTP lỗi -&gt; không làm sập nghiệp vụ gọi nó</t>
        </is>
      </c>
      <c r="D7" s="32" t="inlineStr">
        <is>
          <t>NFR-A02</t>
        </is>
      </c>
      <c r="E7" s="28" t="inlineStr">
        <is>
          <t>P1</t>
        </is>
      </c>
      <c r="F7" s="32" t="inlineStr">
        <is>
          <t>Mock SMTP ném lỗi</t>
        </is>
      </c>
      <c r="G7" s="32" t="inlineStr">
        <is>
          <t>emailService.SendOrderInvoiceEmailAsync(...)</t>
        </is>
      </c>
      <c r="H7" s="32" t="inlineStr">
        <is>
          <t>Lỗi được xử lý/ghi nhận; luồng đặt hàng không bị vỡ (theo NFR-A02)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0" customHeight="1">
      <c r="A8" s="26" t="inlineStr">
        <is>
          <t>L1-EXT-03</t>
        </is>
      </c>
      <c r="B8" s="37" t="inlineStr">
        <is>
          <t>EP-Valid</t>
        </is>
      </c>
      <c r="C8" s="27" t="inlineStr">
        <is>
          <t>Gửi SMS gọi đúng endpoint eSMS với tham số cấu hình</t>
        </is>
      </c>
      <c r="D8" s="27" t="inlineStr">
        <is>
          <t>FT-01 AC-04</t>
        </is>
      </c>
      <c r="E8" s="34" t="inlineStr">
        <is>
          <t>P2</t>
        </is>
      </c>
      <c r="F8" s="27" t="inlineStr">
        <is>
          <t>Mock HttpMessageHandler</t>
        </is>
      </c>
      <c r="G8" s="27" t="inlineStr">
        <is>
          <t>eSmsService.SendAsync(phone, message)</t>
        </is>
      </c>
      <c r="H8" s="27" t="inlineStr">
        <is>
          <t>Đúng 1 request; nội dung OTP không ghi vào log ứng dụng</t>
        </is>
      </c>
      <c r="I8" s="27" t="inlineStr">
        <is>
          <t>No</t>
        </is>
      </c>
      <c r="J8" s="43" t="inlineStr">
        <is>
          <t>Pass</t>
        </is>
      </c>
      <c r="K8" s="27" t="n"/>
      <c r="L8" s="45" t="n"/>
      <c r="M8" s="43" t="inlineStr">
        <is>
          <t>✅ Pass (không đổi)</t>
        </is>
      </c>
    </row>
    <row r="9" ht="30" customHeight="1">
      <c r="A9" s="31" t="inlineStr">
        <is>
          <t>L1-EXT-04</t>
        </is>
      </c>
      <c r="B9" s="37" t="inlineStr">
        <is>
          <t>EP-Invalid</t>
        </is>
      </c>
      <c r="C9" s="32" t="inlineStr">
        <is>
          <t>eSMS trả lỗi -&gt; báo lỗi rõ, không coi là đã gửi</t>
        </is>
      </c>
      <c r="D9" s="32" t="inlineStr">
        <is>
          <t>NFR-A02; FT-01 NAC-02</t>
        </is>
      </c>
      <c r="E9" s="28" t="inlineStr">
        <is>
          <t>P1</t>
        </is>
      </c>
      <c r="F9" s="32" t="inlineStr">
        <is>
          <t>Mock trả 500</t>
        </is>
      </c>
      <c r="G9" s="32" t="inlineStr">
        <is>
          <t>eSmsService.SendAsync(phone, message)</t>
        </is>
      </c>
      <c r="H9" s="32" t="inlineStr">
        <is>
          <t>Trả thất bại; tầng gọi không đánh dấu đã gửi OTP</t>
        </is>
      </c>
      <c r="I9" s="35" t="inlineStr">
        <is>
          <t>Yes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18" customHeight="1">
      <c r="A10" s="50" t="inlineStr">
        <is>
          <t xml:space="preserve">  ▶  Block: CloudinaryService / MakeWebhookService / AiGeneratorService</t>
        </is>
      </c>
    </row>
    <row r="11" ht="30" customHeight="1">
      <c r="A11" s="26" t="inlineStr">
        <is>
          <t>L1-EXT-05</t>
        </is>
      </c>
      <c r="B11" s="37" t="inlineStr">
        <is>
          <t>EP-Valid</t>
        </is>
      </c>
      <c r="C11" s="27" t="inlineStr">
        <is>
          <t>Upload ảnh trả URL và publicId dùng lại được khi xoá</t>
        </is>
      </c>
      <c r="D11" s="27" t="inlineStr">
        <is>
          <t>NFR-SEC07</t>
        </is>
      </c>
      <c r="E11" s="34" t="inlineStr">
        <is>
          <t>P3</t>
        </is>
      </c>
      <c r="F11" s="27" t="inlineStr">
        <is>
          <t>Mock Cloudinary client</t>
        </is>
      </c>
      <c r="G11" s="27" t="inlineStr">
        <is>
          <t>cloudinaryService.UploadImageAsync(file)</t>
        </is>
      </c>
      <c r="H11" s="27" t="inlineStr">
        <is>
          <t>Trả URL + publicId; publicId trích xuất lại đúng khi gọi xoá</t>
        </is>
      </c>
      <c r="I11" s="27" t="inlineStr">
        <is>
          <t>No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30" customHeight="1">
      <c r="A12" s="31" t="inlineStr">
        <is>
          <t>L1-EXT-06</t>
        </is>
      </c>
      <c r="B12" s="37" t="inlineStr">
        <is>
          <t>EP-Invalid</t>
        </is>
      </c>
      <c r="C12" s="32" t="inlineStr">
        <is>
          <t>File ngoài allowlist / vượt kích thước -&gt; chặn trước khi gọi ra ngoài</t>
        </is>
      </c>
      <c r="D12" s="32" t="inlineStr">
        <is>
          <t>NFR-SEC07</t>
        </is>
      </c>
      <c r="E12" s="28" t="inlineStr">
        <is>
          <t>P1</t>
        </is>
      </c>
      <c r="F12" s="32" t="inlineStr">
        <is>
          <t>File .exe hoặc vượt giới hạn</t>
        </is>
      </c>
      <c r="G12" s="32" t="inlineStr">
        <is>
          <t>cloudinaryService.UploadImageAsync(badFile)</t>
        </is>
      </c>
      <c r="H12" s="32" t="inlineStr">
        <is>
          <t>Từ chối tại chỗ; KHÔNG phát sinh request ra Cloudinary</t>
        </is>
      </c>
      <c r="I12" s="35" t="inlineStr">
        <is>
          <t>Yes</t>
        </is>
      </c>
      <c r="J12" s="43" t="inlineStr">
        <is>
          <t>Pass</t>
        </is>
      </c>
      <c r="K12" s="32" t="n"/>
      <c r="L12" s="46" t="n"/>
      <c r="M12" s="43" t="inlineStr">
        <is>
          <t>✅ Pass (không đổi)</t>
        </is>
      </c>
    </row>
    <row r="13" ht="30" customHeight="1">
      <c r="A13" s="26" t="inlineStr">
        <is>
          <t>L1-EXT-07</t>
        </is>
      </c>
      <c r="B13" s="37" t="inlineStr">
        <is>
          <t>EP-Valid</t>
        </is>
      </c>
      <c r="C13" s="27" t="inlineStr">
        <is>
          <t>MakeWebhook gửi đúng payload và có timeout</t>
        </is>
      </c>
      <c r="D13" s="27" t="inlineStr">
        <is>
          <t>FT-10; NFR-P07</t>
        </is>
      </c>
      <c r="E13" s="34" t="inlineStr">
        <is>
          <t>P2</t>
        </is>
      </c>
      <c r="F13" s="27" t="inlineStr">
        <is>
          <t>Mock HttpMessageHandler</t>
        </is>
      </c>
      <c r="G13" s="27" t="inlineStr">
        <is>
          <t>makeWebhookService.TriggerAsync(payload)</t>
        </is>
      </c>
      <c r="H13" s="27" t="inlineStr">
        <is>
          <t>Đúng 1 request, payload khớp; có cấu hình timeout để không treo</t>
        </is>
      </c>
      <c r="I13" s="27" t="inlineStr">
        <is>
          <t>No</t>
        </is>
      </c>
      <c r="J13" s="43" t="inlineStr">
        <is>
          <t>Pass</t>
        </is>
      </c>
      <c r="K13" s="27" t="n"/>
      <c r="L13" s="45" t="n"/>
      <c r="M13" s="43" t="inlineStr">
        <is>
          <t>✅ Pass (không đổi)</t>
        </is>
      </c>
    </row>
    <row r="14" ht="46.5" customHeight="1">
      <c r="A14" s="31" t="inlineStr">
        <is>
          <t>L1-EXT-08</t>
        </is>
      </c>
      <c r="B14" s="37" t="inlineStr">
        <is>
          <t>EP-Invalid</t>
        </is>
      </c>
      <c r="C14" s="32" t="inlineStr">
        <is>
          <t>AI generator quá thời gian -&gt; trả lỗi có kiểm soát</t>
        </is>
      </c>
      <c r="D14" s="32" t="inlineStr">
        <is>
          <t>NFR-P07; NFR-A02</t>
        </is>
      </c>
      <c r="E14" s="36" t="inlineStr">
        <is>
          <t>P2</t>
        </is>
      </c>
      <c r="F14" s="32" t="inlineStr">
        <is>
          <t>Mock HttpMessageHandler trả timeout (hoặc delay vượt cấu hình)</t>
        </is>
      </c>
      <c r="G14" s="32" t="inlineStr">
        <is>
          <t>await act = () =&gt; aiGeneratorService.GenerateAsync(prompt)</t>
        </is>
      </c>
      <c r="H14" s="32" t="inlineStr">
        <is>
          <t>act.Should().ThrowAsync&lt;Exception&gt;() — lỗi PHẢI nổi lên, không bị nuốt
Verify HttpMessageHandler nhận ĐÚNG 1 request (không retry ngầm vô hạn)</t>
        </is>
      </c>
      <c r="I14" s="35" t="inlineStr">
        <is>
          <t>Yes</t>
        </is>
      </c>
      <c r="J14" s="43" t="inlineStr">
        <is>
          <t>Pass</t>
        </is>
      </c>
      <c r="K14" s="32" t="n"/>
      <c r="L14" s="46" t="n"/>
      <c r="M14" s="43" t="inlineStr">
        <is>
          <t>✅ Pass (không đổi)</t>
        </is>
      </c>
    </row>
    <row r="15" ht="15" customHeight="1">
      <c r="A15" s="52" t="inlineStr">
        <is>
          <t xml:space="preserve">  ▶  Template Row — copy khi thêm case mới</t>
        </is>
      </c>
    </row>
    <row r="16" ht="53.25" customHeight="1">
      <c r="A16" s="43" t="inlineStr">
        <is>
          <t>L1-XX-[NN]</t>
        </is>
      </c>
      <c r="B16" s="43" t="inlineStr">
        <is>
          <t>[BC-TRUE | BC-FALSE | CC | EP-Valid | EP-Invalid | BVA-* | State-* | Guard-* | Concurrency | Idempotency | Atomicity]</t>
        </is>
      </c>
      <c r="C16" s="43" t="inlineStr">
        <is>
          <t>[Branch / condition / partition]</t>
        </is>
      </c>
      <c r="D16" s="43" t="inlineStr">
        <is>
          <t>[FT-xx AC/NAC/BV-xx; BR-xxx; NFR-xxx]</t>
        </is>
      </c>
      <c r="E16" s="43" t="inlineStr">
        <is>
          <t>P2</t>
        </is>
      </c>
      <c r="F16" s="43" t="inlineStr">
        <is>
          <t>[Arrange: state + _mock.Setup(...)]</t>
        </is>
      </c>
      <c r="G16" s="43" t="inlineStr">
        <is>
          <t>service.Method(params)</t>
        </is>
      </c>
      <c r="H16" s="43" t="inlineStr">
        <is>
          <t>[result.Should().Be(...) / Throws / _mock.Verify(..., Times.Never)]</t>
        </is>
      </c>
      <c r="I16" s="43" t="inlineStr">
        <is>
          <t>No</t>
        </is>
      </c>
      <c r="J16" s="43" t="inlineStr">
        <is>
          <t>Not Run</t>
        </is>
      </c>
      <c r="K16" s="43" t="n"/>
      <c r="L16" s="4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L2"/>
    <mergeCell ref="A15:L15"/>
    <mergeCell ref="A10:L10"/>
    <mergeCell ref="A1:L1"/>
    <mergeCell ref="A5:L5"/>
  </mergeCells>
  <dataValidations count="2">
    <dataValidation sqref="E6:E9 E11:E14 E16" showDropDown="0" showInputMessage="0" showErrorMessage="0" allowBlank="1" type="list">
      <formula1>"P1,P2,P3"</formula1>
      <formula2>0</formula2>
    </dataValidation>
    <dataValidation sqref="J6:J9 J11:J14 J16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baseColWidth="8" defaultColWidth="14.42578125" defaultRowHeight="15"/>
  <cols>
    <col width="12" customWidth="1" min="1" max="1"/>
    <col width="20" customWidth="1" min="2" max="2"/>
    <col width="30" customWidth="1" min="3" max="3"/>
    <col width="26" customWidth="1" min="4" max="4"/>
    <col width="9" customWidth="1" min="5" max="5"/>
    <col width="36" customWidth="1" min="6" max="6"/>
    <col width="32" customWidth="1" min="7" max="7"/>
    <col width="48" customWidth="1" min="8" max="8"/>
    <col width="11" customWidth="1" min="9" max="9"/>
    <col width="10" customWidth="1" min="10" max="11"/>
    <col width="40" customWidth="1" min="12" max="12"/>
    <col width="55" customWidth="1" min="13" max="26"/>
  </cols>
  <sheetData>
    <row r="1" ht="24" customHeight="1">
      <c r="A1" s="48" t="inlineStr">
        <is>
          <t>RegressionFixes  |  MỚI v2.1  |  Test hồi quy cho các commit vá lỗi 24–28/07 (f5b6b5e · 510915c · 81434ce · ae6fed6)  |  Mỗi case PHẢI Fail nếu bug tái xuất</t>
        </is>
      </c>
    </row>
    <row r="2" ht="15" customHeight="1">
      <c r="A2" s="51" t="inlineStr">
        <is>
          <t>HOW TO USE:  (1) Đọc Introduction  (2) Trace theo SRS v2 (Part 3 + RTW Sheet 3/6/7)  (3) Cập nhật Status sau mỗi lần chạy dotnet test / vitest  (4) Ghi Defect ID khi Fail</t>
        </is>
      </c>
    </row>
    <row r="4" ht="25.5" customHeight="1">
      <c r="A4" s="25" t="inlineStr">
        <is>
          <t>Test ID</t>
        </is>
      </c>
      <c r="B4" s="25" t="inlineStr">
        <is>
          <t>Coverage Technique</t>
        </is>
      </c>
      <c r="C4" s="25" t="inlineStr">
        <is>
          <t>Covers (Decision/Condition)</t>
        </is>
      </c>
      <c r="D4" s="25" t="inlineStr">
        <is>
          <t>SRS Reference</t>
        </is>
      </c>
      <c r="E4" s="25" t="inlineStr">
        <is>
          <t>Priority</t>
        </is>
      </c>
      <c r="F4" s="25" t="inlineStr">
        <is>
          <t>Given (Precondition / Mock Setup)</t>
        </is>
      </c>
      <c r="G4" s="25" t="inlineStr">
        <is>
          <t>When (Input / Act)</t>
        </is>
      </c>
      <c r="H4" s="25" t="inlineStr">
        <is>
          <t>Then (Expected Output / Assert)</t>
        </is>
      </c>
      <c r="I4" s="25" t="inlineStr">
        <is>
          <t>Negative?</t>
        </is>
      </c>
      <c r="J4" s="25" t="inlineStr">
        <is>
          <t>Status</t>
        </is>
      </c>
      <c r="K4" s="25" t="inlineStr">
        <is>
          <t>Defect ID</t>
        </is>
      </c>
      <c r="L4" s="25" t="inlineStr">
        <is>
          <t>Notes</t>
        </is>
      </c>
      <c r="M4" s="25" t="inlineStr">
        <is>
          <t>Fix Status</t>
        </is>
      </c>
    </row>
    <row r="5" ht="18" customHeight="1">
      <c r="A5" s="50" t="inlineStr">
        <is>
          <t xml:space="preserve">  ▶  Block: 81434ce — Vá IDOR / auth / state-guard  |  NFR-SEC03; BR-022</t>
        </is>
      </c>
    </row>
    <row r="6" ht="30" customHeight="1">
      <c r="A6" s="26" t="inlineStr">
        <is>
          <t>L1-REG-01</t>
        </is>
      </c>
      <c r="B6" s="37" t="inlineStr">
        <is>
          <t>EP-Invalid</t>
        </is>
      </c>
      <c r="C6" s="27" t="inlineStr">
        <is>
          <t>IDOR InventoryService: thao tác tồn kho ngoài phạm vi kho được gán</t>
        </is>
      </c>
      <c r="D6" s="27" t="inlineStr">
        <is>
          <t>FT-05 NAC-05; NFR-SEC03</t>
        </is>
      </c>
      <c r="E6" s="28" t="inlineStr">
        <is>
          <t>P1</t>
        </is>
      </c>
      <c r="F6" s="27" t="inlineStr">
        <is>
          <t>Nhân viên thuộc kho W1; bản ghi tồn thuộc kho W2</t>
        </is>
      </c>
      <c r="G6" s="27" t="inlineStr">
        <is>
          <t>inventoryService.AdjustInventoryAsync(I_W2, qty, note, staffW1)</t>
        </is>
      </c>
      <c r="H6" s="27" t="inlineStr">
        <is>
          <t>Ném forbidden; số lượng của W2 không đổi</t>
        </is>
      </c>
      <c r="I6" s="29" t="inlineStr">
        <is>
          <t>Yes</t>
        </is>
      </c>
      <c r="J6" s="43" t="inlineStr">
        <is>
          <t>Fail</t>
        </is>
      </c>
      <c r="K6" s="27" t="n"/>
      <c r="L6" s="45" t="n"/>
      <c r="M6" s="43" t="inlineStr">
        <is>
          <t>✅ ĐÃ FIX  [🟢 ĐÃ FIX (07/08/2026, xác nhận qua L2 integration test thật)]
GH-12 đã fix: InventoryService.AdjustInventoryAsync nay ghi StockTransaction (TransactionType.StockAdjustment) cho mỗi lần điều chỉnh tồn — comment cũ về không ghi audit (dòng 126-127) đã được thay thế. Xác nhận PASS qua L2-TRF-04 chạy thật.</t>
        </is>
      </c>
    </row>
    <row r="7" ht="30" customHeight="1">
      <c r="A7" s="31" t="inlineStr">
        <is>
          <t>L1-REG-02</t>
        </is>
      </c>
      <c r="B7" s="37" t="inlineStr">
        <is>
          <t>EP-Invalid</t>
        </is>
      </c>
      <c r="C7" s="32" t="inlineStr">
        <is>
          <t>IDOR QuotationService: đọc báo giá không thuộc phạm vi</t>
        </is>
      </c>
      <c r="D7" s="32" t="inlineStr">
        <is>
          <t>FT-02 NAC-05; NFR-SEC03</t>
        </is>
      </c>
      <c r="E7" s="28" t="inlineStr">
        <is>
          <t>P1</t>
        </is>
      </c>
      <c r="F7" s="32" t="inlineStr">
        <is>
          <t>Báo giá Q9 thuộc khách U9 và Sales S2</t>
        </is>
      </c>
      <c r="G7" s="32" t="inlineStr">
        <is>
          <t>quotationService.GetByIdAsync(Q9, callerId=S1)</t>
        </is>
      </c>
      <c r="H7" s="32" t="inlineStr">
        <is>
          <t>Ném forbidden/not-found; không lộ giá đề xuất</t>
        </is>
      </c>
      <c r="I7" s="35" t="inlineStr">
        <is>
          <t>Yes</t>
        </is>
      </c>
      <c r="J7" s="43" t="inlineStr">
        <is>
          <t>Pass</t>
        </is>
      </c>
      <c r="K7" s="32" t="n"/>
      <c r="L7" s="46" t="n"/>
      <c r="M7" s="43" t="inlineStr">
        <is>
          <t>✅ Pass (không đổi)</t>
        </is>
      </c>
    </row>
    <row r="8" ht="30" customHeight="1">
      <c r="A8" s="26" t="inlineStr">
        <is>
          <t>L1-REG-03</t>
        </is>
      </c>
      <c r="B8" s="37" t="inlineStr">
        <is>
          <t>EP-Invalid</t>
        </is>
      </c>
      <c r="C8" s="27" t="inlineStr">
        <is>
          <t>IDOR StockTransferService: nhận hàng ở kho không phải kho đích</t>
        </is>
      </c>
      <c r="D8" s="27" t="inlineStr">
        <is>
          <t>FT-11 NAC-04; NFR-SEC03</t>
        </is>
      </c>
      <c r="E8" s="28" t="inlineStr">
        <is>
          <t>P1</t>
        </is>
      </c>
      <c r="F8" s="27" t="inlineStr">
        <is>
          <t>Phiếu T1 có kho đích W2; caller thuộc W3</t>
        </is>
      </c>
      <c r="G8" s="27" t="inlineStr">
        <is>
          <t>stockTransferService.ReceiveAsync(T1, dto, staffW3)</t>
        </is>
      </c>
      <c r="H8" s="27" t="inlineStr">
        <is>
          <t>Ném forbidden; tồn kho W3 không đổi</t>
        </is>
      </c>
      <c r="I8" s="29" t="inlineStr">
        <is>
          <t>Yes</t>
        </is>
      </c>
      <c r="J8" s="43" t="inlineStr">
        <is>
          <t>Blocked</t>
        </is>
      </c>
      <c r="K8" s="27" t="n"/>
      <c r="L8" s="45" t="inlineStr">
        <is>
          <t>ReceiveAsync không có tham số caller/kho — chuyển L3</t>
        </is>
      </c>
      <c r="M8" s="43" t="inlineStr">
        <is>
          <t>✅ ĐÃ FIX
StockTransferService.cs:287,304-309 ReceiveAsync nhận Guid staffId, throw nếu AssignedWarehouseId khác DestinationWarehouseId.</t>
        </is>
      </c>
    </row>
    <row r="9" ht="30" customHeight="1">
      <c r="A9" s="31" t="inlineStr">
        <is>
          <t>L1-REG-04</t>
        </is>
      </c>
      <c r="B9" s="37" t="inlineStr">
        <is>
          <t>State-Invalid</t>
        </is>
      </c>
      <c r="C9" s="32" t="inlineStr">
        <is>
          <t>PurchaseOrderService: state-guard chặn chuyển trạng thái sai thứ tự</t>
        </is>
      </c>
      <c r="D9" s="32" t="inlineStr">
        <is>
          <t>FT-06 NAC-04; BR-021</t>
        </is>
      </c>
      <c r="E9" s="28" t="inlineStr">
        <is>
          <t>P1</t>
        </is>
      </c>
      <c r="F9" s="32" t="inlineStr">
        <is>
          <t>[Theory] PO ở Draft/Cancelled/Issued với thao tác không hợp lệ tương ứng</t>
        </is>
      </c>
      <c r="G9" s="32" t="inlineStr">
        <is>
          <t>Gọi Issue/SendToWarehouse/Close sai trạng thái nguồn</t>
        </is>
      </c>
      <c r="H9" s="32" t="inlineStr">
        <is>
          <t>Mọi trường hợp đều ném conflict; trạng thái không đổi</t>
        </is>
      </c>
      <c r="I9" s="35" t="inlineStr">
        <is>
          <t>Yes</t>
        </is>
      </c>
      <c r="J9" s="43" t="inlineStr">
        <is>
          <t>Pass</t>
        </is>
      </c>
      <c r="K9" s="32" t="n"/>
      <c r="L9" s="46" t="n"/>
      <c r="M9" s="43" t="inlineStr">
        <is>
          <t>✅ Pass (không đổi)</t>
        </is>
      </c>
    </row>
    <row r="10" ht="18" customHeight="1">
      <c r="A10" s="50" t="inlineStr">
        <is>
          <t xml:space="preserve">  ▶  Block: 510915c — Race condition &amp; guard huỷ/thanh toán  |  NFR-A05; BR-032</t>
        </is>
      </c>
    </row>
    <row r="11" ht="30" customHeight="1">
      <c r="A11" s="26" t="inlineStr">
        <is>
          <t>L1-REG-05</t>
        </is>
      </c>
      <c r="B11" s="37" t="inlineStr">
        <is>
          <t>Concurrency</t>
        </is>
      </c>
      <c r="C11" s="27" t="inlineStr">
        <is>
          <t>Direct order: hai lời gọi song song trên cùng tồn kho</t>
        </is>
      </c>
      <c r="D11" s="27" t="inlineStr">
        <is>
          <t>FT-05 NAC-01; NFR-A05; BR-032</t>
        </is>
      </c>
      <c r="E11" s="28" t="inlineStr">
        <is>
          <t>P1</t>
        </is>
      </c>
      <c r="F11" s="27" t="inlineStr">
        <is>
          <t>Available P1 = 10; hai request cùng đặt 10</t>
        </is>
      </c>
      <c r="G11" s="27" t="inlineStr">
        <is>
          <t>Task.WhenAll(PlaceDirectOrderAsync x2) với barrier đồng thời</t>
        </is>
      </c>
      <c r="H11" s="27" t="inlineStr">
        <is>
          <t>Đúng 1 thành công; Available = 0, KHÔNG âm; đúng 1 hoá đơn</t>
        </is>
      </c>
      <c r="I11" s="27" t="inlineStr">
        <is>
          <t>No</t>
        </is>
      </c>
      <c r="J11" s="43" t="inlineStr">
        <is>
          <t>Pass</t>
        </is>
      </c>
      <c r="K11" s="27" t="n"/>
      <c r="L11" s="45" t="n"/>
      <c r="M11" s="43" t="inlineStr">
        <is>
          <t>✅ Pass (không đổi)</t>
        </is>
      </c>
    </row>
    <row r="12" ht="30" customHeight="1">
      <c r="A12" s="31" t="inlineStr">
        <is>
          <t>L1-REG-06</t>
        </is>
      </c>
      <c r="B12" s="37" t="inlineStr">
        <is>
          <t>State-Invalid</t>
        </is>
      </c>
      <c r="C12" s="32" t="inlineStr">
        <is>
          <t>Không cho huỷ đơn đã sang trạng thái không được huỷ</t>
        </is>
      </c>
      <c r="D12" s="32" t="inlineStr">
        <is>
          <t>FT-08 NAC-05; 4.4.1</t>
        </is>
      </c>
      <c r="E12" s="28" t="inlineStr">
        <is>
          <t>P1</t>
        </is>
      </c>
      <c r="F12" s="32" t="inlineStr">
        <is>
          <t>[Theory] đơn ở In Delivery / Delivered</t>
        </is>
      </c>
      <c r="G12" s="32" t="inlineStr">
        <is>
          <t>orderService.RequestCancelOrderAsync(O1, U1, req)</t>
        </is>
      </c>
      <c r="H12" s="32" t="inlineStr">
        <is>
          <t>Ném conflict cho cả hai trạng thái; không tạo yêu cầu huỷ</t>
        </is>
      </c>
      <c r="I12" s="35" t="inlineStr">
        <is>
          <t>Yes</t>
        </is>
      </c>
      <c r="J12" s="43" t="inlineStr">
        <is>
          <t>Fail</t>
        </is>
      </c>
      <c r="K12" s="32" t="n"/>
      <c r="L12" s="46" t="n"/>
      <c r="M12" s="43" t="inlineStr">
        <is>
          <t>✅ ĐÃ FIX
OrderService.cs:1788-1793 RequestCancelOrderAsync throw cho cả InDelivery và Delivered (validStatuses check) ở tầng service/unit test.</t>
        </is>
      </c>
    </row>
    <row r="13" ht="30" customHeight="1">
      <c r="A13" s="26" t="inlineStr">
        <is>
          <t>L1-REG-07</t>
        </is>
      </c>
      <c r="B13" s="37" t="inlineStr">
        <is>
          <t>State-Invalid</t>
        </is>
      </c>
      <c r="C13" s="27" t="inlineStr">
        <is>
          <t>Không cho thanh toán lại đơn đã Paid</t>
        </is>
      </c>
      <c r="D13" s="27" t="inlineStr">
        <is>
          <t>FT-03 NAC-02; BR-016</t>
        </is>
      </c>
      <c r="E13" s="28" t="inlineStr">
        <is>
          <t>P1</t>
        </is>
      </c>
      <c r="F13" s="27" t="inlineStr">
        <is>
          <t>Đơn O1 đã Paid</t>
        </is>
      </c>
      <c r="G13" s="27" t="inlineStr">
        <is>
          <t>orderService.GenerateSePayQrAsync(O1, caller...)</t>
        </is>
      </c>
      <c r="H13" s="27" t="inlineStr">
        <is>
          <t>Ném conflict; không sinh QR mới; không tạo giao dịch thứ 2</t>
        </is>
      </c>
      <c r="I13" s="29" t="inlineStr">
        <is>
          <t>Yes</t>
        </is>
      </c>
      <c r="J13" s="43" t="inlineStr">
        <is>
          <t>Fail</t>
        </is>
      </c>
      <c r="K13" s="27" t="n"/>
      <c r="L13" s="45" t="inlineStr">
        <is>
          <t>ℹ Cùng defect GH-05 với L1-ORD-13.</t>
        </is>
      </c>
      <c r="M13" s="43" t="inlineStr">
        <is>
          <t>✅ ĐÃ FIX
Giống L1-ORD-13 — OrderService.cs:296-297.</t>
        </is>
      </c>
    </row>
    <row r="14" ht="30" customHeight="1">
      <c r="A14" s="31" t="inlineStr">
        <is>
          <t>L1-REG-08</t>
        </is>
      </c>
      <c r="B14" s="37" t="inlineStr">
        <is>
          <t>EP-Invalid</t>
        </is>
      </c>
      <c r="C14" s="32" t="inlineStr">
        <is>
          <t>NotificationService: không gửi thông báo cho người ngoài phạm vi</t>
        </is>
      </c>
      <c r="D14" s="32" t="inlineStr">
        <is>
          <t>FT-09 NAC-01; NFR-SEC03</t>
        </is>
      </c>
      <c r="E14" s="28" t="inlineStr">
        <is>
          <t>P1</t>
        </is>
      </c>
      <c r="F14" s="32" t="inlineStr">
        <is>
          <t>Thông báo nội bộ về đơn của khách U1</t>
        </is>
      </c>
      <c r="G14" s="32" t="inlineStr">
        <is>
          <t>notificationService.CreateNotificationAsync(type, recipient=U9, ...)</t>
        </is>
      </c>
      <c r="H14" s="32" t="inlineStr">
        <is>
          <t>Không gửi nội dung nhạy cảm cho người không liên quan</t>
        </is>
      </c>
      <c r="I14" s="35" t="inlineStr">
        <is>
          <t>Yes</t>
        </is>
      </c>
      <c r="J14" s="43" t="inlineStr">
        <is>
          <t>Pass</t>
        </is>
      </c>
      <c r="K14" s="32" t="n"/>
      <c r="L14" s="46" t="n"/>
      <c r="M14" s="43" t="inlineStr">
        <is>
          <t>✅ Pass (không đổi)</t>
        </is>
      </c>
    </row>
    <row r="15" ht="18" customHeight="1">
      <c r="A15" s="50" t="inlineStr">
        <is>
          <t xml:space="preserve">  ▶  Block: f5b6b5e + ae6fed6 — Validation DTO &amp; 6 bug logic  |  FT-01; FT-05; FT-06; FT-11; FT-12</t>
        </is>
      </c>
    </row>
    <row r="16" ht="30" customHeight="1">
      <c r="A16" s="26" t="inlineStr">
        <is>
          <t>L1-REG-09</t>
        </is>
      </c>
      <c r="B16" s="37" t="inlineStr">
        <is>
          <t>EP-Invalid</t>
        </is>
      </c>
      <c r="C16" s="27" t="inlineStr">
        <is>
          <t>Validation DTO: số lượng và ngày không hợp lệ bị chặn ở tầng nhập</t>
        </is>
      </c>
      <c r="D16" s="27" t="inlineStr">
        <is>
          <t>FT-01 AC-05; FT-05 BV-02</t>
        </is>
      </c>
      <c r="E16" s="28" t="inlineStr">
        <is>
          <t>P1</t>
        </is>
      </c>
      <c r="F16" s="27" t="inlineStr">
        <is>
          <t>[Theory] qty = 0/-1; ngày giao ở quá khứ; kiểu dữ liệu sai</t>
        </is>
      </c>
      <c r="G16" s="27" t="inlineStr">
        <is>
          <t>Gọi các API nhận DTO tương ứng</t>
        </is>
      </c>
      <c r="H16" s="27" t="inlineStr">
        <is>
          <t>Bị chặn với lỗi validation rõ ràng; không tạo bản ghi nào</t>
        </is>
      </c>
      <c r="I16" s="29" t="inlineStr">
        <is>
          <t>Yes</t>
        </is>
      </c>
      <c r="J16" s="43" t="inlineStr">
        <is>
          <t>Pass</t>
        </is>
      </c>
      <c r="K16" s="27" t="n"/>
      <c r="L16" s="45" t="n"/>
      <c r="M16" s="43" t="inlineStr">
        <is>
          <t>✅ Pass (không đổi)</t>
        </is>
      </c>
    </row>
    <row r="17" ht="30" customHeight="1">
      <c r="A17" s="31" t="inlineStr">
        <is>
          <t>L1-REG-10</t>
        </is>
      </c>
      <c r="B17" s="37" t="inlineStr">
        <is>
          <t>EP-Valid</t>
        </is>
      </c>
      <c r="C17" s="32" t="inlineStr">
        <is>
          <t>AddressService: sau fix vẫn đảm bảo đúng 1 địa chỉ mặc định</t>
        </is>
      </c>
      <c r="D17" s="32" t="inlineStr">
        <is>
          <t>FT-01 AC-03; BV-03; BR-028</t>
        </is>
      </c>
      <c r="E17" s="28" t="inlineStr">
        <is>
          <t>P1</t>
        </is>
      </c>
      <c r="F17" s="32" t="inlineStr">
        <is>
          <t>U1 có A1 (mặc định), A2, A3</t>
        </is>
      </c>
      <c r="G17" s="32" t="inlineStr">
        <is>
          <t>Đặt mặc định lần lượt A2 rồi A3</t>
        </is>
      </c>
      <c r="H17" s="32" t="inlineStr">
        <is>
          <t>Sau mỗi lần: đúng 1 địa chỉ mặc định; các địa chỉ khác đều false</t>
        </is>
      </c>
      <c r="I17" s="32" t="inlineStr">
        <is>
          <t>No</t>
        </is>
      </c>
      <c r="J17" s="43" t="inlineStr">
        <is>
          <t>Pass</t>
        </is>
      </c>
      <c r="K17" s="32" t="n"/>
      <c r="L17" s="46" t="n"/>
      <c r="M17" s="43" t="inlineStr">
        <is>
          <t>✅ Pass (không đổi)</t>
        </is>
      </c>
    </row>
    <row r="18" ht="30" customHeight="1">
      <c r="A18" s="26" t="inlineStr">
        <is>
          <t>L1-REG-11</t>
        </is>
      </c>
      <c r="B18" s="37" t="inlineStr">
        <is>
          <t>EP-Valid</t>
        </is>
      </c>
      <c r="C18" s="27" t="inlineStr">
        <is>
          <t>MaterialService: sau fix, tìm kiếm không phân biệt hoa thường và dấu</t>
        </is>
      </c>
      <c r="D18" s="27" t="inlineStr">
        <is>
          <t>FT-12 AC-05</t>
        </is>
      </c>
      <c r="E18" s="34" t="inlineStr">
        <is>
          <t>P3</t>
        </is>
      </c>
      <c r="F18" s="27" t="inlineStr">
        <is>
          <t>Vật tư 'Nhựa PP'</t>
        </is>
      </c>
      <c r="G18" s="27" t="inlineStr">
        <is>
          <t>materialService.GetAllAsync('NHỰA')</t>
        </is>
      </c>
      <c r="H18" s="27" t="inlineStr">
        <is>
          <t>Vẫn tìm được 'Nhựa PP'</t>
        </is>
      </c>
      <c r="I18" s="27" t="inlineStr">
        <is>
          <t>No</t>
        </is>
      </c>
      <c r="J18" s="43" t="inlineStr">
        <is>
          <t>Pass</t>
        </is>
      </c>
      <c r="K18" s="27" t="n"/>
      <c r="L18" s="45" t="n"/>
      <c r="M18" s="43" t="inlineStr">
        <is>
          <t>✅ Pass (không đổi)</t>
        </is>
      </c>
    </row>
    <row r="19" ht="30" customHeight="1">
      <c r="A19" s="31" t="inlineStr">
        <is>
          <t>L1-REG-12</t>
        </is>
      </c>
      <c r="B19" s="37" t="inlineStr">
        <is>
          <t>Atomicity</t>
        </is>
      </c>
      <c r="C19" s="32" t="inlineStr">
        <is>
          <t>GoodsIssue/GoodsReceipt: lỗi giữa chừng phải rollback toàn bộ</t>
        </is>
      </c>
      <c r="D19" s="32" t="inlineStr">
        <is>
          <t>FT-05 NAC-01; FT-06 NAC-03; BR-032</t>
        </is>
      </c>
      <c r="E19" s="28" t="inlineStr">
        <is>
          <t>P1</t>
        </is>
      </c>
      <c r="F19" s="32" t="inlineStr">
        <is>
          <t>Ép lỗi ở bước ghi StockTransaction</t>
        </is>
      </c>
      <c r="G19" s="32" t="inlineStr">
        <is>
          <t>Post phiếu xuất/nhập nhiều dòng</t>
        </is>
      </c>
      <c r="H19" s="32" t="inlineStr">
        <is>
          <t>Không có dòng nào được ghi một phần; tồn kho giữ nguyên hoàn toàn</t>
        </is>
      </c>
      <c r="I19" s="35" t="inlineStr">
        <is>
          <t>Yes</t>
        </is>
      </c>
      <c r="J19" s="43" t="inlineStr">
        <is>
          <t>Pass</t>
        </is>
      </c>
      <c r="K19" s="32" t="n"/>
      <c r="L19" s="46" t="n"/>
      <c r="M19" s="43" t="inlineStr">
        <is>
          <t>✅ Pass (không đổi)</t>
        </is>
      </c>
    </row>
    <row r="20" ht="15" customHeight="1">
      <c r="A20" s="52" t="inlineStr">
        <is>
          <t xml:space="preserve">  ▶  Template Row — copy khi thêm case mới</t>
        </is>
      </c>
    </row>
    <row r="21" ht="53.25" customHeight="1">
      <c r="A21" s="43" t="inlineStr">
        <is>
          <t>L1-XX-[NN]</t>
        </is>
      </c>
      <c r="B21" s="43" t="inlineStr">
        <is>
          <t>[BC-TRUE | BC-FALSE | CC | EP-Valid | EP-Invalid | BVA-* | State-* | Guard-* | Concurrency | Idempotency | Atomicity]</t>
        </is>
      </c>
      <c r="C21" s="43" t="inlineStr">
        <is>
          <t>[Branch / condition / partition]</t>
        </is>
      </c>
      <c r="D21" s="43" t="inlineStr">
        <is>
          <t>[FT-xx AC/NAC/BV-xx; BR-xxx; NFR-xxx]</t>
        </is>
      </c>
      <c r="E21" s="43" t="inlineStr">
        <is>
          <t>P2</t>
        </is>
      </c>
      <c r="F21" s="43" t="inlineStr">
        <is>
          <t>[Arrange: state + _mock.Setup(...)]</t>
        </is>
      </c>
      <c r="G21" s="43" t="inlineStr">
        <is>
          <t>service.Method(params)</t>
        </is>
      </c>
      <c r="H21" s="43" t="inlineStr">
        <is>
          <t>[result.Should().Be(...) / Throws / _mock.Verify(..., Times.Never)]</t>
        </is>
      </c>
      <c r="I21" s="43" t="inlineStr">
        <is>
          <t>No</t>
        </is>
      </c>
      <c r="J21" s="43" t="inlineStr">
        <is>
          <t>Not Run</t>
        </is>
      </c>
      <c r="K21" s="43" t="n"/>
      <c r="L21" s="43" t="n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L20"/>
    <mergeCell ref="A2:L2"/>
    <mergeCell ref="A15:L15"/>
    <mergeCell ref="A10:L10"/>
    <mergeCell ref="A1:L1"/>
    <mergeCell ref="A5:L5"/>
  </mergeCells>
  <dataValidations count="2">
    <dataValidation sqref="E6:E9 E11:E14 E16:E19 E21" showDropDown="0" showInputMessage="0" showErrorMessage="0" allowBlank="1" type="list">
      <formula1>"P1,P2,P3"</formula1>
      <formula2>0</formula2>
    </dataValidation>
    <dataValidation sqref="J6:J9 J11:J14 J16:J19 J21" showDropDown="0" showInputMessage="0" showErrorMessage="0" allowBlank="1" type="list">
      <formula1>"Not Run,Pass,Fail,Blocked,Skip,N/A"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2026-05-24T04:21:42Z</dcterms:created>
  <dcterms:modified xsi:type="dcterms:W3CDTF">2026-08-07T13:06:52Z</dcterms:modified>
  <cp:lastModifiedBy>Khánh Trần</cp:lastModifiedBy>
  <cp:revision>0</cp:revision>
</cp:coreProperties>
</file>