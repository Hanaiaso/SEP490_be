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L2-Infrastructure" sheetId="4" r:id="rId7"/>
    <sheet state="visible" name="L2-OrderPayment" sheetId="5" r:id="rId8"/>
    <sheet state="visible" name="L2-OrderFulfilment" sheetId="6" r:id="rId9"/>
    <sheet state="visible" name="L2-Quotation" sheetId="7" r:id="rId10"/>
    <sheet state="visible" name="L2-Purchasing" sheetId="8" r:id="rId11"/>
    <sheet state="visible" name="L2-InventoryTransfer" sheetId="9" r:id="rId12"/>
    <sheet state="visible" name="L2-AuthFlow" sheetId="10" r:id="rId13"/>
    <sheet state="visible" name="L2-Workflows" sheetId="11" r:id="rId14"/>
    <sheet state="visible" name="L2-AfterSalesReturn" sheetId="12" r:id="rId15"/>
    <sheet state="visible" name="L2-AdminConfigAudit" sheetId="13" r:id="rId16"/>
    <sheet state="visible" name="L2-ScheduledJobs" sheetId="14" r:id="rId17"/>
  </sheets>
  <definedNames>
    <definedName name="ACTION">#REF!</definedName>
    <definedName localSheetId="0" name="ACTION">#REF!</definedName>
  </definedNames>
  <calcPr/>
  <extLst>
    <ext uri="GoogleSheetsCustomDataVersion2">
      <go:sheetsCustomData xmlns:go="http://customooxmlschemas.google.com/" r:id="rId18" roundtripDataChecksum="MyWmUffk6Wm50r2tAQOMWwTJNJnOMOfAbFlwx1HrAv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sharedStrings.xml><?xml version="1.0" encoding="utf-8"?>
<sst xmlns="http://schemas.openxmlformats.org/spreadsheetml/2006/main" count="1420" uniqueCount="565">
  <si>
    <t>TEST STATISTICS</t>
  </si>
  <si>
    <t>TEST CASE LIST</t>
  </si>
  <si>
    <t>INTEGRATION TEST REPORT DOCUMENT</t>
  </si>
  <si>
    <t>Project Name</t>
  </si>
  <si>
    <t>Design and Development of a Warehouse and Sales Management System for Viet Tien Company (DDWSMSVTC)</t>
  </si>
  <si>
    <t>Creator</t>
  </si>
  <si>
    <t>Feature</t>
  </si>
  <si>
    <t>KhanhTN</t>
  </si>
  <si>
    <t>Project Code</t>
  </si>
  <si>
    <t>SEP490</t>
  </si>
  <si>
    <t>Issue Date</t>
  </si>
  <si>
    <t>L2-Infrastructure</t>
  </si>
  <si>
    <t>Test Environment Setup Description</t>
  </si>
  <si>
    <t>Document Code</t>
  </si>
  <si>
    <t>Staging / test environment for Level 2 integration tests:
1. API: ASP.NET Core 8 monolith run through WebApplicationFactory&lt;Program&gt;
2. Database: SQL Server 2022 in Testcontainers.MsSql, schema built from EF Core migrations, reset by Respawn between tests
3. External systems: WireMock.Net (eSMS, Make.com), smtp4dev mail sink, recording fakes for SMS / AI / Cloudinary
4. Realtime: SignalR test client
5. Runtime: Docker Desktop must be running before dotnet test</t>
  </si>
  <si>
    <t>Reviewer/Approver</t>
  </si>
  <si>
    <t>Passed</t>
  </si>
  <si>
    <t>Test requirement</t>
  </si>
  <si>
    <t>Integration test cases for module L2-Infrastructure — 3 test cases. SRS refs: NFR-M02, NFR-SEC06</t>
  </si>
  <si>
    <t>Version</t>
  </si>
  <si>
    <t>1.0</t>
  </si>
  <si>
    <t>Failed</t>
  </si>
  <si>
    <t>Number of TCs</t>
  </si>
  <si>
    <t>No</t>
  </si>
  <si>
    <t>Function Name</t>
  </si>
  <si>
    <t>Notes</t>
  </si>
  <si>
    <t>Level 2 — Integration Test, version 1.0. Level 2 — Integration Test. Release covers 11 modules: L2-Infrastructure, L2-OrderPayment, L2-OrderFulfilment, L2-Quotation, L2-Purchasing, L2-InventoryTransfer, L2-AuthFlow, L2-Workflows, L2-AfterSalesReturn, L2-AdminConfigAudit, L2-ScheduledJobs</t>
  </si>
  <si>
    <t>Sheet Name</t>
  </si>
  <si>
    <t>Description</t>
  </si>
  <si>
    <t>Pre-Condition</t>
  </si>
  <si>
    <t>Record of change</t>
  </si>
  <si>
    <t>Effective Date</t>
  </si>
  <si>
    <t>Pending</t>
  </si>
  <si>
    <t>Testing Round</t>
  </si>
  <si>
    <t>Change Item</t>
  </si>
  <si>
    <t>*A,D,M</t>
  </si>
  <si>
    <t>Change description</t>
  </si>
  <si>
    <t>Infrastructure guardrails | NFR-M02 (maintainability) · deployment operations</t>
  </si>
  <si>
    <t>Reference</t>
  </si>
  <si>
    <t>N/A</t>
  </si>
  <si>
    <t>Module code</t>
  </si>
  <si>
    <t>Round 1</t>
  </si>
  <si>
    <t>All sheets</t>
  </si>
  <si>
    <t>A</t>
  </si>
  <si>
    <t>Initial issue of the Level 2 (Integration Test) report: 77 integration test cases across 11 modules, executed with xUnit + WebApplicationFactory, SQL Server 2022 in Testcontainers, Respawn, WireMock.Net and smtp4dev.</t>
  </si>
  <si>
    <t>Number of  test cases</t>
  </si>
  <si>
    <t>SRS v2 (FT-01..FT-12, BR-001..BR-050, NFR), Test Plan.</t>
  </si>
  <si>
    <t>ProcessSePayWebhook — HTTP end-to-end  |  BR-06, BV-02, idempotency</t>
  </si>
  <si>
    <t>L2-OrderPayment</t>
  </si>
  <si>
    <t>Payment timeout — 15-min boundary  |  BV-01, BR-07 (ScheduledJobRunnerBackgroundService: OrderSlaJob)</t>
  </si>
  <si>
    <t>Round 2</t>
  </si>
  <si>
    <t>ManualConfirm — fallback  |  BR-08; 4.4.2 rows 5-6</t>
  </si>
  <si>
    <t>— Authentication bypass driven by an environment variable | SePayController.cs:53 + OrderService.cs:303 | FT-03 NAC-01; NFR-SEC05</t>
  </si>
  <si>
    <t>Round 3</t>
  </si>
  <si>
    <t>PlaceOrderAsync — checkout with real DB  |  FT-01 AC-04/05, NAC-03/04; FT-02 NAC-01</t>
  </si>
  <si>
    <t>L2-OrderFulfilment</t>
  </si>
  <si>
    <t>Confirm -&gt; FIFO queue -&gt; Warehouse accept  |  FT-04 AC-01; BV-03; 4.4.1</t>
  </si>
  <si>
    <t>Goods issue &amp; walk-in — atomic stock  |  FT-04 AC-02, NAC-03; FT-08 NAC-03</t>
  </si>
  <si>
    <t>Full approval chain  |  4.4.3 rows 1-6</t>
  </si>
  <si>
    <t>L2-Quotation</t>
  </si>
  <si>
    <t>Negotiation chat  |  quotation messaging</t>
  </si>
  <si>
    <t>PO lifecycle + receipt posting</t>
  </si>
  <si>
    <t>L2-Purchasing</t>
  </si>
  <si>
    <t>Test Case ID</t>
  </si>
  <si>
    <t>StockTransfer dispatch/receive</t>
  </si>
  <si>
    <t>L2-InventoryTransfer</t>
  </si>
  <si>
    <t>Test Case Description</t>
  </si>
  <si>
    <t>Test Case Procedure</t>
  </si>
  <si>
    <t>Expected Results</t>
  </si>
  <si>
    <t>Pre-conditions</t>
  </si>
  <si>
    <t>Test date</t>
  </si>
  <si>
    <t>Tester</t>
  </si>
  <si>
    <t>Inventory adjustment audit</t>
  </si>
  <si>
    <t>Note</t>
  </si>
  <si>
    <t>Register -&gt; verify -&gt; login E2E</t>
  </si>
  <si>
    <t>L2-AuthFlow</t>
  </si>
  <si>
    <t>Refresh rotation + logout</t>
  </si>
  <si>
    <t>L2-INFRA-01</t>
  </si>
  <si>
    <t>No pending EF migration drift — schema built from migrations matches the model</t>
  </si>
  <si>
    <t>(no HTTP) EF migration + schema check
Compare the model snapshot with the actual schema:
context.Database.GetPendingMigrations() is empty
AND `dotnet ef migrations has-pending-model-changes` returns exit code 0</t>
  </si>
  <si>
    <t>No pending model change
Every DbSet in ApplicationDbContext can be queried (SELECT TOP 1) without an "Invalid column name" error</t>
  </si>
  <si>
    <t>Database built CLEAN from migrations inside the container (no manual patching)</t>
  </si>
  <si>
    <t>FLOW-01: SePay payment -&gt; fulfilment eligibility</t>
  </si>
  <si>
    <t>L2-Workflows</t>
  </si>
  <si>
    <t>FLOW-02: Full order lifecycle to COD delivery + debt ledger</t>
  </si>
  <si>
    <t>FLOW-03: Purchasing chain PO -&gt; receipt -&gt; sellable stock</t>
  </si>
  <si>
    <t>SRS: NFR-M02; operations | Technique: Schema Drift Guard | Negative: No | Priority: Critical | Defect: GH-03 | Env: VietTien.API (WebApplicationFactory) + SQL Server · SQL Server 2022 (Testcontainers.MsSql) + Respawn reset
MIGRATION DRIFT -&gt; fixed</t>
  </si>
  <si>
    <t>FLOW-04: Shortage -&gt; notify -&gt; restock -&gt; requeue</t>
  </si>
  <si>
    <t>L2-INFRA-02</t>
  </si>
  <si>
    <t>No real outbound call escapes the test host (SMS / webhook / AI / Cloudinary)</t>
  </si>
  <si>
    <t>FLOW-05: Cancel PAID order -&gt; replacement (no refund)</t>
  </si>
  <si>
    <t>(no HTTP) SqlServerTestBase teardown assertion
After EVERY L2 test: the shared SqlServerTestBase teardown inspects the recording fakes</t>
  </si>
  <si>
    <t>Sms / MakeWebhook / AiGenerator / Cloudinary are NEVER called (unless a test sets an explicit opt-out flag)
Email is NOT asserted empty (several legitimate mail flows exist) — Factory.Email.Sent is exposed so tests can assert the content themselves</t>
  </si>
  <si>
    <t>Test host runs UseEnvironment("Test") with appsettings.Test.json (all credentials empty/fake)</t>
  </si>
  <si>
    <t>FLOW-06: Quotation accepted price applied at next checkout</t>
  </si>
  <si>
    <t>SRS: NFR-SEC06; NFR-A02 | Technique: Outbound IO Guard | Negative: Yes | Priority: Critical | Env: VietTien.API (WebApplicationFactory) + SQL Server · SQL Server 2022 (Testcontainers.MsSql) + Respawn reset · Recording fake: ISmsService, IEmailService, IMakeWebhookService, IAiGeneratorService, ICloudinaryService</t>
  </si>
  <si>
    <t>Return / exchange and goods pickup | FT-08 AC-05; BR-019; BR-043</t>
  </si>
  <si>
    <t>L2-AfterSalesReturn</t>
  </si>
  <si>
    <t>L2-INFRA-03</t>
  </si>
  <si>
    <t>Test host loads no real third-party credentials</t>
  </si>
  <si>
    <t>(no HTTP) test host IConfiguration
Read the test host's IConfiguration</t>
  </si>
  <si>
    <t>No real credential is loaded (eSMS/Gemini/Cloudinary/SMTP/MakeCom are all empty or fake)
JwtSettings:SecretKey is a fake value but long enough to sign/verify</t>
  </si>
  <si>
    <t>Test host starts up</t>
  </si>
  <si>
    <t>Cancelling a paid order | FT-08 AC-01; BR-016; BR-017</t>
  </si>
  <si>
    <t>SRS: NFR-SEC06 | Technique: Config Isolation | Negative: Yes | Priority: Critical | Env: VietTien.API (WebApplicationFactory) + SQL Server · SQL Server 2022 (Testcontainers.MsSql) + Respawn reset</t>
  </si>
  <si>
    <t>Versioned configuration &amp; immutable audit | FT-09 AC-03/AC-04; BR-050; BR-048</t>
  </si>
  <si>
    <t>L2-AdminConfigAudit</t>
  </si>
  <si>
    <t>User administration &amp; dashboards | FT-09 AC-01; NAC-01/NAC-02</t>
  </si>
  <si>
    <t>Stock-hold expiry &amp; COD SLA jobs | FT-03 BV-01/BV-02; BR-008/010/033</t>
  </si>
  <si>
    <t>L2-ScheduledJobs</t>
  </si>
  <si>
    <t>Webhook retry &amp; low-stock alert jobs | BR-029; BR-049; FT-12 AC-04</t>
  </si>
  <si>
    <t>⊕ v2.2 — Jobs still missing in v2.1 | QuotationExpiryJob · UpcomingDeliveryReminderJob | FT-02; FT-07</t>
  </si>
  <si>
    <t>Sub total</t>
  </si>
  <si>
    <t>Test coverage</t>
  </si>
  <si>
    <t>%</t>
  </si>
  <si>
    <t>Test successful coverage</t>
  </si>
  <si>
    <t>Integration test cases for module L2-OrderPayment — 11 test cases. SRS refs: FT-03</t>
  </si>
  <si>
    <t>L2-PAY-01</t>
  </si>
  <si>
    <t>Valid SePay webhook -&gt; order Paid + transaction row in one transaction</t>
  </si>
  <si>
    <t>POST /api/webhooks/sepay-callback
POST /api/webhooks/sepay-callback
body: {referenceCode:'ORD-001', transferAmount:5000000, id:'txn-001'}
header: Authorization = valid configured token</t>
  </si>
  <si>
    <t>HTTP 200/201
DB: Order.PaymentStatus = Paid (locked); PaymentTransaction row with TransactionId='txn-001'
SignalR: SalesHub receives payment notification
Order row + transaction row committed in ONE transaction</t>
  </si>
  <si>
    <t>Order ORD-001: PaymentStatus=Pending Payment, total=5,000,000
PaymentTransactions: empty
SePay Api-Key configured in test appsettings</t>
  </si>
  <si>
    <t>SRS: FT-03 AC-01; AC-02; BR-009; NFR-SEC05 | Technique: Happy Path + Transaction Boundary | Negative: No | Priority: Critical | Env: VietTien.API (WebApplicationFactory) + SQL Server + SignalR test client · SQL Server 2022 (Testcontainers.MsSql) + Respawn reset · None (SePay is inbound)</t>
  </si>
  <si>
    <t>L2-PAY-02</t>
  </si>
  <si>
    <t>Webhook with a wrong token -&gt; 401, nothing written</t>
  </si>
  <si>
    <t>POST /api/webhooks/sepay-callback
POST /api/webhooks/sepay-callback with SAME body but Authorization = 'WRONG-TOKEN'</t>
  </si>
  <si>
    <t>HTTP 401
DB: Order.PaymentStatus unchanged (still Pending Payment)
No PaymentTransaction row created
Security alert logged</t>
  </si>
  <si>
    <t>Order ORD-001: Pending Payment, total=5,000,000</t>
  </si>
  <si>
    <t>SRS: FT-03 NAC-01; NFR-SEC05 | Technique: Error Path | Negative: Yes | Priority: Critical | Env: VietTien.API (WebApplicationFactory) + SQL Server · SQL Server 2022 (Testcontainers.MsSql) + Respawn reset</t>
  </si>
  <si>
    <t>L2-PAY-03</t>
  </si>
  <si>
    <t>Transferred amount off by ±1 VND -&gt; rejected, routed to reconciliation</t>
  </si>
  <si>
    <t>POST /api/webhooks/sepay-callback
POST /api/webhooks/sepay-callback with valid token, transferAmount = total ±1 VND</t>
  </si>
  <si>
    <t>Both cases rejected/flagged (no auto-Paid)
DB: status unchanged; mismatch routed to PaymentException list</t>
  </si>
  <si>
    <t>Order ORD-001: total=5,000,000  ([Theory]: amount 5,000,001 and 4,999,999)</t>
  </si>
  <si>
    <t>SRS: FT-03 NAC-01; BV-01 | Technique: BVA | Negative: Yes | Priority: Critical | Env: VietTien.API (WebApplicationFactory) + SQL Server · SQL Server 2022 (Testcontainers.MsSql) + Respawn reset</t>
  </si>
  <si>
    <t>L2-PAY-04</t>
  </si>
  <si>
    <t>Same webhook txn id delivered twice -&gt; no duplicate transaction</t>
  </si>
  <si>
    <t>POST /api/webhooks/sepay-callback
POST /api/webhooks/sepay-callback with IDENTICAL payload (txn-001) a SECOND time</t>
  </si>
  <si>
    <t>HTTP 200 (accepted quietly) — no exception
DB: still exactly 1 PaymentTransaction row; status still Paid
No second SignalR notification</t>
  </si>
  <si>
    <t>Webhook txn-001 already processed: Order Paid; 1 PaymentTransaction row</t>
  </si>
  <si>
    <t>SRS: FT-03 NAC-02; BR-029 | Technique: Idempotency | Negative: No | Priority: Critical | Env: VietTien.API (WebApplicationFactory) + SQL Server · SQL Server 2022 (Testcontainers.MsSql) + Respawn reset</t>
  </si>
  <si>
    <t>L2-PAY-05</t>
  </si>
  <si>
    <t>Expiry job releases the over-15-minute hold and leaves the fresh order alone</t>
  </si>
  <si>
    <t>(job) Factory.RunJobAsync&lt;SePayReservationExpiryJob&gt;()
Factory.RunJobAsync&lt;SePayReservationExpiryJob&gt;()</t>
  </si>
  <si>
    <t>Order A: the reservation IS released; Reserved returns to 0; OnHandQuantity unchanged; RawAvailable() rises by exactly the released amount
Order B: NOT touched
No order ends with negative stock</t>
  </si>
  <si>
    <t>2 SePay orders awaiting payment with InventoryReservation holding stock:
Order A: CreatedAt backdated to NOW - 20 minutes (clearly expired)
Order B: CreatedAt = NOW (just created)
SystemConfig SEPAY_RESERVATION_MINUTES = 15</t>
  </si>
  <si>
    <t>SRS: FT-03 NAC-03; BV-01; BR-008; BR-033 | Technique: Workflow + Job boundary | Negative: No | Priority: Critical | Env: VietTien.API (WebApplicationFactory) + SQL Server · SQL Server 2022 (Testcontainers.MsSql) + Respawn reset</t>
  </si>
  <si>
    <t>L2-PAY-06</t>
  </si>
  <si>
    <t>Hold at 10 minutes -&gt; expiry job leaves it untouched</t>
  </si>
  <si>
    <t>The reservation is STILL held: Reserved P1 = 3, nothing released
The order stays in awaiting-payment state</t>
  </si>
  <si>
    <t>SePay order awaiting payment, CreatedAt backdated to NOW - 10 minutes (still within the window)
SystemConfig SEPAY_RESERVATION_MINUTES = 15
Reserved P1 = 3</t>
  </si>
  <si>
    <t>SRS: FT-03 BV-01; BR-008 | Technique: Workflow + Job boundary | Negative: No | Priority: Critical | Env: VietTien.API (WebApplicationFactory) + SQL Server · SQL Server 2022 (Testcontainers.MsSql) + Respawn reset</t>
  </si>
  <si>
    <t>L2-PAY-07</t>
  </si>
  <si>
    <t>Manual confirm with a bank reference -&gt; order Paid and released to fulfilment</t>
  </si>
  <si>
    <t>POST /api/orders/{orderId
POST /api/orders/{orderId}/manual-confirm
body: {bankRef:'FT2026...', note}</t>
  </si>
  <si>
    <t>HTTP 200; DB: PaymentStatus = Paid (locked), ConfirmedBy = admin
'PAID' flag available for delivery invoice
Order released to fulfilment</t>
  </si>
  <si>
    <t>Order ORD-002: Awaiting Manual Verify
Admin user seeded with valid JWT</t>
  </si>
  <si>
    <t>SRS: FT-03 AC-05; NAC-03; BR-016 | Technique: Happy Path | Negative: No | Priority: Critical | Env: VietTien.API (WebApplicationFactory) + SQL Server · SQL Server 2022 (Testcontainers.MsSql) + Respawn reset</t>
  </si>
  <si>
    <t>L2-PAY-08</t>
  </si>
  <si>
    <t>Manual confirm with no bank reference -&gt; 422, order cancelled, stock released</t>
  </si>
  <si>
    <t>POST /api/orders/{orderId
POST /api/orders/{orderId}/manual-confirm with empty/absent bankRef</t>
  </si>
  <si>
    <t>HTTP 422; DB: order cancelled per NAC-02
Reserved stock released; no Paid state</t>
  </si>
  <si>
    <t>Order ORD-003: Awaiting Manual Verify; no matching bank record in request</t>
  </si>
  <si>
    <t>SRS: FT-03 NAC-04 | Technique: Error Path | Negative: Yes | Priority: Critical | Env: VietTien.API (WebApplicationFactory) + SQL Server · SQL Server 2022 (Testcontainers.MsSql) + Respawn reset</t>
  </si>
  <si>
    <t>L2-PAY-09</t>
  </si>
  <si>
    <t>Webhook and manual confirm fired together -&gt; exactly one wins</t>
  </si>
  <si>
    <t>POST /api/webhooks/sepay-callback + POST /api/orders/{orderId}/manual-confirm (parallel)
Fire webhook POST and manual-confirm POST simultaneously (Task.WhenAll + barrier)</t>
  </si>
  <si>
    <t>Exactly ONE path wins: final state Paid with exactly 1 PaymentTransaction row
Loser gets 409/422 — no duplicate ledger entry, no double SignalR notify</t>
  </si>
  <si>
    <t>Order ORD-004: Pending Payment near expiry
Two triggers prepared: valid webhook + manual confirm</t>
  </si>
  <si>
    <t>SRS: FT-03 NAC-02; BR-029; NFR-A05 | Technique: Concurrency | Negative: No | Priority: Critical | Defect: GH-02 | Env: VietTien.API (WebApplicationFactory) + SQL Server · SQL Server 2022 (Testcontainers.MsSql) + Respawn reset</t>
  </si>
  <si>
    <t>L2-PAY-10</t>
  </si>
  <si>
    <t>Missing token accepted when ASPNETCORE_ENVIRONMENT=Development (bypass)</t>
  </si>
  <si>
    <t>POST /api/webhooks/sepay-callback
POST /api/webhooks/sepay-callback with NO token and a valid body</t>
  </si>
  <si>
    <t>PER SRS: 401; PaymentStatus stays Pending; 0 PaymentTransaction; security alert logged
ACTUAL: 200 and the order is fully moved to Paid</t>
  </si>
  <si>
    <t>Order ORD-001 PaymentStatus = Pending, FinalPayment = 5,000,000
PROCESS environment variable ASPNETCORE_ENVIRONMENT explicitly set to "Development"
(the old value must be restored in finally — it is process-wide)</t>
  </si>
  <si>
    <t>SRS: FT-03 NAC-01; NFR-SEC05; BR-009 | Technique: Guard-FALSE | Negative: Yes | Priority: Critical | Defect: GH-01 | Env: VietTien.API (WebApplicationFactory) + SQL Server · SQL Server 2022 (Testcontainers.MsSql) + Respawn reset</t>
  </si>
  <si>
    <t>L2-PAY-11</t>
  </si>
  <si>
    <t>Missing token outside Development -&gt; 401, nothing written</t>
  </si>
  <si>
    <t>POST /api/webhooks/sepay-callback
POST /api/webhooks/sepay-callback with NO token</t>
  </si>
  <si>
    <t>401 "Missing Token"; PaymentStatus stays Pending; 0 PaymentTransaction</t>
  </si>
  <si>
    <t>Integration test cases for module L2-OrderFulfilment — 8 test cases. SRS refs: FT-01, FT-02, FT-05</t>
  </si>
  <si>
    <t>Order ORD-001 PaymentStatus = Pending
ASPNETCORE_ENVIRONMENT != "Development" (restored in finally)</t>
  </si>
  <si>
    <t>SRS: FT-03 NAC-01; NFR-SEC05 | Technique: Guard-TRUE | Negative: Yes | Priority: Critical | Env: VietTien.API (WebApplicationFactory) + SQL Server · SQL Server 2022 (Testcontainers.MsSql) + Respawn reset</t>
  </si>
  <si>
    <t>L2-FUL-01</t>
  </si>
  <si>
    <t>Checkout writes order, items, invoice email and notifications in one transaction</t>
  </si>
  <si>
    <t>POST /api/orders
POST /api/orders (checkout) as U1</t>
  </si>
  <si>
    <t>HTTP 200; DB: Order 'Order Received' + OrderItems match cart
smtp4dev: 1 invoice email captured with PDF/lines
Sales role notifications created; cart cleared
All rows in one transaction</t>
  </si>
  <si>
    <t>Seed: customer U1 with cart (2 items, in stock, prices locked &lt; 24h)</t>
  </si>
  <si>
    <t>SRS: FT-01 AC-05; FT-03 AC-04; BR-030 | Technique: Happy Path + Transaction Boundary | Negative: No | Priority: Critical | Env: VietTien.API (WebApplicationFactory) + SQL Server + SignalR · SQL Server 2022 (Testcontainers.MsSql) + Respawn reset · SMTP -&gt; smtp4dev container (capture invoice email)</t>
  </si>
  <si>
    <t>L2-FUL-02</t>
  </si>
  <si>
    <t>Checkout with depleted stock -&gt; full rollback, cart intact</t>
  </si>
  <si>
    <t>POST /api/orders
POST /api/orders as U1</t>
  </si>
  <si>
    <t>HTTP 4xx naming product
DB: NO Order row, NO OrderItems, cart intact, stock untouched — full rollback</t>
  </si>
  <si>
    <t>Cart: P1 qty=5; Inventory(P1) = 0 (depleted after add-to-cart)</t>
  </si>
  <si>
    <t>SRS: FT-01 NAC-03; FT-05 NAC-01 | Technique: Error Path + Rollback | Negative: Yes | Priority: Critical | Env: VietTien.API (WebApplicationFactory) + SQL Server · SQL Server 2022 (Testcontainers.MsSql) + Respawn reset</t>
  </si>
  <si>
    <t>L2-FUL-03</t>
  </si>
  <si>
    <t>Checkout with a price hold older than 24h -&gt; blocked, no order created</t>
  </si>
  <si>
    <t>HTTP 4xx: must review refreshed prices
DB: no order created</t>
  </si>
  <si>
    <t>Cart PriceLockedAt = NOW - 24h01m (Price Expired)</t>
  </si>
  <si>
    <t>SRS: FT-01 NAC-03; BV-01; BR-025 | Technique: BVA + Error Path | Negative: Yes | Priority: Critical | Defect: GH-08 | Env: VietTien.API (WebApplicationFactory) + SQL Server · SQL Server 2022 (Testcontainers.MsSql) + Respawn reset</t>
  </si>
  <si>
    <t>L2-FUL-04</t>
  </si>
  <si>
    <t>Tampered cart total in the payload -&gt; 400 and a pricing-bypass alert</t>
  </si>
  <si>
    <t>POST /api/orders
POST /api/orders with tampered body</t>
  </si>
  <si>
    <t>HTTP 400; security alert persisted/logged ('Pricing Bypass Attempt')
DB: no order</t>
  </si>
  <si>
    <t>Cart true total = 105,000,000 (server-side)
Request payload tampered to claim 99,999,999</t>
  </si>
  <si>
    <t>SRS: FT-02 NAC-01; BR-005 | Technique: Error Path | Negative: Yes | Priority: Critical | Env: VietTien.API (WebApplicationFactory) + SQL Server · SQL Server 2022 (Testcontainers.MsSql) + Respawn reset</t>
  </si>
  <si>
    <t>L2-FUL-05</t>
  </si>
  <si>
    <t>Two confirmed orders reach the warehouse queue in FIFO order</t>
  </si>
  <si>
    <t>POST /api/orders/{id
Sales confirms A then B via POST /api/orders/{id}/confirm; warehouse GETs /api/warehouse/orders</t>
  </si>
  <si>
    <t>DB: both Confirmed; picking sequence(A) &lt; sequence(B)
Warehouse list returns A before B (FIFO)
SalesHub/WarehouseHub notifications observed</t>
  </si>
  <si>
    <t>Orders A (confirmed-eligible, placed 08:00) and B (08:05), both Paid</t>
  </si>
  <si>
    <t>SRS: FT-05 AC-01; BR-011 | Technique: Happy Path + Workflow | Negative: No | Priority: Critical | Env: VietTien.API (WebApplicationFactory) + SQL Server + SignalR · SQL Server 2022 (Testcontainers.MsSql) + Respawn reset</t>
  </si>
  <si>
    <t>L2-FUL-06</t>
  </si>
  <si>
    <t>Confirming a cancelled order -&gt; 409, no picking ticket</t>
  </si>
  <si>
    <t>POST /api/orders/C/confirm
POST /api/orders/C/confirm</t>
  </si>
  <si>
    <t>HTTP 409 'order is closed'; DB unchanged; no picking ticket</t>
  </si>
  <si>
    <t>Order C status = Cancelled</t>
  </si>
  <si>
    <t>SRS: FT-05 NAC-05 | Technique: Error Path | Negative: Yes | Priority: Critical | Defect: GH-09 | Env: VietTien.API (WebApplicationFactory) + SQL Server · SQL Server 2022 (Testcontainers.MsSql) + Respawn reset</t>
  </si>
  <si>
    <t>L2-FUL-07</t>
  </si>
  <si>
    <t>Posting a goods issue decrements stock and logs the transaction atomically</t>
  </si>
  <si>
    <t>POST /api/warehouse/orders/O1/goods-issue
POST /api/warehouse/orders/O1/goods-issue (PostGoodsIssue)</t>
  </si>
  <si>
    <t>DB: Inventory(P1)=6; StockTransaction rows created; order advances
Decrement + status + transaction log committed atomically</t>
  </si>
  <si>
    <t>Order O1 packed lines: P1 qty=4; Inventory(P1)=10, warehouse staff JWT</t>
  </si>
  <si>
    <t>SRS: FT-05 AC-05; BV-02; BR-032; BR-034 | Technique: Happy Path + Transaction Boundary | Negative: No | Priority: Critical | Env: VietTien.API (WebApplicationFactory) + SQL Server · SQL Server 2022 (Testcontainers.MsSql) + Respawn reset</t>
  </si>
  <si>
    <t>L2-FUL-08</t>
  </si>
  <si>
    <t>Two walk-in invoices on the last 10 units -&gt; exactly one succeeds</t>
  </si>
  <si>
    <t>POST /api/orders/place-direct-order
Fire both POST /api/orders/place-direct-order simultaneously (barrier)</t>
  </si>
  <si>
    <t>Exactly ONE invoice succeeds; other gets 'Stock depleted by another transaction...'
DB: Inventory(P1) = 0 (never negative); exactly 1 invoice + 1 history append</t>
  </si>
  <si>
    <t>Inventory(P1) = 10
Two sales staff prepare walk-in invoices for P1 qty=10 each</t>
  </si>
  <si>
    <t>SRS: FT-05 NAC-01; BV-01; BR-032; NFR-A05 | Technique: Concurrency | Negative: No | Priority: Critical | Env: VietTien.API (WebApplicationFactory) + SQL Server · SQL Server 2022 (Testcontainers.MsSql) + Respawn reset</t>
  </si>
  <si>
    <t>Integration test cases for module L2-Purchasing — 5 test cases. SRS refs: FT-06</t>
  </si>
  <si>
    <t>Integration test cases for module L2-Quotation — 6 test cases. SRS refs: FT-02</t>
  </si>
  <si>
    <t>L2-PUR-01</t>
  </si>
  <si>
    <t>PO lifecycle draft -&gt; issued -&gt; sent -&gt; receipt posted increases stock</t>
  </si>
  <si>
    <t>POST /api/purchase-orders
1) CEO POST /api/purchase-orders (2 lines)  2) POST issue  3) POST send-to-warehouse  4) WH staff POST /api/purchase-orders/{id}/receipts  5) POST /api/purchase-orders/{id}/receipts/{rId}/post (P1 received qty=50)</t>
  </si>
  <si>
    <t>DB: PO Draft -&gt; Issued -&gt; SentToWarehouse; receipt Posted
Inventory(P1,W1) = 60; StockTransaction logged
Receipt + inventory in one transaction</t>
  </si>
  <si>
    <t>CEO user seeded; supplier SUP-1; product P1 Inventory(W1)=10</t>
  </si>
  <si>
    <t>SRS: FT-06 AC-01; AC-03; BR-014 | Technique: Workflow — Happy Path | Negative: No | Priority: Critical | Env: VietTien.API (WebApplicationFactory) + SQL Server · SQL Server 2022 (Testcontainers.MsSql) + Respawn reset</t>
  </si>
  <si>
    <t>L2-PUR-02</t>
  </si>
  <si>
    <t>Creating a receipt for a PO still in Draft -&gt; 409</t>
  </si>
  <si>
    <t>POST /api/purchase-orders/{id
POST /api/purchase-orders/{id}/receipts for PO-2</t>
  </si>
  <si>
    <t>HTTP 409; no receipt row created</t>
  </si>
  <si>
    <t>PO-2 Status = Draft (never sent to warehouse)</t>
  </si>
  <si>
    <t>SRS: FT-06 NAC-01; BR-014 | Technique: Error Path | Negative: Yes | Priority: Critical | Env: VietTien.API (WebApplicationFactory) + SQL Server · SQL Server 2022 (Testcontainers.MsSql) + Respawn reset</t>
  </si>
  <si>
    <t>L2-QUO-01</t>
  </si>
  <si>
    <t>Full quotation approval chain: request -&gt; sales -&gt; manager -&gt; CEO -&gt; customer accept</t>
  </si>
  <si>
    <t>POST /api/Quotation/from-cart
1) U1 POST /api/Quotation/from-cart  2) S1 pick-up + create version  3) M1 approve  4) C1 approve  5) U1 accept</t>
  </si>
  <si>
    <t>L2-PUR-03</t>
  </si>
  <si>
    <t>DB after each step matches 4.4.3: Requested -&gt; Under Sales Review -&gt; Waiting Approval -&gt; Proposed -&gt; Accepted
CustomerProfile.NegotiatedPrice persisted
Notifications created at each hop</t>
  </si>
  <si>
    <t>Posting the same receipt twice -&gt; 409, stock not incremented twice</t>
  </si>
  <si>
    <t>POST /api/purchase-orders/{id
POST /api/purchase-orders/{id}/receipts/{rId}/post for R1 a SECOND time</t>
  </si>
  <si>
    <t>Customer U1 cart total = 120,000,000; no negotiated price
Users seeded: sales S1, manager M1, CEO C1 with role JWTs</t>
  </si>
  <si>
    <t>HTTP 409; Inventory stays 60 — no double increment</t>
  </si>
  <si>
    <t>Receipt R1 already Posted; Inventory(P1)=60</t>
  </si>
  <si>
    <t>SRS: FT-06 NAC-05; BR-029 | Technique: Idempotency | Negative: Yes | Priority: Critical | Env: VietTien.API (WebApplicationFactory) + SQL Server · SQL Server 2022 (Testcontainers.MsSql) + Respawn reset</t>
  </si>
  <si>
    <t>SRS: FT-02 AC-04; AC-05; BR-027 | Technique: Workflow — Happy Path | Negative: No | Priority: Critical | Env: VietTien.API (WebApplicationFactory) + SQL Server + SignalR (ChatHub) · SQL Server 2022 (Testcontainers.MsSql) + Respawn reset</t>
  </si>
  <si>
    <t>L2-PUR-04</t>
  </si>
  <si>
    <t>Closing a PO with an unresolved discrepancy -&gt; blocked until resolved</t>
  </si>
  <si>
    <t>POST /api/purchase-orders/{id
CEO POST /api/purchase-orders/{id}/close</t>
  </si>
  <si>
    <t>HTTP 4xx: discrepancy must be resolved first
After POST resolve-discrepancy then close -&gt; succeeds</t>
  </si>
  <si>
    <t>Receipt with qty discrepancy vs PO recorded, unresolved</t>
  </si>
  <si>
    <t>L2-QUO-02</t>
  </si>
  <si>
    <t>Sales role calling the CEO decision endpoint -&gt; 403</t>
  </si>
  <si>
    <t>POST /api/Quotation/{id
POST /api/Quotation/{id}/ceo-decision as SALES role</t>
  </si>
  <si>
    <t>HTTP 403; DB status unchanged</t>
  </si>
  <si>
    <t>Quotation Q1 Waiting Approval; caller = sales staff JWT</t>
  </si>
  <si>
    <t>SRS: FT-06 AC-05; NAC-03; BR-036 | Technique: Error Path | Negative: Yes | Priority: Critical | Defect: GH-03c | Env: VietTien.API (WebApplicationFactory) + SQL Server · SQL Server 2022 (Testcontainers.MsSql) + Respawn reset</t>
  </si>
  <si>
    <t>L2-PUR-05</t>
  </si>
  <si>
    <t>Excel PO import parses the file into draft PO lines</t>
  </si>
  <si>
    <t>SRS: FT-02 NAC-05; NFR-SEC03 | Technique: Error Path | Negative: Yes | Priority: Critical | Env: VietTien.API (WebApplicationFactory) + SQL Server · SQL Server 2022 (Testcontainers.MsSql) + Respawn reset</t>
  </si>
  <si>
    <t>POST /api/purchase-orders/import/excel
CEO POST /api/purchase-orders/import/excel (multipart)</t>
  </si>
  <si>
    <t>DB: PO Draft created with 3 parsed lines matching file values</t>
  </si>
  <si>
    <t>PO import file: valid Excel with 3 lines</t>
  </si>
  <si>
    <t>L2-QUO-03</t>
  </si>
  <si>
    <t>Fifth customer rejection -&gt; quotation cancelled, further rounds refused</t>
  </si>
  <si>
    <t>POST customer-decision (quotation)
U1 POST customer-decision {accept:false} (5th rejection)</t>
  </si>
  <si>
    <t>DB: Q1 = Cancelled; further round rejected with 409/422
Escalation notification created</t>
  </si>
  <si>
    <t>Q1 Proposed to Customer, negotiation round = 5</t>
  </si>
  <si>
    <t>SRS: FT-06 AC-02; NAC-02; BV-03; BR-015 | Technique: Happy Path | Negative: No | Priority: High | Defect: GH-10 | Env: VietTien.API (WebApplicationFactory) + SQL Server · SQL Server 2022 (Testcontainers.MsSql) + Respawn reset</t>
  </si>
  <si>
    <t>SRS: FT-02 NAC-04 | Technique: BVA | Negative: Yes | Priority: Critical | Env: VietTien.API (WebApplicationFactory) + SQL Server · SQL Server 2022 (Testcontainers.MsSql) + Respawn reset</t>
  </si>
  <si>
    <t>L2-QUO-04</t>
  </si>
  <si>
    <t>Accepted negotiated price applies at 110M but is ignored at 80M</t>
  </si>
  <si>
    <t>GET /api/orders/checkout-summary
U1 builds a NEW cart = 110,000,000 then GET /api/orders/checkout-summary; repeat with cart = 80,000,000</t>
  </si>
  <si>
    <t>110M: negotiated price auto-applied in summary
80M: negotiated price IGNORED — tier-2 discount applied (DC rule)</t>
  </si>
  <si>
    <t>U1 has Accepted negotiated price from L2-QUO-01 seed</t>
  </si>
  <si>
    <t>SRS: FT-02 AC-05; NAC-02; BV-01; BR-026 | Technique: Workflow — cross-module | Negative: No | Priority: Critical | Env: VietTien.API (WebApplicationFactory) + SQL Server · SQL Server 2022 (Testcontainers.MsSql) + Respawn reset</t>
  </si>
  <si>
    <t>L2-QUO-05</t>
  </si>
  <si>
    <t>Quotation message is persisted and pushed to the customer in real time</t>
  </si>
  <si>
    <t>POST /api/Quotation/{id
S1 POST /api/Quotation/{id}/messages {content}</t>
  </si>
  <si>
    <t>DB: ChatMessage row persisted
U1's SignalR connection receives the message in real time</t>
  </si>
  <si>
    <t>Q1 open; U1 (owner) and S1 (assigned) connected to ChatHub</t>
  </si>
  <si>
    <t>SRS: FT-02 AC-04; BR-020; NFR-P04 | Technique: Happy Path | Negative: No | Priority: High | Env: VietTien.API (WebApplicationFactory) + SQL Server + SignalR (ChatHub) · SQL Server 2022 (Testcontainers.MsSql) + Respawn reset</t>
  </si>
  <si>
    <t>L2-QUO-06</t>
  </si>
  <si>
    <t>Unrelated customer reading quotation messages -&gt; 403/404, nothing leaked</t>
  </si>
  <si>
    <t>GET /api/Quotation/{id
GET /api/Quotation/{id}/messages as U5</t>
  </si>
  <si>
    <t>HTTP 403/404; no messages leaked</t>
  </si>
  <si>
    <t>U5 not related to Q1 (valid JWT, different customer)</t>
  </si>
  <si>
    <t>Integration test cases for module L2-InventoryTransfer — 5 test cases. SRS refs: FT-11, FT-12</t>
  </si>
  <si>
    <t>Integration test cases for module L2-AuthFlow — 4 test cases. SRS refs: FT-01, NFR-SEC02</t>
  </si>
  <si>
    <t>L2-TRF-01</t>
  </si>
  <si>
    <t>L2-AUTH-01</t>
  </si>
  <si>
    <t>Stock transfer dispatch then receive moves stock between warehouses with a trail</t>
  </si>
  <si>
    <t>POST dispatch + POST receive (stock transfer)
POST dispatch T1; then POST receive T1 {received qty=5}</t>
  </si>
  <si>
    <t>Register -&gt; OTP email -&gt; verify -&gt; login end to end with a hashed password</t>
  </si>
  <si>
    <t>After dispatch: Inv(P1,W1)=5, T1=Dispatched, StockTransactions logged
After receive: Inv(P1,W2)=7, T1=Received
smtp4dev captured destination notification</t>
  </si>
  <si>
    <t>POST /api/auth/register
1) POST /api/auth/register  2) read OTP from smtp4dev  3) POST /api/auth/verify-otp  4) POST /api/auth/login</t>
  </si>
  <si>
    <t>Inventory(P1,W1)=10; Inventory(P1,W2)=2; transfer T1 Draft qty=5</t>
  </si>
  <si>
    <t>DB: user row with BCrypt hash (!= plaintext); IsVerified=true after step 3
Login returns access + refresh token; refresh persisted</t>
  </si>
  <si>
    <t>Empty Users table</t>
  </si>
  <si>
    <t>SRS: FT-11 AC-01; AC-02; BV-02; BR-035 | Technique: Workflow — Happy Path | Negative: No | Priority: Critical | Defect: GH-06 | Env: VietTien.API (WebApplicationFactory) + SQL Server · SQL Server 2022 (Testcontainers.MsSql) + Respawn reset · SMTP -&gt; smtp4dev (transfer notification)</t>
  </si>
  <si>
    <t>SRS: FT-01 AC-02; AC-04; BR-023; BR-024; NFR-SEC04 | Technique: Workflow — Happy Path | Negative: No | Priority: Critical | Env: VietTien.API (WebApplicationFactory) + SQL Server · SQL Server 2022 (Testcontainers.MsSql) + Respawn reset · SMTP -&gt; smtp4dev (OTP email capture) WireMock.Net: eSMS API -&gt; 200 (if phone OTP)</t>
  </si>
  <si>
    <t>L2-TRF-02</t>
  </si>
  <si>
    <t>Receiving more than was dispatched -&gt; rejected / logged as discrepancy</t>
  </si>
  <si>
    <t>POST receive (stock transfer)
POST receive T1 {received qty=6}</t>
  </si>
  <si>
    <t>HTTP 4xx or discrepancy record; Inv(P1,W2) NOT +6
Source remains consistent</t>
  </si>
  <si>
    <t>T1 Dispatched qty=5</t>
  </si>
  <si>
    <t>L2-AUTH-02</t>
  </si>
  <si>
    <t>Login with a wrong password -&gt; no tokens issued or stored</t>
  </si>
  <si>
    <t>POST /api/auth/login
POST /api/auth/login {password:'WRONG'} x1</t>
  </si>
  <si>
    <t>HTTP 401-equivalent (Success=false); no tokens in body
DB refresh token NOT set</t>
  </si>
  <si>
    <t>SRS: FT-11 NAC-03; BV-02 | Technique: Error Path | Negative: Yes | Priority: Critical | Env: VietTien.API (WebApplicationFactory) + SQL Server · SQL Server 2022 (Testcontainers.MsSql) + Respawn reset</t>
  </si>
  <si>
    <t>Verified user seeded, hash of 'P@ss123'</t>
  </si>
  <si>
    <t>L2-TRF-03</t>
  </si>
  <si>
    <t>Transfer dispatch and goods issue on the same stock -&gt; exactly one succeeds</t>
  </si>
  <si>
    <t>POST dispatch + POST goods-issue (parallel)
Fire dispatch and goods-issue simultaneously</t>
  </si>
  <si>
    <t>Exactly one succeeds; Inventory(P1,W1) = 0 — never negative
Loser receives insufficient-stock error</t>
  </si>
  <si>
    <t>Inventory(P1,W1)=5
Prepared: transfer dispatch qty=5 AND goods issue qty=5 on same stock</t>
  </si>
  <si>
    <t>SRS: NFR-SEC02 | Technique: Error Path | Negative: Yes | Priority: Critical | Env: VietTien.API (WebApplicationFactory) + SQL Server · SQL Server 2022 (Testcontainers.MsSql) + Respawn reset</t>
  </si>
  <si>
    <t>SRS: FT-11 NAC-02; BR-032; NFR-A05; NFR-D01 | Technique: Concurrency | Negative: No | Priority: Critical | Env: VietTien.API (WebApplicationFactory) + SQL Server · SQL Server 2022 (Testcontainers.MsSql) + Respawn reset</t>
  </si>
  <si>
    <t>L2-AUTH-03</t>
  </si>
  <si>
    <t>L2-TRF-04</t>
  </si>
  <si>
    <t>Refresh token rotation invalidates the previous token</t>
  </si>
  <si>
    <t>Inventory adjustment writes an append-only audit row with the delta</t>
  </si>
  <si>
    <t>POST /api/auth/refresh-token
POST /api/auth/refresh-token {RT1}; then POST /api/auth/refresh-token {RT1} AGAIN</t>
  </si>
  <si>
    <t>PUT /api/inventory/{inventoryId
PUT /api/inventory/{inventoryId}/adjust {newQuantity:7, note:'stocktake'}</t>
  </si>
  <si>
    <t>DB: qty=7; StockTransaction/audit row with delta -3, staff id, note
Audit row is append-only (no update of prior rows)</t>
  </si>
  <si>
    <t>First call: new access token + new RT2; DB now stores RT2
Second call with stale RT1: rejected — rotation invalidates old token</t>
  </si>
  <si>
    <t>Logged-in user with refresh token RT1 in DB</t>
  </si>
  <si>
    <t>Inventory I1 (P1,W1) qty=10; WH staff JWT</t>
  </si>
  <si>
    <t>SRS: FT-12 AC-03; BR-044; BR-022 | Technique: Happy Path | Negative: No | Priority: Critical | Defect: GH-12 | Env: VietTien.API (WebApplicationFactory) + SQL Server · SQL Server 2022 (Testcontainers.MsSql) + Respawn reset</t>
  </si>
  <si>
    <t>SRS: NFR-SEC02 | Technique: Happy Path + Rotation | Negative: Yes | Priority: Critical | Env: VietTien.API (WebApplicationFactory) + SQL Server · SQL Server 2022 (Testcontainers.MsSql) + Respawn reset</t>
  </si>
  <si>
    <t>L2-TRF-05</t>
  </si>
  <si>
    <t>Adjusting inventory to a negative quantity -&gt; rejected, no audit row</t>
  </si>
  <si>
    <t>PUT /api/inventory/{inventoryId
PUT /api/inventory/{inventoryId}/adjust {newQuantity:-1}</t>
  </si>
  <si>
    <t>HTTP 4xx; qty unchanged; no audit row</t>
  </si>
  <si>
    <t>Inventory I1 qty=10</t>
  </si>
  <si>
    <t>L2-AUTH-04</t>
  </si>
  <si>
    <t>Logout clears the refresh token and later refresh is rejected</t>
  </si>
  <si>
    <t>POST /api/auth/logout
POST /api/auth/logout; then POST /api/auth/refresh-token {RT1}</t>
  </si>
  <si>
    <t>Logout clears DB refresh token
Refresh after logout rejected</t>
  </si>
  <si>
    <t>Logged-in user with refresh token RT1</t>
  </si>
  <si>
    <t>SRS: NFR-SEC02 | Technique: Happy Path | Negative: Yes | Priority: High | Env: VietTien.API (WebApplicationFactory) + SQL Server · SQL Server 2022 (Testcontainers.MsSql) + Respawn reset</t>
  </si>
  <si>
    <t>SRS: FT-12 NAC-03; BV-01; BR-032 | Technique: Error Path | Negative: Yes | Priority: Critical | Env: VietTien.API (WebApplicationFactory) + SQL Server · SQL Server 2022 (Testcontainers.MsSql) + Respawn reset</t>
  </si>
  <si>
    <t>Integration test cases for module L2-Workflows — 6 test cases. SRS refs: FT-02, FT-03, FT-05, FT-06, FT-08</t>
  </si>
  <si>
    <t>L2-FLOW-01</t>
  </si>
  <si>
    <t>FLOW-01 payment -&gt; confirm -&gt; warehouse queue with notifications at each hop</t>
  </si>
  <si>
    <t>POST /api/webhooks/sepay-callback
POST /api/webhooks/sepay-callback (valid) -&gt; Sales confirms -&gt; Warehouse GET queue</t>
  </si>
  <si>
    <t>Chain: Paid -&gt; Confirmed -&gt; visible in warehouse FIFO queue
SalesHub notified at payment; WarehouseHub at confirm
All states consistent in DB at each hop</t>
  </si>
  <si>
    <t>Order ORD-001 Pending Payment; Sales + Warehouse connected via SignalR test clients</t>
  </si>
  <si>
    <t>SRS: FT-03 AC-02; FT-05 AC-01; BR-009; BR-011 | Technique: Workflow — Happy Path | Negative: No | Priority: Critical | Env: VietTien.API (WebApplicationFactory) + SQL Server + SignalR · SQL Server 2022 (Testcontainers.MsSql) + Respawn reset</t>
  </si>
  <si>
    <t>L2-FLOW-02</t>
  </si>
  <si>
    <t>FLOW-02 full lifecycle to COD delivery, stock, SMS and debt ledger</t>
  </si>
  <si>
    <t>Multi-step: warehouse accept -&gt; goods issue -&gt; schedule delivery -&gt; record delivery result
Warehouse accept -&gt; post goods issue -&gt; Sales schedule delivery (V1, Morning) -&gt; record delivery result {collected 5,000,000, signed}</t>
  </si>
  <si>
    <t>DB checkpoints: Packing -&gt; stock 6 -&gt; In Delivery (SMS fired via WireMock verify) -&gt; Delivered + Paid
Debt/credit ledger entry created (CustomerDebt/CreditTransaction)
Each transition rejected if attempted out of order</t>
  </si>
  <si>
    <t>Order Confirmed (COD, total 5,000,000); Inventory(P1)=10; vehicle V1/Morning free</t>
  </si>
  <si>
    <t>SRS: FT-05 AC-05; FT-07 AC-01; AC-03; AC-04; BR-034; BR-038; BR-039 | Technique: Workflow — Happy Path | Negative: No | Priority: Critical | Defect: GH-03a | Env: VietTien.API (WebApplicationFactory) + SQL Server · SQL Server 2022 (Testcontainers.MsSql) + Respawn reset · WireMock.Net: eSMS -&gt; 200 (delivery SMS) smtp4dev: email capture
⚠ v2.5 DEFECT ID REQUIRED: after the migration patch this case moved from Blocked to FAIL — the cause is no longer the schema but a real business defect, yet the manifest has no defect code assigned. Re-run it, read the red assertion and assign GH-xx (or open a new defect). | ⛔ GH-03a — the chain goes through goods issue, blocked by GoodsIssues missing 8 columns. | ⚠ SCOPE-CHANGE (SRS v2): mandatory POD (photo + signature + timestamp) and a DebtRecord on short collection were added</t>
  </si>
  <si>
    <t>L2-FLOW-03</t>
  </si>
  <si>
    <t>FLOW-03 purchasing chain restocks a product until it is purchasable again</t>
  </si>
  <si>
    <t>GET /api/products/P9
PO issue -&gt; send-to-warehouse -&gt; goods receipt posted -&gt; customer GET /api/products/P9 and add to cart</t>
  </si>
  <si>
    <t>Inventory(P9) = 50 after posting
Storefront shows P9 purchasable; add-to-cart succeeds
End-to-end purchasing feeds sales stock</t>
  </si>
  <si>
    <t>Product P9 Inventory=0 (out of stock on storefront); PO for P9 qty=50 prepared</t>
  </si>
  <si>
    <t>SRS: FT-06 AC-03; FT-01 AC-01; BR-014 | Technique: Workflow — Happy Path | Negative: No | Priority: Critical | Env: VietTien.API (WebApplicationFactory) + SQL Server · SQL Server 2022 (Testcontainers.MsSql) + Respawn reset</t>
  </si>
  <si>
    <t>L2-FLOW-04</t>
  </si>
  <si>
    <t>FLOW-04 shortage -&gt; notify -&gt; restock -&gt; order re-enters the queue</t>
  </si>
  <si>
    <t>POST report-shortage -&gt; stock adjust/receive -&gt; re-queue
Warehouse POST report-shortage -&gt; adjust/receive stock to 5 -&gt; re-queue order</t>
  </si>
  <si>
    <t>DB: Shortage state; Sales notified (SignalR/notification row)
After restock: order back to Confirmed and re-enters FIFO queue
Packing then completes normally</t>
  </si>
  <si>
    <t>Order Packing with line P1 qty=5; Inventory(P1)=2</t>
  </si>
  <si>
    <t>SRS: FT-05 NAC-04; AC-04 | Technique: Workflow — Error + Recovery | Negative: No | Priority: Critical | Env: VietTien.API (WebApplicationFactory) + SQL Server + SignalR · SQL Server 2022 (Testcontainers.MsSql) + Respawn reset</t>
  </si>
  <si>
    <t>L2-FLOW-05</t>
  </si>
  <si>
    <t>FLOW-05 cancel a paid order into a replacement with no refund</t>
  </si>
  <si>
    <t>POST approve-cancel-and-create-replacement
Manager POST approve-cancel-and-create-replacement {new items}</t>
  </si>
  <si>
    <t>DB: O1 closed; replacement order created referencing O1
NO refund/negative PaymentTransaction created (LI-03)
Paid amount linked/credited to replacement</t>
  </si>
  <si>
    <t>Order O1 Paid (SePay); manager JWT; cancel-paid request submitted</t>
  </si>
  <si>
    <t>SRS: FT-08 AC-01; AC-02; AC-03; BR-017; BR-041; BR-042 | Technique: Workflow — Compensation | Negative: No | Priority: Critical | Env: VietTien.API (WebApplicationFactory) + SQL Server · SQL Server 2022 (Testcontainers.MsSql) + Respawn reset</t>
  </si>
  <si>
    <t>L2-FLOW-06</t>
  </si>
  <si>
    <t>FLOW-06 accepted quotation price applied at the next checkout</t>
  </si>
  <si>
    <t>POST /api/orders
U1 creates new cart = 150,000,000 -&gt; GET checkout summary -&gt; POST /api/orders</t>
  </si>
  <si>
    <t>Negotiated price auto-applied end-to-end; order total reflects negotiated price
Order placed without a new quotation request</t>
  </si>
  <si>
    <t>Run full L2-QUO-01 chain to Accepted for U1</t>
  </si>
  <si>
    <t>SRS: FT-02 AC-05; BR-026 | Technique: Workflow — Happy Path | Negative: No | Priority: Critical | Defect: GH-13 | Env: VietTien.API (WebApplicationFactory) + SQL Server · SQL Server 2022 (Testcontainers.MsSql) + Respawn reset
🔴 GH-13 — THE B2B CHAIN LEADS NOWHERE (functional blocker). Even with Quotation.Status = CustomerAccepted, AcceptedVersionId set and ValidUntil still in the future, checkout-summary still hard-blocks with "orders above 100,000,000 VND please contact a sales rep". In other words there is NO PATH to place an order &gt;= 100M — the whole of FT-02 (the flagship feature) cannot be completed. Suspected link to GH-11 (two endpoints computing the cart total from two different sources). Proposal: let checkout proceed when the customer has a valid accepted quotation. | ⚠ SCOPE-CHANGE (SRS v2): the next order must use the approved quotation version that is still valid, not a stored price</t>
  </si>
  <si>
    <t>Integration test cases for module L2-AfterSalesReturn — 7 test cases. SRS refs: FT-08, NFR-A05</t>
  </si>
  <si>
    <t>L2-RET-01</t>
  </si>
  <si>
    <t>Return request -&gt; approval -&gt; pickup -&gt; goods land in quarantine, not sellable</t>
  </si>
  <si>
    <t>Multi-step: POST return request -&gt; approve -&gt; schedule pickup -&gt; confirm pickup
1. POST create a return/exchange request (2 units)
2. Sales Manager approves
3. POST schedule the pickup
4. POST confirm the goods were collected</t>
  </si>
  <si>
    <t>After step 2: the request is Approved and a pickup task is created
After step 4: goods go to quarantine, RawAvailable(P1) is STILL 10
Every step leaves an audit record</t>
  </si>
  <si>
    <t>Order O1 Delivered, line P1 delivered 5; available stock of P1 = 10</t>
  </si>
  <si>
    <t>SRS: FT-08 AC-05; BR-019 | Technique: Workflow | Negative: No | Priority: Critical | Defect: GH-03b | Env: VietTien.API (WebApplicationFactory) + SQL Server + SignalR · SQL Server 2022 (Testcontainers.MsSql) + Respawn reset</t>
  </si>
  <si>
    <t>L2-RET-02</t>
  </si>
  <si>
    <t>Sales Staff approving a return request -&gt; 403, no pickup task</t>
  </si>
  <si>
    <t>POST approve return request
POST approve request R1 using the Sales Staff JWT</t>
  </si>
  <si>
    <t>HTTP 403; DB: R1 status unchanged; no pickup task created</t>
  </si>
  <si>
    <t>Request R1 pending approval; JWT with the Sales Staff role</t>
  </si>
  <si>
    <t>SRS: FT-08 NAC-05; NFR-SEC03 | Technique: Error Path | Negative: Yes | Priority: Critical | Defect: GH-03b | Env: VietTien.API (WebApplicationFactory) + SQL Server · SQL Server 2022 (Testcontainers.MsSql) + Respawn reset</t>
  </si>
  <si>
    <t>L2-RET-03</t>
  </si>
  <si>
    <t>Return quantity 0 / 5 / 6 against a delivered quantity of 5</t>
  </si>
  <si>
    <t>POST create return request
POST create a request with qty = [Theory] 0 / 5 / 6</t>
  </si>
  <si>
    <t>0 and 6 are rejected; 5 is accepted
No request row exists in the DB for the rejected cases</t>
  </si>
  <si>
    <t>Order O1 delivered P1 = 5</t>
  </si>
  <si>
    <t>SRS: FT-08 BV-03 | Technique: BVA | Negative: Yes | Priority: Critical | Defect: GH-03b | Env: VietTien.API (WebApplicationFactory) + SQL Server · SQL Server 2022 (Testcontainers.MsSql) + Respawn reset</t>
  </si>
  <si>
    <t>L2-RET-04</t>
  </si>
  <si>
    <t>Replacement order pricing: same SKU keeps the original price, new SKU uses the current one</t>
  </si>
  <si>
    <t>POST create replacement order
1. Create a replacement order with the SAME product P1
2. Create a replacement order swapping to P2</t>
  </si>
  <si>
    <t>Same product: the replacement order uses the 50,000 price and creates no receivable
Different product: uses the 70,000 price and the difference is recorded explicitly</t>
  </si>
  <si>
    <t>R1 approved; P1 original price 50,000; P2 current price 70,000</t>
  </si>
  <si>
    <t>SRS: FT-08 AC-03; BR-042; BR-043 | Technique: Workflow | Negative: No | Priority: Critical | Defect: GH-03b | Env: VietTien.API (WebApplicationFactory) + SQL Server · SQL Server 2022 (Testcontainers.MsSql) + Respawn reset</t>
  </si>
  <si>
    <t>L2-RET-05</t>
  </si>
  <si>
    <t>Cancel a paid order -&gt; replacement created with no refund transaction</t>
  </si>
  <si>
    <t>Multi-step: POST cancel paid order -&gt; approve -&gt; create replacement
1. POST a cancellation request for the paid order
2. Sales Manager approves
3. Create the replacement order</t>
  </si>
  <si>
    <t>DB: Payment REMAINS PAID; NO refund transaction is created
The original order is closed and the replacement references it</t>
  </si>
  <si>
    <t>Order O1 already PAID via SePay and not yet delivered</t>
  </si>
  <si>
    <t>SRS: FT-08 AC-01; BR-017 | Technique: Workflow | Negative: No | Priority: Critical | Env: VietTien.API (WebApplicationFactory) + SQL Server · SQL Server 2022 (Testcontainers.MsSql) + Respawn reset</t>
  </si>
  <si>
    <t>L2-RET-06</t>
  </si>
  <si>
    <t>Cancellation request on an order In Delivery -&gt; 409</t>
  </si>
  <si>
    <t>POST cancel paid order request
POST a cancellation request</t>
  </si>
  <si>
    <t>HTTP 409; DB: no cancellation request created; order status unchanged</t>
  </si>
  <si>
    <t>Order O1 is In Delivery</t>
  </si>
  <si>
    <t>SRS: FT-08 NAC-05; 4.4.1 | Technique: Error Path | Negative: Yes | Priority: Critical | Defect: GH-14 | Env: VietTien.API (WebApplicationFactory) + SQL Server · SQL Server 2022 (Testcontainers.MsSql) + Respawn reset</t>
  </si>
  <si>
    <t>L2-RET-07</t>
  </si>
  <si>
    <t>Two parallel cancel approvals -&gt; only one replacement order created</t>
  </si>
  <si>
    <t>POST approve cancellation (fired twice in parallel)
Fire both approval requests in parallel (barrier)</t>
  </si>
  <si>
    <t>Exactly 1 request succeeds; only 1 replacement order is created
The paid amount is not doubled</t>
  </si>
  <si>
    <t>Order O1 already PAID; two simultaneous approve-cancellation requests prepared</t>
  </si>
  <si>
    <t>SRS: NFR-A05; BR-029 | Technique: Concurrency | Negative: No | Priority: Critical | Defect: GH-15 | Env: VietTien.API (WebApplicationFactory) + SQL Server · SQL Server 2022 (Testcontainers.MsSql) + Respawn reset</t>
  </si>
  <si>
    <t>Integration test cases for module L2-AdminConfigAudit — 7 test cases. SRS refs: FT-09</t>
  </si>
  <si>
    <t>L2-ADM-01</t>
  </si>
  <si>
    <t>Config change creates a new version and never recalculates held prices or past orders</t>
  </si>
  <si>
    <t>PUT config (discount table) + GET checkout-summary + GET order
1. PUT a change to the discount table through the config API
2. GET the checkout-summary of the price-holding cart again
3. GET the completed order again</t>
  </si>
  <si>
    <t>DB: a NEW config version is created and the old one is retained
The cart keeps the old price; the past order is not recalculated
An AuditLog entry with before/after exists</t>
  </si>
  <si>
    <t>A cart holding a price snapshot that is still valid + 1 completed order</t>
  </si>
  <si>
    <t>SRS: FT-09 AC-03; NAC-04; BR-050 | Technique: Workflow | Negative: No | Priority: Critical | Env: VietTien.API (WebApplicationFactory) + SQL Server · SQL Server 2022 (Testcontainers.MsSql) + Respawn reset</t>
  </si>
  <si>
    <t>L2-ADM-02</t>
  </si>
  <si>
    <t>Audit write failure rolls back the whole config change</t>
  </si>
  <si>
    <t>PUT config value
PUT a change to a controlled configuration value</t>
  </si>
  <si>
    <t>The configuration is NOT saved — the audit write is a mandatory part of the transaction
Complete DB rollback</t>
  </si>
  <si>
    <t>Force a failure when writing AuditLog (e.g. a table lock/constraint)</t>
  </si>
  <si>
    <t>SRS: FT-09 AC-04; BR-022 | Technique: Transaction Boundary | Negative: Yes | Priority: Critical | Env: VietTien.API (WebApplicationFactory) + SQL Server · SQL Server 2022 (Testcontainers.MsSql) + Respawn reset</t>
  </si>
  <si>
    <t>L2-ADM-03</t>
  </si>
  <si>
    <t>Direct UPDATE/DELETE on AuditLog is blocked at the database level</t>
  </si>
  <si>
    <t>(no HTTP) direct SQL UPDATE/DELETE on AuditLog
Attempt UPDATE and DELETE directly on the AuditLog table using the application account</t>
  </si>
  <si>
    <t>Blocked at the DB level (INSERT-only permission)
The record is unchanged</t>
  </si>
  <si>
    <t>An AuditLog record exists; the application account is connected to the DB</t>
  </si>
  <si>
    <t>SRS: FT-09 NAC-03; BR-048; NFR-SEC08 | Technique: Error Path | Negative: Yes | Priority: Critical | Env: VietTien.API (WebApplicationFactory) + SQL Server · SQL Server 2022 (Testcontainers.MsSql) + Respawn reset</t>
  </si>
  <si>
    <t>L2-ADM-04</t>
  </si>
  <si>
    <t>Create staff -&gt; change role -&gt; deactivate, each audited and the session revoked</t>
  </si>
  <si>
    <t>Multi-step: POST create staff -&gt; POST change role -&gt; POST deactivate -&gt; POST refresh-token
1. POST create a staff account
2. POST change the role
3. POST deactivate the account
4. Try to use the old refresh token</t>
  </si>
  <si>
    <t>DB: PasswordHash != plaintext; 3 matching AuditLog records
After step 3: the refresh token is revoked and step 4 returns 401</t>
  </si>
  <si>
    <t>Admin JWT; the new staff email does not exist yet</t>
  </si>
  <si>
    <t>SRS: FT-09 AC-04; BR-022; NFR-SEC02 | Technique: Workflow | Negative: No | Priority: Critical | Env: VietTien.API (WebApplicationFactory) + SQL Server · SQL Server 2022 (Testcontainers.MsSql) + Respawn reset · SMTP -&gt; smtp4dev</t>
  </si>
  <si>
    <t>L2-ADM-05</t>
  </si>
  <si>
    <t>Admin calling business-approval APIs -&gt; 403 with a security record</t>
  </si>
  <si>
    <t>POST quotation approval + POST stock-adjustment approval
Call the quotation-approval and adjustment-approval APIs directly with the Admin JWT</t>
  </si>
  <si>
    <t>Both return 403; no business status changes in the DB
A security/audit record of the attempt exists</t>
  </si>
  <si>
    <t>Admin JWT; a quotation awaiting approval and a stock-adjustment proposal exist</t>
  </si>
  <si>
    <t>SRS: FT-09 NAC-02; NFR-SEC03 | Technique: Error Path | Negative: Yes | Priority: Critical | Env: VietTien.API (WebApplicationFactory) + SQL Server · SQL Server 2022 (Testcontainers.MsSql) + Respawn reset</t>
  </si>
  <si>
    <t>L2-ADM-06</t>
  </si>
  <si>
    <t>Sales Staff passing another staff id to the dashboard -&gt; scope enforced</t>
  </si>
  <si>
    <t>GET sales-staff dashboard
GET the Sales Staff dashboard with S1's JWT but passing S2's id</t>
  </si>
  <si>
    <t>S2's data is not returned (403 or the scope is forced back to S1)</t>
  </si>
  <si>
    <t>S1 handles 3 customers; S2 handles 2 customers</t>
  </si>
  <si>
    <t>SRS: FT-09 NAC-01; BV-01; NFR-SEC03 | Technique: Error Path | Negative: Yes | Priority: Critical | Env: VietTien.API (WebApplicationFactory) + SQL Server · SQL Server 2022 (Testcontainers.MsSql) + Respawn reset</t>
  </si>
  <si>
    <t>L2-ADM-07</t>
  </si>
  <si>
    <t>KPI snapshot includes both period boundaries and excludes cancelled orders</t>
  </si>
  <si>
    <t>GET KPI snapshot
GET the KPI snapshot for the period</t>
  </si>
  <si>
    <t>Both boundary orders ARE counted; the two out-of-period orders are excluded
Cancelled orders do not count towards revenue</t>
  </si>
  <si>
    <t>Orders created at 00:00:00 on the first day and 23:59:59 on the last day of the period; 1 order before the period, 1 after</t>
  </si>
  <si>
    <t>SRS: FT-09 AC-01 | Technique: BVA | Negative: No | Priority: High | Env: VietTien.API (WebApplicationFactory) + SQL Server · SQL Server 2022 (Testcontainers.MsSql) + Respawn reset</t>
  </si>
  <si>
    <t>Integration test cases for module L2-ScheduledJobs — 15 test cases. SRS refs: BR-029, BR-033, BR-049, FT-02, FT-03, FT-07, FT-09, FT-10, FT-12</t>
  </si>
  <si>
    <t>L2-SJOB-01</t>
  </si>
  <si>
    <t>Reservation expiry job at the 14:59 / 15:00 boundary</t>
  </si>
  <si>
    <t>SePayReservationExpiryJob.RunAsync(ct)
Run one cycle of SePayReservationExpiryJob directly</t>
  </si>
  <si>
    <t>DB: A still Reserved=3; B is released
RawAvailable(P1) = 7 (only +2)
No order ends with negative stock</t>
  </si>
  <si>
    <t>2 SePay orders: A created 14:59 ago, B created 15:00 ago
Reserved A=3, B=2; Available P1 = 5</t>
  </si>
  <si>
    <t>SRS: FT-03 BV-01; BR-033 | Technique: BVA | Negative: No | Priority: Critical | Env: VietTien.API (WebApplicationFactory) + SQL Server · SQL Server 2022 (Testcontainers.MsSql) + Respawn reset</t>
  </si>
  <si>
    <t>L2-SJOB-02</t>
  </si>
  <si>
    <t>Reservation expiry job run twice -&gt; stock is not returned twice</t>
  </si>
  <si>
    <t>SePayReservationExpiryJob.RunAsync(ct)
Run the job for 2 consecutive cycles</t>
  </si>
  <si>
    <t>After cycle 1: RawAvailable() = 10
After cycle 2: STILL 10 (no double release)</t>
  </si>
  <si>
    <t>1 expired reservation of 3 units; Available P1 = 7</t>
  </si>
  <si>
    <t>SRS: BR-029; BR-032 | Technique: Idempotency | Negative: Yes | Priority: Critical | Env: VietTien.API (WebApplicationFactory) + SQL Server · SQL Server 2022 (Testcontainers.MsSql) + Respawn reset</t>
  </si>
  <si>
    <t>L2-SJOB-03</t>
  </si>
  <si>
    <t>Reservation expiry job never touches allocated stock</t>
  </si>
  <si>
    <t>SePayReservationExpiryJob.RunAsync(ct)
Run SePayReservationExpiryJob</t>
  </si>
  <si>
    <t>DB: A keeps Allocated=3 — the job does NOT take back allocated stock
Only B is released</t>
  </si>
  <si>
    <t>Order A already Allocated=3 (over 15 minutes); order B Reserved=2 and expired</t>
  </si>
  <si>
    <t>SRS: BR-033; FT-05 AC-02 | Technique: Transaction Boundary | Negative: No | Priority: Critical | Env: VietTien.API (WebApplicationFactory) + SQL Server · SQL Server 2022 (Testcontainers.MsSql) + Respawn reset</t>
  </si>
  <si>
    <t>L2-SJOB-04</t>
  </si>
  <si>
    <t>COD SLA job fires warning / escalation / release at 25, 30 and 35 minutes</t>
  </si>
  <si>
    <t>OrderSlaJob.RunAsync(ct)
Run one OrderSlaJob cycle for each mark</t>
  </si>
  <si>
    <t>25:00 creates exactly 1 warning for Sales
30:00 creates a Sales Manager escalation
35:00 releases the reservation
Earlier marks create no record at all</t>
  </si>
  <si>
    <t>COD order created [Theory] 24:59 / 25:00 / 29:59 / 30:00 / 34:59 / 35:00 ago</t>
  </si>
  <si>
    <t>SRS: FT-03 BV-02; BR-010 | Technique: BVA | Negative: No | Priority: Critical | Env: VietTien.API (WebApplicationFactory) + SQL Server + SignalR · SQL Server 2022 (Testcontainers.MsSql) + Respawn reset</t>
  </si>
  <si>
    <t>L2-SJOB-05</t>
  </si>
  <si>
    <t>COD SLA job re-run -&gt; no duplicate warning for the same order</t>
  </si>
  <si>
    <t>OrderSlaJob.RunAsync(ct)
Run one more OrderSlaJob cycle</t>
  </si>
  <si>
    <t>DB: still exactly 1 warning record for this case</t>
  </si>
  <si>
    <t>The COD order was already warned at the 25-minute mark in a previous cycle</t>
  </si>
  <si>
    <t>SRS: FT-09 AC-02; BR-049 | Technique: Idempotency | Negative: Yes | Priority: Critical | Env: VietTien.API (WebApplicationFactory) + SQL Server · SQL Server 2022 (Testcontainers.MsSql) + Respawn reset</t>
  </si>
  <si>
    <t>L2-SJOB-06</t>
  </si>
  <si>
    <t>Webhook retry job on an already-paid order -&gt; no second transaction</t>
  </si>
  <si>
    <t>SePayWebhookRetryJob.RunAsync(ct)
Run SePayWebhookRetryJob</t>
  </si>
  <si>
    <t>DB: still exactly 1 PaymentTransaction
The log moves to Processed; no duplicate notification to Sales</t>
  </si>
  <si>
    <t>Order already Paid via webhook with exactly 1 PaymentTransaction
The matching WebhookLog is in a failed state because of a recording error</t>
  </si>
  <si>
    <t>SRS: FT-03 NAC-02; BR-029 | Technique: Idempotency | Negative: Yes | Priority: Critical | Env: VietTien.API (WebApplicationFactory) + SQL Server · SQL Server 2022 (Testcontainers.MsSql) + Respawn reset</t>
  </si>
  <si>
    <t>L2-SJOB-07</t>
  </si>
  <si>
    <t>Webhook retry job stops at the max retry count and alerts Admin</t>
  </si>
  <si>
    <t>Up to max: still retried
Beyond max: stop, mark as finally failed, raise an alert for Admin</t>
  </si>
  <si>
    <t>WebhookLog with retryCount = [Theory] max-1 / max / max+1</t>
  </si>
  <si>
    <t>SRS: BR-049; FT-09 BV-03 | Technique: BVA | Negative: Yes | Priority: Critical | Env: VietTien.API (WebApplicationFactory) + SQL Server · SQL Server 2022 (Testcontainers.MsSql) + Respawn reset</t>
  </si>
  <si>
    <t>L2-SJOB-08</t>
  </si>
  <si>
    <t>Low-stock alert job at threshold+1 / threshold / threshold-1</t>
  </si>
  <si>
    <t>LowStockAlertJob.RunAsync(ct)
Run LowStockAlertJob</t>
  </si>
  <si>
    <t>threshold+1: no LowStockAlert
threshold and threshold-1: exactly 1 open alert carrying warehouse, quantity and next action</t>
  </si>
  <si>
    <t>Stock of P1 = [Theory] threshold+1 / threshold / threshold-1</t>
  </si>
  <si>
    <t>SRS: FT-12 AC-04; BV-03 | Technique: BVA | Negative: No | Priority: Critical | Env: VietTien.API (WebApplicationFactory) + SQL Server · SQL Server 2022 (Testcontainers.MsSql) + Respawn reset</t>
  </si>
  <si>
    <t>L2-SJOB-09</t>
  </si>
  <si>
    <t>Low-stock alert job re-run -&gt; the open alert is updated, not duplicated</t>
  </si>
  <si>
    <t>LowStockAlertJob.RunAsync(ct)
Run one more LowStockAlertJob cycle</t>
  </si>
  <si>
    <t>DB: still exactly 1 alert (updated, not duplicated)</t>
  </si>
  <si>
    <t>P1 already has an open low-stock alert</t>
  </si>
  <si>
    <t>SRS: FT-12 AC-04; FT-09 AC-02 | Technique: Idempotency | Negative: Yes | Priority: Critical | Env: VietTien.API (WebApplicationFactory) + SQL Server · SQL Server 2022 (Testcontainers.MsSql) + Respawn reset</t>
  </si>
  <si>
    <t>L2-SJOB-10</t>
  </si>
  <si>
    <t>Marketing schedule job publishes only the approved post that is due</t>
  </si>
  <si>
    <t>MarketingPostMakeScheduleJob.RunAsync(ct)
Run MarketingPostMakeScheduleJob</t>
  </si>
  <si>
    <t>Only the third post calls the webhook (WireMock verifies exactly 1 request)
The other two do not change status</t>
  </si>
  <si>
    <t>3 marketing posts: a draft that is due, an approved one not yet due, an approved one that is due</t>
  </si>
  <si>
    <t>SRS: FT-10; BR-046; BR-049 | Technique: Workflow | Negative: No | Priority: Critical | Defect: GH-03b | Env: VietTien.API (WebApplicationFactory) + SQL Server · SQL Server 2022 (Testcontainers.MsSql) + Respawn reset · WireMock.Net: Make.com webhook -&gt; 200
⚠ v2.5 DEFECT ID REQUIRED: after the migration patch this case moved from Blocked to FAIL — the cause is no longer the schema but a real business defect, yet the manifest has no defect code assigned. Re-run it, read the red assertion and assign GH-xx (or open a new defect). | ⛔ GH-03b — the MarketingPosts table DOES NOT EXIST on a database built from migrations (no migration creates the table at all, not merely missing columns). | ✓ v2.2 WireMock.Net IS USABLE: MakeWebhookService.cs:28 reads MakeCom:WebhookUrl from config | ✔ v2.1: MarketingPostService + MakeWebhookService + the job already exist</t>
  </si>
  <si>
    <t>L2-SJOB-11</t>
  </si>
  <si>
    <t>Marketing schedule job with a failing webhook -&gt; post marked failed and alerted</t>
  </si>
  <si>
    <t>DB: the post is marked failed and kept in history
JobRun = Failed + retryCount
An alert is raised for the owner</t>
  </si>
  <si>
    <t>An approved marketing post whose publish time has arrived</t>
  </si>
  <si>
    <t>SRS: BR-049; FT-09 AC-05 | Technique: Error Path | Negative: Yes | Priority: Critical | Defect: GH-03b | Env: VietTien.API (WebApplicationFactory) + SQL Server · SQL Server 2022 (Testcontainers.MsSql) + Respawn reset · WireMock.Net: Make.com -&gt; 500
⚠ v2.5 DEFECT ID REQUIRED: after the migration patch this case moved from Blocked to FAIL — the cause is no longer the schema but a real business defect, yet the manifest has no defect code assigned. Re-run it, read the red assertion and assign GH-xx (or open a new defect). | ⛔ GH-03b — the MarketingPosts table DOES NOT EXIST on a database built from migrations (no migration creates the table at all, not merely missing columns). | ✓ v2.2 WireMock.Net IS USABLE: MakeWebhookService reads the URL from config | ✓ v2.2 ENDPOINTS CORRECTED against the 209 real routes (31 controllers): see suaIntegration sections A/C</t>
  </si>
  <si>
    <t>L2-SJOB-12</t>
  </si>
  <si>
    <t>Quotation expiry job at NOW-1s / NOW / NOW+1s</t>
  </si>
  <si>
    <t>QuotationExpiryJob.RunAsync(ct)
Call QuotationExpiryJob.RunAsync(ct) directly</t>
  </si>
  <si>
    <t>Before expiry: status unchanged
At/after expiry: the quotation becomes invalid and the customer can no longer accept it
The assigned Sales staff is notified</t>
  </si>
  <si>
    <t>Quotation Q1 has been sent to the customer, with its validity set at [Theory] NOW-1s / NOW / NOW+1s (mock clock)</t>
  </si>
  <si>
    <t>SRS: FT-02 AC-04; BR-007 | Technique: BVA | Negative: No | Priority: Critical | Env: VietTien.API (WebApplicationFactory) + SQL Server · SQL Server 2022 (Testcontainers.MsSql) + Respawn reset</t>
  </si>
  <si>
    <t>L2-SJOB-13</t>
  </si>
  <si>
    <t>Quotation expiry job re-run -&gt; no second expiry or duplicate notification</t>
  </si>
  <si>
    <t>QuotationExpiryJob.RunAsync(ct)
Run one more QuotationExpiryJob cycle</t>
  </si>
  <si>
    <t>No second status change; no duplicate notification</t>
  </si>
  <si>
    <t>Quotation Q1 was already marked expired in a previous cycle</t>
  </si>
  <si>
    <t>SRS: FT-02 AC-04; BR-029 | Technique: Idempotency | Negative: Yes | Priority: Critical | Env: VietTien.API (WebApplicationFactory) + SQL Server · SQL Server 2022 (Testcontainers.MsSql) + Respawn reset</t>
  </si>
  <si>
    <t>L2-SJOB-14</t>
  </si>
  <si>
    <t>Delivery reminder job reminds only upcoming trips</t>
  </si>
  <si>
    <t>UpcomingDeliveryReminderJob.RunAsync(ct)
Call UpcomingDeliveryReminderJob.RunAsync(ct) directly</t>
  </si>
  <si>
    <t>Only the upcoming trip is reminded; the completed one is skipped
The reminder is recorded so it is not sent again</t>
  </si>
  <si>
    <t>3 delivery trips: one tomorrow, one today, one already Delivered</t>
  </si>
  <si>
    <t>SRS: FT-07 AC-01; BR-037 | Technique: EP-Valid | Negative: No | Priority: Critical | Env: VietTien.API (WebApplicationFactory) + SQL Server · SQL Server 2022 (Testcontainers.MsSql) + Respawn reset · WireMock.Net: eSMS (see the hard-coded URL warning in L2-AUTH-01) mail-sink container</t>
  </si>
  <si>
    <t>L2-SJOB-15</t>
  </si>
  <si>
    <t>Delivery reminder job re-run -&gt; no second reminder for the same trip</t>
  </si>
  <si>
    <t>UpcomingDeliveryReminderJob.RunAsync(ct)
Run one more UpcomingDeliveryReminderJob cycle</t>
  </si>
  <si>
    <t>No second reminder for the same trip</t>
  </si>
  <si>
    <t>Tomorrow's trip was already reminded in a previous cycle</t>
  </si>
  <si>
    <t>SRS: FT-07 AC-01; FT-09 AC-02 | Technique: Idempotency | Negative: Yes | Priority: Critical | Env: VietTien.API (WebApplicationFactory) + SQL Server · SQL Server 2022 (Testcontainers.MsSql) + Respawn 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</si>
</sst>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-mmm\-yy"/>
    <numFmt numFmtId="165" formatCode="dd/mm/yyyy"/>
    <numFmt numFmtId="166" formatCode="D/M/YYYY"/>
    <numFmt numFmtId="167" formatCode="d/m/yyyy"/>
  </numFmts>
  <fonts count="14">
    <font>
      <sz val="11.0"/>
      <color rgb="FF000000"/>
      <name val="MS PGothic"/>
      <scheme val="minor"/>
    </font>
    <font>
      <sz val="11.0"/>
      <color rgb="FF000000"/>
      <name val="MS PGothic"/>
    </font>
    <font>
      <sz val="10.0"/>
      <color theme="1"/>
      <name val="Tahoma"/>
    </font>
    <font>
      <sz val="10.0"/>
      <color rgb="FF000000"/>
      <name val="Tahoma"/>
    </font>
    <font>
      <b/>
      <sz val="20.0"/>
      <color rgb="FF000000"/>
      <name val="Tahoma"/>
    </font>
    <font>
      <b/>
      <sz val="26.0"/>
      <color rgb="FF000000"/>
      <name val="Tahoma"/>
    </font>
    <font/>
    <font>
      <b/>
      <sz val="10.0"/>
      <color rgb="FF000000"/>
      <name val="Tahoma"/>
    </font>
    <font>
      <b/>
      <sz val="10.0"/>
      <color rgb="FFFFFFFF"/>
      <name val="Tahoma"/>
    </font>
    <font>
      <b/>
      <sz val="10.0"/>
      <color theme="1"/>
      <name val="Tahoma"/>
    </font>
    <font>
      <u/>
      <sz val="11.0"/>
      <color rgb="FF0070C0"/>
      <name val="MS PGothic"/>
    </font>
    <font>
      <u/>
      <sz val="11.0"/>
      <color rgb="FF0070C0"/>
      <name val="MS PGothic"/>
    </font>
    <font>
      <sz val="10.0"/>
      <color rgb="FFFF0000"/>
      <name val="Tahoma"/>
    </font>
    <font>
      <sz val="10.0"/>
      <color rgb="FFFFFF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3">
    <border/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1" xfId="0" applyBorder="1" applyFill="1" applyFont="1" applyNumberFormat="1"/>
    <xf borderId="2" fillId="2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1" fillId="2" fontId="4" numFmtId="0" xfId="0" applyAlignment="1" applyBorder="1" applyFont="1">
      <alignment horizontal="left"/>
    </xf>
    <xf borderId="5" fillId="0" fontId="6" numFmtId="0" xfId="0" applyBorder="1" applyFont="1"/>
    <xf borderId="1" fillId="2" fontId="7" numFmtId="0" xfId="0" applyAlignment="1" applyBorder="1" applyFont="1">
      <alignment horizontal="left"/>
    </xf>
    <xf borderId="1" fillId="2" fontId="2" numFmtId="0" xfId="0" applyBorder="1" applyFont="1"/>
    <xf borderId="3" fillId="0" fontId="4" numFmtId="0" xfId="0" applyAlignment="1" applyBorder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0" fillId="0" fontId="2" numFmtId="0" xfId="0" applyAlignment="1" applyFont="1">
      <alignment horizontal="center" vertical="center"/>
    </xf>
    <xf borderId="1" fillId="2" fontId="7" numFmtId="0" xfId="0" applyBorder="1" applyFont="1"/>
    <xf borderId="1" fillId="2" fontId="3" numFmtId="0" xfId="0" applyBorder="1" applyFont="1"/>
    <xf borderId="0" fillId="0" fontId="3" numFmtId="0" xfId="0" applyAlignment="1" applyFont="1">
      <alignment horizontal="left"/>
    </xf>
    <xf borderId="1" fillId="2" fontId="3" numFmtId="164" xfId="0" applyBorder="1" applyFont="1" applyNumberFormat="1"/>
    <xf borderId="3" fillId="2" fontId="7" numFmtId="1" xfId="0" applyBorder="1" applyFont="1" applyNumberFormat="1"/>
    <xf borderId="8" fillId="0" fontId="6" numFmtId="0" xfId="0" applyBorder="1" applyFont="1"/>
    <xf borderId="9" fillId="2" fontId="7" numFmtId="0" xfId="0" applyAlignment="1" applyBorder="1" applyFont="1">
      <alignment horizontal="left"/>
    </xf>
    <xf borderId="9" fillId="2" fontId="7" numFmtId="0" xfId="0" applyAlignment="1" applyBorder="1" applyFont="1">
      <alignment horizontal="left" vertical="center"/>
    </xf>
    <xf borderId="3" fillId="2" fontId="3" numFmtId="0" xfId="0" applyAlignment="1" applyBorder="1" applyFont="1">
      <alignment horizontal="left"/>
    </xf>
    <xf borderId="3" fillId="0" fontId="3" numFmtId="0" xfId="0" applyAlignment="1" applyBorder="1" applyFont="1">
      <alignment horizontal="left"/>
    </xf>
    <xf borderId="3" fillId="2" fontId="7" numFmtId="0" xfId="0" applyAlignment="1" applyBorder="1" applyFont="1">
      <alignment horizontal="left"/>
    </xf>
    <xf borderId="7" fillId="0" fontId="3" numFmtId="0" xfId="0" applyBorder="1" applyFont="1"/>
    <xf borderId="10" fillId="2" fontId="7" numFmtId="0" xfId="0" applyAlignment="1" applyBorder="1" applyFont="1">
      <alignment horizontal="center" shrinkToFit="0" vertical="top" wrapText="1"/>
    </xf>
    <xf borderId="11" fillId="2" fontId="7" numFmtId="0" xfId="0" applyAlignment="1" applyBorder="1" applyFont="1">
      <alignment horizontal="left"/>
    </xf>
    <xf borderId="7" fillId="0" fontId="3" numFmtId="165" xfId="0" applyAlignment="1" applyBorder="1" applyFont="1" applyNumberFormat="1">
      <alignment readingOrder="0"/>
    </xf>
    <xf borderId="12" fillId="2" fontId="3" numFmtId="0" xfId="0" applyAlignment="1" applyBorder="1" applyFont="1">
      <alignment horizontal="left" shrinkToFit="0" vertical="top" wrapText="1"/>
    </xf>
    <xf borderId="11" fillId="2" fontId="3" numFmtId="0" xfId="0" applyAlignment="1" applyBorder="1" applyFont="1">
      <alignment vertical="top"/>
    </xf>
    <xf borderId="3" fillId="2" fontId="7" numFmtId="1" xfId="0" applyAlignment="1" applyBorder="1" applyFont="1" applyNumberFormat="1">
      <alignment shrinkToFit="0" vertical="center" wrapText="1"/>
    </xf>
    <xf borderId="13" fillId="0" fontId="6" numFmtId="0" xfId="0" applyBorder="1" applyFont="1"/>
    <xf borderId="14" fillId="0" fontId="6" numFmtId="0" xfId="0" applyBorder="1" applyFont="1"/>
    <xf borderId="9" fillId="2" fontId="7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3" fillId="2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shrinkToFit="0" wrapText="1"/>
    </xf>
    <xf borderId="1" fillId="2" fontId="7" numFmtId="1" xfId="0" applyBorder="1" applyFont="1" applyNumberFormat="1"/>
    <xf borderId="15" fillId="2" fontId="7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left" vertical="center"/>
    </xf>
    <xf borderId="1" fillId="2" fontId="3" numFmtId="1" xfId="0" applyAlignment="1" applyBorder="1" applyFont="1" applyNumberFormat="1">
      <alignment vertical="center"/>
    </xf>
    <xf borderId="3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/>
    </xf>
    <xf borderId="1" fillId="2" fontId="2" numFmtId="0" xfId="0" applyAlignment="1" applyBorder="1" applyFont="1">
      <alignment vertical="center"/>
    </xf>
    <xf borderId="0" fillId="0" fontId="7" numFmtId="0" xfId="0" applyFont="1"/>
    <xf borderId="11" fillId="2" fontId="3" numFmtId="166" xfId="0" applyAlignment="1" applyBorder="1" applyFont="1" applyNumberFormat="1">
      <alignment readingOrder="0" vertical="top"/>
    </xf>
    <xf borderId="16" fillId="3" fontId="8" numFmtId="1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left"/>
    </xf>
    <xf borderId="17" fillId="3" fontId="8" numFmtId="0" xfId="0" applyAlignment="1" applyBorder="1" applyFont="1">
      <alignment horizontal="center" vertical="center"/>
    </xf>
    <xf borderId="0" fillId="0" fontId="3" numFmtId="0" xfId="0" applyFont="1"/>
    <xf borderId="3" fillId="2" fontId="3" numFmtId="0" xfId="0" applyAlignment="1" applyBorder="1" applyFont="1">
      <alignment vertical="top"/>
    </xf>
    <xf borderId="18" fillId="3" fontId="7" numFmtId="0" xfId="0" applyAlignment="1" applyBorder="1" applyFont="1">
      <alignment horizontal="center" vertical="center"/>
    </xf>
    <xf borderId="19" fillId="3" fontId="8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/>
    </xf>
    <xf borderId="16" fillId="4" fontId="8" numFmtId="164" xfId="0" applyAlignment="1" applyBorder="1" applyFill="1" applyFont="1" applyNumberFormat="1">
      <alignment horizontal="center" vertical="center"/>
    </xf>
    <xf borderId="17" fillId="4" fontId="8" numFmtId="0" xfId="0" applyAlignment="1" applyBorder="1" applyFont="1">
      <alignment horizontal="center" vertical="center"/>
    </xf>
    <xf borderId="20" fillId="2" fontId="3" numFmtId="1" xfId="0" applyAlignment="1" applyBorder="1" applyFont="1" applyNumberFormat="1">
      <alignment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21" fillId="2" fontId="3" numFmtId="49" xfId="0" applyAlignment="1" applyBorder="1" applyFont="1" applyNumberFormat="1">
      <alignment shrinkToFit="0" vertical="top" wrapText="1"/>
    </xf>
    <xf borderId="19" fillId="4" fontId="8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2" fillId="2" fontId="7" numFmtId="0" xfId="0" applyAlignment="1" applyBorder="1" applyFont="1">
      <alignment horizontal="center" shrinkToFit="0" vertical="top" wrapText="1"/>
    </xf>
    <xf borderId="23" fillId="4" fontId="8" numFmtId="0" xfId="0" applyAlignment="1" applyBorder="1" applyFont="1">
      <alignment horizontal="center"/>
    </xf>
    <xf borderId="1" fillId="2" fontId="7" numFmtId="0" xfId="0" applyAlignment="1" applyBorder="1" applyFont="1">
      <alignment horizontal="center" shrinkToFit="0" vertical="center" wrapText="1"/>
    </xf>
    <xf borderId="20" fillId="0" fontId="3" numFmtId="165" xfId="0" applyAlignment="1" applyBorder="1" applyFont="1" applyNumberFormat="1">
      <alignment readingOrder="0" shrinkToFit="0" vertical="top" wrapText="1"/>
    </xf>
    <xf borderId="24" fillId="4" fontId="8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21" fillId="2" fontId="10" numFmtId="0" xfId="0" applyAlignment="1" applyBorder="1" applyFont="1">
      <alignment shrinkToFit="0" vertical="top" wrapText="1"/>
    </xf>
    <xf borderId="24" fillId="4" fontId="8" numFmtId="0" xfId="0" applyAlignment="1" applyBorder="1" applyFont="1">
      <alignment horizontal="center" shrinkToFit="0" wrapText="1"/>
    </xf>
    <xf borderId="21" fillId="0" fontId="3" numFmtId="49" xfId="0" applyAlignment="1" applyBorder="1" applyFont="1" applyNumberFormat="1">
      <alignment shrinkToFit="0" vertical="top" wrapText="1"/>
    </xf>
    <xf borderId="21" fillId="2" fontId="3" numFmtId="0" xfId="0" applyAlignment="1" applyBorder="1" applyFont="1">
      <alignment shrinkToFit="0" vertical="top" wrapText="1"/>
    </xf>
    <xf borderId="21" fillId="0" fontId="3" numFmtId="0" xfId="0" applyAlignment="1" applyBorder="1" applyFont="1">
      <alignment shrinkToFit="0" vertical="top" wrapText="1"/>
    </xf>
    <xf borderId="25" fillId="4" fontId="8" numFmtId="0" xfId="0" applyAlignment="1" applyBorder="1" applyFont="1">
      <alignment horizontal="center"/>
    </xf>
    <xf borderId="26" fillId="2" fontId="3" numFmtId="0" xfId="0" applyAlignment="1" applyBorder="1" applyFont="1">
      <alignment shrinkToFit="0" vertical="top" wrapText="1"/>
    </xf>
    <xf borderId="21" fillId="0" fontId="3" numFmtId="15" xfId="0" applyAlignment="1" applyBorder="1" applyFont="1" applyNumberFormat="1">
      <alignment shrinkToFit="0" vertical="top" wrapText="1"/>
    </xf>
    <xf borderId="27" fillId="4" fontId="8" numFmtId="0" xfId="0" applyAlignment="1" applyBorder="1" applyFont="1">
      <alignment horizontal="center" shrinkToFit="0" wrapText="1"/>
    </xf>
    <xf borderId="26" fillId="0" fontId="3" numFmtId="0" xfId="0" applyAlignment="1" applyBorder="1" applyFont="1">
      <alignment shrinkToFit="0" vertical="top" wrapText="1"/>
    </xf>
    <xf borderId="9" fillId="2" fontId="3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vertical="top"/>
    </xf>
    <xf borderId="28" fillId="2" fontId="3" numFmtId="0" xfId="0" applyAlignment="1" applyBorder="1" applyFont="1">
      <alignment horizontal="center"/>
    </xf>
    <xf borderId="22" fillId="2" fontId="3" numFmtId="0" xfId="0" applyAlignment="1" applyBorder="1" applyFont="1">
      <alignment horizontal="center" shrinkToFit="0" vertical="top" wrapText="1"/>
    </xf>
    <xf borderId="20" fillId="0" fontId="3" numFmtId="164" xfId="0" applyAlignment="1" applyBorder="1" applyFont="1" applyNumberFormat="1">
      <alignment vertical="top"/>
    </xf>
    <xf borderId="1" fillId="2" fontId="3" numFmtId="0" xfId="0" applyAlignment="1" applyBorder="1" applyFont="1">
      <alignment horizontal="center" shrinkToFit="0" vertical="center" wrapText="1"/>
    </xf>
    <xf borderId="21" fillId="0" fontId="3" numFmtId="49" xfId="0" applyAlignment="1" applyBorder="1" applyFont="1" applyNumberFormat="1">
      <alignment vertical="top"/>
    </xf>
    <xf borderId="21" fillId="2" fontId="3" numFmtId="0" xfId="0" applyBorder="1" applyFont="1"/>
    <xf borderId="21" fillId="0" fontId="3" numFmtId="0" xfId="0" applyAlignment="1" applyBorder="1" applyFont="1">
      <alignment vertical="top"/>
    </xf>
    <xf borderId="26" fillId="0" fontId="3" numFmtId="0" xfId="0" applyAlignment="1" applyBorder="1" applyFont="1">
      <alignment vertical="top"/>
    </xf>
    <xf borderId="21" fillId="2" fontId="3" numFmtId="0" xfId="0" applyAlignment="1" applyBorder="1" applyFont="1">
      <alignment horizontal="center"/>
    </xf>
    <xf borderId="29" fillId="2" fontId="7" numFmtId="0" xfId="0" applyAlignment="1" applyBorder="1" applyFont="1">
      <alignment horizontal="center" shrinkToFit="0" vertical="top" wrapText="1"/>
    </xf>
    <xf borderId="30" fillId="2" fontId="3" numFmtId="0" xfId="0" applyAlignment="1" applyBorder="1" applyFont="1">
      <alignment horizontal="center"/>
    </xf>
    <xf borderId="31" fillId="2" fontId="3" numFmtId="0" xfId="0" applyAlignment="1" applyBorder="1" applyFont="1">
      <alignment horizontal="center" shrinkToFit="0" vertical="top" wrapText="1"/>
    </xf>
    <xf borderId="32" fillId="2" fontId="3" numFmtId="0" xfId="0" applyAlignment="1" applyBorder="1" applyFont="1">
      <alignment horizontal="center" shrinkToFit="0" vertical="top" wrapText="1"/>
    </xf>
    <xf borderId="33" fillId="0" fontId="3" numFmtId="164" xfId="0" applyAlignment="1" applyBorder="1" applyFont="1" applyNumberFormat="1">
      <alignment vertical="top"/>
    </xf>
    <xf borderId="34" fillId="0" fontId="3" numFmtId="49" xfId="0" applyAlignment="1" applyBorder="1" applyFont="1" applyNumberFormat="1">
      <alignment vertical="top"/>
    </xf>
    <xf borderId="34" fillId="0" fontId="3" numFmtId="0" xfId="0" applyAlignment="1" applyBorder="1" applyFont="1">
      <alignment vertical="top"/>
    </xf>
    <xf borderId="35" fillId="0" fontId="3" numFmtId="0" xfId="0" applyAlignment="1" applyBorder="1" applyFont="1">
      <alignment vertical="top"/>
    </xf>
    <xf borderId="9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36" fillId="6" fontId="7" numFmtId="0" xfId="0" applyAlignment="1" applyBorder="1" applyFill="1" applyFont="1">
      <alignment horizontal="left" vertical="center"/>
    </xf>
    <xf borderId="20" fillId="0" fontId="3" numFmtId="0" xfId="0" applyAlignment="1" applyBorder="1" applyFont="1">
      <alignment shrinkToFit="0" vertical="top" wrapText="1"/>
    </xf>
    <xf borderId="37" fillId="6" fontId="7" numFmtId="0" xfId="0" applyAlignment="1" applyBorder="1" applyFont="1">
      <alignment horizontal="left" vertical="center"/>
    </xf>
    <xf borderId="21" fillId="0" fontId="11" numFmtId="0" xfId="0" applyAlignment="1" applyBorder="1" applyFont="1">
      <alignment shrinkToFit="0" vertical="top" wrapText="1"/>
    </xf>
    <xf borderId="38" fillId="6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9" fillId="2" fontId="3" numFmtId="0" xfId="0" applyAlignment="1" applyBorder="1" applyFont="1">
      <alignment shrinkToFit="0" vertical="top" wrapText="1"/>
    </xf>
    <xf borderId="9" fillId="2" fontId="3" numFmtId="0" xfId="0" applyAlignment="1" applyBorder="1" applyFont="1">
      <alignment horizontal="left" shrinkToFit="0" vertical="top" wrapText="1"/>
    </xf>
    <xf borderId="9" fillId="2" fontId="3" numFmtId="167" xfId="0" applyAlignment="1" applyBorder="1" applyFont="1" applyNumberFormat="1">
      <alignment readingOrder="0" shrinkToFit="0" vertical="top" wrapText="1"/>
    </xf>
    <xf borderId="9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vertical="top"/>
    </xf>
    <xf borderId="39" fillId="6" fontId="7" numFmtId="0" xfId="0" applyAlignment="1" applyBorder="1" applyFont="1">
      <alignment horizontal="left" vertical="center"/>
    </xf>
    <xf borderId="40" fillId="6" fontId="7" numFmtId="0" xfId="0" applyAlignment="1" applyBorder="1" applyFont="1">
      <alignment horizontal="left" vertical="center"/>
    </xf>
    <xf borderId="11" fillId="6" fontId="7" numFmtId="0" xfId="0" applyAlignment="1" applyBorder="1" applyFont="1">
      <alignment horizontal="left" vertical="center"/>
    </xf>
    <xf borderId="9" fillId="2" fontId="3" numFmtId="0" xfId="0" applyBorder="1" applyFont="1"/>
    <xf borderId="1" fillId="2" fontId="2" numFmtId="1" xfId="0" applyBorder="1" applyFont="1" applyNumberFormat="1"/>
    <xf borderId="1" fillId="2" fontId="2" numFmtId="0" xfId="0" applyAlignment="1" applyBorder="1" applyFont="1">
      <alignment horizontal="left"/>
    </xf>
    <xf borderId="1" fillId="2" fontId="12" numFmtId="0" xfId="0" applyBorder="1" applyFont="1"/>
    <xf borderId="41" fillId="4" fontId="8" numFmtId="0" xfId="0" applyBorder="1" applyFont="1"/>
    <xf borderId="41" fillId="4" fontId="13" numFmtId="0" xfId="0" applyAlignment="1" applyBorder="1" applyFont="1">
      <alignment horizontal="center"/>
    </xf>
    <xf borderId="42" fillId="4" fontId="13" numFmtId="0" xfId="0" applyAlignment="1" applyBorder="1" applyFont="1">
      <alignment horizontal="center"/>
    </xf>
    <xf borderId="0" fillId="0" fontId="7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2495550" cy="695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27</xdr:row>
      <xdr:rowOff>57150</xdr:rowOff>
    </xdr:from>
    <xdr:ext cx="3324225" cy="26098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5"/>
      <c r="B2" s="11" t="s">
        <v>2</v>
      </c>
      <c r="C2" s="12"/>
      <c r="D2" s="12"/>
      <c r="E2" s="12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2.75" customHeight="1">
      <c r="A3" s="9"/>
      <c r="B3" s="17"/>
      <c r="C3" s="1"/>
      <c r="D3" s="1"/>
      <c r="E3" s="16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1" t="s">
        <v>3</v>
      </c>
      <c r="B4" s="24" t="s">
        <v>4</v>
      </c>
      <c r="C4" s="12"/>
      <c r="D4" s="13"/>
      <c r="E4" s="21" t="s">
        <v>5</v>
      </c>
      <c r="F4" s="26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1" t="s">
        <v>8</v>
      </c>
      <c r="B5" s="24" t="s">
        <v>9</v>
      </c>
      <c r="C5" s="12"/>
      <c r="D5" s="13"/>
      <c r="E5" s="21" t="s">
        <v>10</v>
      </c>
      <c r="F5" s="29">
        <v>46228.0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5" t="s">
        <v>13</v>
      </c>
      <c r="B6" s="42" t="str">
        <f>B5&amp;"_"&amp;"Integration Test Report"&amp;"_"&amp;"v"&amp;F6</f>
        <v>SEP490_Integration Test Report_v1.0</v>
      </c>
      <c r="C6" s="12"/>
      <c r="D6" s="13"/>
      <c r="E6" s="21" t="s">
        <v>19</v>
      </c>
      <c r="F6" s="46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8"/>
      <c r="B7" s="17"/>
      <c r="C7" s="1"/>
      <c r="D7" s="1"/>
      <c r="E7" s="51"/>
      <c r="F7" s="1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53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51" t="s">
        <v>30</v>
      </c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58" t="s">
        <v>31</v>
      </c>
      <c r="B10" s="59" t="s">
        <v>19</v>
      </c>
      <c r="C10" s="59" t="s">
        <v>34</v>
      </c>
      <c r="D10" s="59" t="s">
        <v>35</v>
      </c>
      <c r="E10" s="59" t="s">
        <v>36</v>
      </c>
      <c r="F10" s="63" t="s">
        <v>38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75.75" customHeight="1">
      <c r="A11" s="68">
        <v>46228.0</v>
      </c>
      <c r="B11" s="73" t="s">
        <v>20</v>
      </c>
      <c r="C11" s="75" t="s">
        <v>42</v>
      </c>
      <c r="D11" s="75" t="s">
        <v>43</v>
      </c>
      <c r="E11" s="78" t="s">
        <v>44</v>
      </c>
      <c r="F11" s="80" t="s">
        <v>46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21.75" customHeight="1">
      <c r="A12" s="85"/>
      <c r="B12" s="87"/>
      <c r="C12" s="89"/>
      <c r="D12" s="89"/>
      <c r="E12" s="89"/>
      <c r="F12" s="90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9.5" customHeight="1">
      <c r="A13" s="85"/>
      <c r="B13" s="87"/>
      <c r="C13" s="89"/>
      <c r="D13" s="89"/>
      <c r="E13" s="89"/>
      <c r="F13" s="90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21.75" customHeight="1">
      <c r="A14" s="85"/>
      <c r="B14" s="87"/>
      <c r="C14" s="89"/>
      <c r="D14" s="89"/>
      <c r="E14" s="89"/>
      <c r="F14" s="90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ht="19.5" customHeight="1">
      <c r="A15" s="85"/>
      <c r="B15" s="87"/>
      <c r="C15" s="89"/>
      <c r="D15" s="89"/>
      <c r="E15" s="89"/>
      <c r="F15" s="90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ht="21.75" customHeight="1">
      <c r="A16" s="85"/>
      <c r="B16" s="87"/>
      <c r="C16" s="89"/>
      <c r="D16" s="89"/>
      <c r="E16" s="89"/>
      <c r="F16" s="90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ht="19.5" customHeight="1">
      <c r="A17" s="96"/>
      <c r="B17" s="97"/>
      <c r="C17" s="98"/>
      <c r="D17" s="98"/>
      <c r="E17" s="98"/>
      <c r="F17" s="99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ht="12.75" customHeight="1">
      <c r="A18" s="10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0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0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0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0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0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0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0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0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0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0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0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0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0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0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0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0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0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0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0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0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0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0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0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0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0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0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0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0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0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0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0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0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0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0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0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0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0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0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0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0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0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0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0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0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0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0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0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0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0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0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0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0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0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0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0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0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0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0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0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0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0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0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0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0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0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0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0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0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0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0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0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0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0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0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0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0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0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0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0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0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0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0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0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0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0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0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0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0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0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0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0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0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0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0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0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0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0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0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0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0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0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0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0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0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0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0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0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0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0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0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0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0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0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0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0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0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0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0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0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0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0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0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0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0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0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0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0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0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0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0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0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0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0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0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0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0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0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0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0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0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0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0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0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0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0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0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0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0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0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0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0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0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0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0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0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0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0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0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0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0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0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0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0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0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0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0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0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0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0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0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0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0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0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0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0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0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0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0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0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0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0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0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0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0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0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0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0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0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0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0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0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0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0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0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0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0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0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0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0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0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0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0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0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0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0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0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0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0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0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0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0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0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0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0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0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0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0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0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0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0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0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0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0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0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0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0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0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0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0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0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0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0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0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0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0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0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0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0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0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0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0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0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0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0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0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0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0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0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0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0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0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0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0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0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0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0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0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0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0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0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0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0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0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0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0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0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0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0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0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0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0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0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0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0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0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0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0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0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0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0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0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0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0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0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0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0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0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0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0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0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0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0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0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0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0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0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0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0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0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0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0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0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0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0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0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0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0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0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0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0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0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0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0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0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0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0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0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0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0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0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0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0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0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0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0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0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0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0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0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0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0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0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0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0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0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0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0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0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0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0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0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0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0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0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0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0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0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0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0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0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0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0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0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0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0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0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0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0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0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0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0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0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0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0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0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0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0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0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0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0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0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0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0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0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0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0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0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0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0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0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0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0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0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0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0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0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0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0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0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0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0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0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0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0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0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0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0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0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0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0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0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0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0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0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0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0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0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0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0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0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0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0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0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0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0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0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0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0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0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0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0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0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0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0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0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0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0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0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0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0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0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0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0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0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0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0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0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0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0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0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0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0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0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0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0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0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0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0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0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0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0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0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0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0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0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0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0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0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0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0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0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0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0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0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0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0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0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0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0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0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0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0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0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0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0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0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0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0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0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0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0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0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0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0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0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0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0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0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0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0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0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0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0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0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0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0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0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0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0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0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0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0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0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0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0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0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0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0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0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0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0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0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0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0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0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0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0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0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0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0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0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0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0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0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0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0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0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0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0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0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0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0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0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0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0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0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0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0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0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0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0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0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0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0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0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0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0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0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0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0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0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0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0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0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0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0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0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0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0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0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0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0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0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0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0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0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0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0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0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0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0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0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0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0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0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0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0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0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0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0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0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0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0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0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0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0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0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0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0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0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0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0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0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0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0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0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0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0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0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0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0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0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0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0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0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0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0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0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0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0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0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0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0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0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0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0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0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0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0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0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0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0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0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0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0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0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0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0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0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0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0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0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0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0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0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0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0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0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0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0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0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0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0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0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0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0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0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0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0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0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0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0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0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0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0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0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0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0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0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0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0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0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0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0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0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0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0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0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0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0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0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0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0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0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0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0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0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0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0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0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0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0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0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0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0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0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0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0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0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0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0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0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0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0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0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0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0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0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0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0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0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0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0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0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0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0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0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0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0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0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0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0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0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0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0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0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0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0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0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0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0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0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0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0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0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0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0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0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0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0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0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0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0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0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0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0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0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0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0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0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0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0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0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0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0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0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0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0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0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0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0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0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0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0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0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0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0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0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0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0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0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0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0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0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0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0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0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0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0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0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0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0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0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0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0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0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0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0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0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0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0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0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0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0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0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0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0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0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0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0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0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0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0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0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0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0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0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0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0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0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0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0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0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0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0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0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0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0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0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0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0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0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0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0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0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0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0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0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0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0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0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0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0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0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0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0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0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0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0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0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0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0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0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0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0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0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0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0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0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0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0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0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0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0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0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0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0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0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0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0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0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0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0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0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0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0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0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0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0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0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0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0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0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0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0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0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0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0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0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0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0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0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0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0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0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0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0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0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0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0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0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0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0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0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0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0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0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0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0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0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0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0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0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0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0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0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0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0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0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0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0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0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0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0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0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0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0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0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0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0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0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0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0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0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0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0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0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0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0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0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0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0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0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0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0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0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0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0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0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0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0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0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0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0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0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0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0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0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0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0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0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0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0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0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0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0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0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0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0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0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0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0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0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0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0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0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0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0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0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0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0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0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0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0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0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0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0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0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0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0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0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0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0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0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0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0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0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0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0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0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0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0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9" footer="0.0" header="0.0" left="0.470138888888889" right="0.470138888888889" top="0.5"/>
  <pageSetup paperSize="9" orientation="landscape"/>
  <headerFooter>
    <oddFooter>&amp;L 02ae-BM/PM/HDCV/FSOFT v2/1&amp;C Internal use&amp;R 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24.0" customHeight="1">
      <c r="A1" s="1"/>
      <c r="B1" s="3"/>
      <c r="C1" s="1"/>
      <c r="D1" s="7" t="s">
        <v>1</v>
      </c>
      <c r="E1" s="9"/>
      <c r="F1" s="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"/>
      <c r="B2" s="3"/>
      <c r="C2" s="1"/>
      <c r="D2" s="9"/>
      <c r="E2" s="9"/>
      <c r="F2" s="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"/>
      <c r="B3" s="19" t="s">
        <v>3</v>
      </c>
      <c r="C3" s="20"/>
      <c r="D3" s="23" t="s">
        <v>4</v>
      </c>
      <c r="E3" s="12"/>
      <c r="F3" s="13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"/>
      <c r="B4" s="19" t="s">
        <v>8</v>
      </c>
      <c r="C4" s="20"/>
      <c r="D4" s="23" t="s">
        <v>9</v>
      </c>
      <c r="E4" s="12"/>
      <c r="F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18.5" customHeight="1">
      <c r="A5" s="1"/>
      <c r="B5" s="32" t="s">
        <v>12</v>
      </c>
      <c r="C5" s="13"/>
      <c r="D5" s="37" t="s">
        <v>14</v>
      </c>
      <c r="E5" s="12"/>
      <c r="F5" s="13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2.75" customHeight="1">
      <c r="A6" s="1"/>
      <c r="B6" s="40"/>
      <c r="C6" s="16"/>
      <c r="D6" s="16"/>
      <c r="E6" s="16"/>
      <c r="F6" s="16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"/>
      <c r="B7" s="43"/>
      <c r="C7" s="45"/>
      <c r="D7" s="45"/>
      <c r="E7" s="45"/>
      <c r="F7" s="45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21.0" customHeight="1">
      <c r="A8" s="1"/>
      <c r="B8" s="50" t="s">
        <v>23</v>
      </c>
      <c r="C8" s="52" t="s">
        <v>24</v>
      </c>
      <c r="D8" s="52" t="s">
        <v>27</v>
      </c>
      <c r="E8" s="55" t="s">
        <v>28</v>
      </c>
      <c r="F8" s="56" t="s">
        <v>29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38.25" customHeight="1">
      <c r="A9" s="1"/>
      <c r="B9" s="60">
        <v>1.0</v>
      </c>
      <c r="C9" s="62" t="s">
        <v>37</v>
      </c>
      <c r="D9" s="71" t="s">
        <v>11</v>
      </c>
      <c r="E9" s="74"/>
      <c r="F9" s="77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8.25" customHeight="1">
      <c r="A10" s="1"/>
      <c r="B10" s="60">
        <v>2.0</v>
      </c>
      <c r="C10" s="62" t="s">
        <v>47</v>
      </c>
      <c r="D10" s="71" t="s">
        <v>48</v>
      </c>
      <c r="E10" s="74"/>
      <c r="F10" s="77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51.0" customHeight="1">
      <c r="A11" s="1"/>
      <c r="B11" s="60">
        <v>3.0</v>
      </c>
      <c r="C11" s="62" t="s">
        <v>49</v>
      </c>
      <c r="D11" s="71" t="s">
        <v>48</v>
      </c>
      <c r="E11" s="74"/>
      <c r="F11" s="77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1"/>
      <c r="B12" s="60">
        <v>4.0</v>
      </c>
      <c r="C12" s="62" t="s">
        <v>51</v>
      </c>
      <c r="D12" s="71" t="s">
        <v>48</v>
      </c>
      <c r="E12" s="74"/>
      <c r="F12" s="7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63.75" customHeight="1">
      <c r="A13" s="1"/>
      <c r="B13" s="60">
        <v>5.0</v>
      </c>
      <c r="C13" s="62" t="s">
        <v>52</v>
      </c>
      <c r="D13" s="71" t="s">
        <v>48</v>
      </c>
      <c r="E13" s="74"/>
      <c r="F13" s="77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8.25" customHeight="1">
      <c r="A14" s="1"/>
      <c r="B14" s="60">
        <v>6.0</v>
      </c>
      <c r="C14" s="62" t="s">
        <v>54</v>
      </c>
      <c r="D14" s="71" t="s">
        <v>55</v>
      </c>
      <c r="E14" s="74"/>
      <c r="F14" s="77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8.25" customHeight="1">
      <c r="A15" s="1"/>
      <c r="B15" s="60">
        <v>7.0</v>
      </c>
      <c r="C15" s="62" t="s">
        <v>56</v>
      </c>
      <c r="D15" s="71" t="s">
        <v>55</v>
      </c>
      <c r="E15" s="74"/>
      <c r="F15" s="7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8.25" customHeight="1">
      <c r="A16" s="1"/>
      <c r="B16" s="60">
        <v>8.0</v>
      </c>
      <c r="C16" s="62" t="s">
        <v>57</v>
      </c>
      <c r="D16" s="71" t="s">
        <v>55</v>
      </c>
      <c r="E16" s="74"/>
      <c r="F16" s="7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5.5" customHeight="1">
      <c r="A17" s="1"/>
      <c r="B17" s="60">
        <v>9.0</v>
      </c>
      <c r="C17" s="62" t="s">
        <v>58</v>
      </c>
      <c r="D17" s="71" t="s">
        <v>59</v>
      </c>
      <c r="E17" s="74"/>
      <c r="F17" s="77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5.5" customHeight="1">
      <c r="A18" s="1"/>
      <c r="B18" s="60">
        <v>10.0</v>
      </c>
      <c r="C18" s="62" t="s">
        <v>60</v>
      </c>
      <c r="D18" s="71" t="s">
        <v>59</v>
      </c>
      <c r="E18" s="74"/>
      <c r="F18" s="7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3.5" customHeight="1">
      <c r="A19" s="1"/>
      <c r="B19" s="60">
        <v>11.0</v>
      </c>
      <c r="C19" s="62" t="s">
        <v>61</v>
      </c>
      <c r="D19" s="71" t="s">
        <v>62</v>
      </c>
      <c r="E19" s="74"/>
      <c r="F19" s="77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7.0" customHeight="1">
      <c r="A20" s="1"/>
      <c r="B20" s="60">
        <v>12.0</v>
      </c>
      <c r="C20" s="62" t="s">
        <v>64</v>
      </c>
      <c r="D20" s="71" t="s">
        <v>65</v>
      </c>
      <c r="E20" s="74"/>
      <c r="F20" s="77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7.0" customHeight="1">
      <c r="A21" s="1"/>
      <c r="B21" s="60">
        <v>13.0</v>
      </c>
      <c r="C21" s="62" t="s">
        <v>72</v>
      </c>
      <c r="D21" s="71" t="s">
        <v>65</v>
      </c>
      <c r="E21" s="74"/>
      <c r="F21" s="77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3.5" customHeight="1">
      <c r="A22" s="1"/>
      <c r="B22" s="103">
        <v>14.0</v>
      </c>
      <c r="C22" s="75" t="s">
        <v>74</v>
      </c>
      <c r="D22" s="105" t="s">
        <v>75</v>
      </c>
      <c r="E22" s="75"/>
      <c r="F22" s="8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3.5" customHeight="1">
      <c r="A23" s="1"/>
      <c r="B23" s="103">
        <v>15.0</v>
      </c>
      <c r="C23" s="75" t="s">
        <v>76</v>
      </c>
      <c r="D23" s="105" t="s">
        <v>75</v>
      </c>
      <c r="E23" s="75"/>
      <c r="F23" s="8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5.5" customHeight="1">
      <c r="A24" s="1"/>
      <c r="B24" s="103">
        <v>16.0</v>
      </c>
      <c r="C24" s="75" t="s">
        <v>82</v>
      </c>
      <c r="D24" s="105" t="s">
        <v>83</v>
      </c>
      <c r="E24" s="75"/>
      <c r="F24" s="8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5.5" customHeight="1">
      <c r="A25" s="1"/>
      <c r="B25" s="103">
        <v>17.0</v>
      </c>
      <c r="C25" s="75" t="s">
        <v>84</v>
      </c>
      <c r="D25" s="105" t="s">
        <v>83</v>
      </c>
      <c r="E25" s="75"/>
      <c r="F25" s="8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5.5" customHeight="1">
      <c r="A26" s="1"/>
      <c r="B26" s="103">
        <v>18.0</v>
      </c>
      <c r="C26" s="75" t="s">
        <v>85</v>
      </c>
      <c r="D26" s="105" t="s">
        <v>83</v>
      </c>
      <c r="E26" s="75"/>
      <c r="F26" s="8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5.5" customHeight="1">
      <c r="A27" s="1"/>
      <c r="B27" s="103">
        <v>19.0</v>
      </c>
      <c r="C27" s="75" t="s">
        <v>87</v>
      </c>
      <c r="D27" s="105" t="s">
        <v>83</v>
      </c>
      <c r="E27" s="75"/>
      <c r="F27" s="8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5.5" customHeight="1">
      <c r="A28" s="1"/>
      <c r="B28" s="103">
        <v>20.0</v>
      </c>
      <c r="C28" s="75" t="s">
        <v>90</v>
      </c>
      <c r="D28" s="105" t="s">
        <v>83</v>
      </c>
      <c r="E28" s="75"/>
      <c r="F28" s="8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5.5" customHeight="1">
      <c r="A29" s="1"/>
      <c r="B29" s="103">
        <v>21.0</v>
      </c>
      <c r="C29" s="75" t="s">
        <v>94</v>
      </c>
      <c r="D29" s="105" t="s">
        <v>83</v>
      </c>
      <c r="E29" s="75"/>
      <c r="F29" s="8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8.25" customHeight="1">
      <c r="A30" s="1"/>
      <c r="B30" s="103">
        <v>22.0</v>
      </c>
      <c r="C30" s="75" t="s">
        <v>96</v>
      </c>
      <c r="D30" s="105" t="s">
        <v>97</v>
      </c>
      <c r="E30" s="75"/>
      <c r="F30" s="8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7.0" customHeight="1">
      <c r="A31" s="1"/>
      <c r="B31" s="103">
        <v>23.0</v>
      </c>
      <c r="C31" s="75" t="s">
        <v>103</v>
      </c>
      <c r="D31" s="105" t="s">
        <v>97</v>
      </c>
      <c r="E31" s="75"/>
      <c r="F31" s="8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8.25" customHeight="1">
      <c r="A32" s="1"/>
      <c r="B32" s="103">
        <v>24.0</v>
      </c>
      <c r="C32" s="75" t="s">
        <v>105</v>
      </c>
      <c r="D32" s="105" t="s">
        <v>106</v>
      </c>
      <c r="E32" s="75"/>
      <c r="F32" s="8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7.0" customHeight="1">
      <c r="A33" s="1"/>
      <c r="B33" s="103">
        <v>25.0</v>
      </c>
      <c r="C33" s="75" t="s">
        <v>107</v>
      </c>
      <c r="D33" s="105" t="s">
        <v>106</v>
      </c>
      <c r="E33" s="75"/>
      <c r="F33" s="8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8.25" customHeight="1">
      <c r="A34" s="1"/>
      <c r="B34" s="103">
        <v>26.0</v>
      </c>
      <c r="C34" s="75" t="s">
        <v>108</v>
      </c>
      <c r="D34" s="105" t="s">
        <v>109</v>
      </c>
      <c r="E34" s="75"/>
      <c r="F34" s="8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8.25" customHeight="1">
      <c r="A35" s="1"/>
      <c r="B35" s="103">
        <v>27.0</v>
      </c>
      <c r="C35" s="75" t="s">
        <v>110</v>
      </c>
      <c r="D35" s="105" t="s">
        <v>109</v>
      </c>
      <c r="E35" s="75"/>
      <c r="F35" s="8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51.0" customHeight="1">
      <c r="A36" s="1"/>
      <c r="B36" s="103">
        <v>28.0</v>
      </c>
      <c r="C36" s="75" t="s">
        <v>111</v>
      </c>
      <c r="D36" s="105" t="s">
        <v>109</v>
      </c>
      <c r="E36" s="75"/>
      <c r="F36" s="8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18"/>
      <c r="C37" s="119"/>
      <c r="D37" s="119"/>
      <c r="E37" s="119"/>
      <c r="F37" s="11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18"/>
      <c r="C38" s="119"/>
      <c r="D38" s="119"/>
      <c r="E38" s="119"/>
      <c r="F38" s="11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18"/>
      <c r="C39" s="119"/>
      <c r="D39" s="119"/>
      <c r="E39" s="119"/>
      <c r="F39" s="11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18"/>
      <c r="C40" s="119"/>
      <c r="D40" s="119"/>
      <c r="E40" s="119"/>
      <c r="F40" s="11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18"/>
      <c r="C41" s="119"/>
      <c r="D41" s="119"/>
      <c r="E41" s="119"/>
      <c r="F41" s="11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18"/>
      <c r="C42" s="119"/>
      <c r="D42" s="119"/>
      <c r="E42" s="119"/>
      <c r="F42" s="11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18"/>
      <c r="C43" s="119"/>
      <c r="D43" s="119"/>
      <c r="E43" s="119"/>
      <c r="F43" s="11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18"/>
      <c r="C44" s="119"/>
      <c r="D44" s="119"/>
      <c r="E44" s="119"/>
      <c r="F44" s="11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18"/>
      <c r="C45" s="119"/>
      <c r="D45" s="119"/>
      <c r="E45" s="119"/>
      <c r="F45" s="11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18"/>
      <c r="C46" s="119"/>
      <c r="D46" s="119"/>
      <c r="E46" s="119"/>
      <c r="F46" s="11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18"/>
      <c r="C47" s="119"/>
      <c r="D47" s="119"/>
      <c r="E47" s="119"/>
      <c r="F47" s="11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18"/>
      <c r="C48" s="119"/>
      <c r="D48" s="119"/>
      <c r="E48" s="119"/>
      <c r="F48" s="11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18"/>
      <c r="C49" s="119"/>
      <c r="D49" s="119"/>
      <c r="E49" s="119"/>
      <c r="F49" s="11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18"/>
      <c r="C50" s="119"/>
      <c r="D50" s="119"/>
      <c r="E50" s="119"/>
      <c r="F50" s="11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18"/>
      <c r="C51" s="119"/>
      <c r="D51" s="119"/>
      <c r="E51" s="119"/>
      <c r="F51" s="11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18"/>
      <c r="C52" s="119"/>
      <c r="D52" s="119"/>
      <c r="E52" s="119"/>
      <c r="F52" s="11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18"/>
      <c r="C53" s="119"/>
      <c r="D53" s="119"/>
      <c r="E53" s="119"/>
      <c r="F53" s="11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18"/>
      <c r="C54" s="119"/>
      <c r="D54" s="119"/>
      <c r="E54" s="119"/>
      <c r="F54" s="11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18"/>
      <c r="C55" s="119"/>
      <c r="D55" s="119"/>
      <c r="E55" s="119"/>
      <c r="F55" s="11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18"/>
      <c r="C56" s="119"/>
      <c r="D56" s="119"/>
      <c r="E56" s="119"/>
      <c r="F56" s="11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18"/>
      <c r="C57" s="119"/>
      <c r="D57" s="119"/>
      <c r="E57" s="119"/>
      <c r="F57" s="11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18"/>
      <c r="C58" s="119"/>
      <c r="D58" s="119"/>
      <c r="E58" s="119"/>
      <c r="F58" s="11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18"/>
      <c r="C59" s="119"/>
      <c r="D59" s="119"/>
      <c r="E59" s="119"/>
      <c r="F59" s="11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18"/>
      <c r="C60" s="119"/>
      <c r="D60" s="119"/>
      <c r="E60" s="119"/>
      <c r="F60" s="11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18"/>
      <c r="C61" s="119"/>
      <c r="D61" s="119"/>
      <c r="E61" s="119"/>
      <c r="F61" s="11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18"/>
      <c r="C62" s="119"/>
      <c r="D62" s="119"/>
      <c r="E62" s="119"/>
      <c r="F62" s="11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18"/>
      <c r="C63" s="119"/>
      <c r="D63" s="119"/>
      <c r="E63" s="119"/>
      <c r="F63" s="11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18"/>
      <c r="C64" s="119"/>
      <c r="D64" s="119"/>
      <c r="E64" s="119"/>
      <c r="F64" s="11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18"/>
      <c r="C65" s="119"/>
      <c r="D65" s="119"/>
      <c r="E65" s="119"/>
      <c r="F65" s="11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18"/>
      <c r="C66" s="119"/>
      <c r="D66" s="119"/>
      <c r="E66" s="119"/>
      <c r="F66" s="11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18"/>
      <c r="C67" s="119"/>
      <c r="D67" s="119"/>
      <c r="E67" s="119"/>
      <c r="F67" s="11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18"/>
      <c r="C68" s="119"/>
      <c r="D68" s="119"/>
      <c r="E68" s="119"/>
      <c r="F68" s="11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18"/>
      <c r="C69" s="119"/>
      <c r="D69" s="119"/>
      <c r="E69" s="119"/>
      <c r="F69" s="11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18"/>
      <c r="C70" s="119"/>
      <c r="D70" s="119"/>
      <c r="E70" s="119"/>
      <c r="F70" s="11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18"/>
      <c r="C71" s="119"/>
      <c r="D71" s="119"/>
      <c r="E71" s="119"/>
      <c r="F71" s="11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18"/>
      <c r="C72" s="119"/>
      <c r="D72" s="119"/>
      <c r="E72" s="119"/>
      <c r="F72" s="11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18"/>
      <c r="C73" s="119"/>
      <c r="D73" s="119"/>
      <c r="E73" s="119"/>
      <c r="F73" s="11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18"/>
      <c r="C74" s="119"/>
      <c r="D74" s="119"/>
      <c r="E74" s="119"/>
      <c r="F74" s="11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18"/>
      <c r="C75" s="119"/>
      <c r="D75" s="119"/>
      <c r="E75" s="119"/>
      <c r="F75" s="11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18"/>
      <c r="C76" s="119"/>
      <c r="D76" s="119"/>
      <c r="E76" s="119"/>
      <c r="F76" s="11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18"/>
      <c r="C77" s="119"/>
      <c r="D77" s="119"/>
      <c r="E77" s="119"/>
      <c r="F77" s="11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18"/>
      <c r="C78" s="119"/>
      <c r="D78" s="119"/>
      <c r="E78" s="119"/>
      <c r="F78" s="11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18"/>
      <c r="C79" s="119"/>
      <c r="D79" s="119"/>
      <c r="E79" s="119"/>
      <c r="F79" s="11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18"/>
      <c r="C80" s="119"/>
      <c r="D80" s="119"/>
      <c r="E80" s="119"/>
      <c r="F80" s="11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18"/>
      <c r="C81" s="119"/>
      <c r="D81" s="119"/>
      <c r="E81" s="119"/>
      <c r="F81" s="11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18"/>
      <c r="C82" s="119"/>
      <c r="D82" s="119"/>
      <c r="E82" s="119"/>
      <c r="F82" s="11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18"/>
      <c r="C83" s="119"/>
      <c r="D83" s="119"/>
      <c r="E83" s="119"/>
      <c r="F83" s="11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18"/>
      <c r="C84" s="119"/>
      <c r="D84" s="119"/>
      <c r="E84" s="119"/>
      <c r="F84" s="11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18"/>
      <c r="C85" s="119"/>
      <c r="D85" s="119"/>
      <c r="E85" s="119"/>
      <c r="F85" s="11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18"/>
      <c r="C86" s="119"/>
      <c r="D86" s="119"/>
      <c r="E86" s="119"/>
      <c r="F86" s="11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18"/>
      <c r="C87" s="119"/>
      <c r="D87" s="119"/>
      <c r="E87" s="119"/>
      <c r="F87" s="11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18"/>
      <c r="C88" s="119"/>
      <c r="D88" s="119"/>
      <c r="E88" s="119"/>
      <c r="F88" s="11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18"/>
      <c r="C89" s="119"/>
      <c r="D89" s="119"/>
      <c r="E89" s="119"/>
      <c r="F89" s="11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18"/>
      <c r="C90" s="119"/>
      <c r="D90" s="119"/>
      <c r="E90" s="119"/>
      <c r="F90" s="11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18"/>
      <c r="C91" s="119"/>
      <c r="D91" s="119"/>
      <c r="E91" s="119"/>
      <c r="F91" s="11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18"/>
      <c r="C92" s="119"/>
      <c r="D92" s="119"/>
      <c r="E92" s="119"/>
      <c r="F92" s="11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18"/>
      <c r="C93" s="119"/>
      <c r="D93" s="119"/>
      <c r="E93" s="119"/>
      <c r="F93" s="11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18"/>
      <c r="C94" s="119"/>
      <c r="D94" s="119"/>
      <c r="E94" s="119"/>
      <c r="F94" s="11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18"/>
      <c r="C95" s="119"/>
      <c r="D95" s="119"/>
      <c r="E95" s="119"/>
      <c r="F95" s="11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18"/>
      <c r="C96" s="119"/>
      <c r="D96" s="119"/>
      <c r="E96" s="119"/>
      <c r="F96" s="11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18"/>
      <c r="C97" s="119"/>
      <c r="D97" s="119"/>
      <c r="E97" s="119"/>
      <c r="F97" s="11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18"/>
      <c r="C98" s="119"/>
      <c r="D98" s="119"/>
      <c r="E98" s="119"/>
      <c r="F98" s="11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18"/>
      <c r="C99" s="119"/>
      <c r="D99" s="119"/>
      <c r="E99" s="119"/>
      <c r="F99" s="11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18"/>
      <c r="C100" s="119"/>
      <c r="D100" s="119"/>
      <c r="E100" s="119"/>
      <c r="F100" s="11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18"/>
      <c r="C101" s="119"/>
      <c r="D101" s="119"/>
      <c r="E101" s="119"/>
      <c r="F101" s="11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18"/>
      <c r="C102" s="119"/>
      <c r="D102" s="119"/>
      <c r="E102" s="119"/>
      <c r="F102" s="11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18"/>
      <c r="C103" s="119"/>
      <c r="D103" s="119"/>
      <c r="E103" s="119"/>
      <c r="F103" s="11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18"/>
      <c r="C104" s="119"/>
      <c r="D104" s="119"/>
      <c r="E104" s="119"/>
      <c r="F104" s="11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18"/>
      <c r="C105" s="119"/>
      <c r="D105" s="119"/>
      <c r="E105" s="119"/>
      <c r="F105" s="11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18"/>
      <c r="C106" s="119"/>
      <c r="D106" s="119"/>
      <c r="E106" s="119"/>
      <c r="F106" s="11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18"/>
      <c r="C107" s="119"/>
      <c r="D107" s="119"/>
      <c r="E107" s="119"/>
      <c r="F107" s="11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18"/>
      <c r="C108" s="119"/>
      <c r="D108" s="119"/>
      <c r="E108" s="119"/>
      <c r="F108" s="11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18"/>
      <c r="C109" s="119"/>
      <c r="D109" s="119"/>
      <c r="E109" s="119"/>
      <c r="F109" s="11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18"/>
      <c r="C110" s="119"/>
      <c r="D110" s="119"/>
      <c r="E110" s="119"/>
      <c r="F110" s="11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18"/>
      <c r="C111" s="119"/>
      <c r="D111" s="119"/>
      <c r="E111" s="119"/>
      <c r="F111" s="11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18"/>
      <c r="C112" s="119"/>
      <c r="D112" s="119"/>
      <c r="E112" s="119"/>
      <c r="F112" s="11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18"/>
      <c r="C113" s="119"/>
      <c r="D113" s="119"/>
      <c r="E113" s="119"/>
      <c r="F113" s="11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18"/>
      <c r="C114" s="119"/>
      <c r="D114" s="119"/>
      <c r="E114" s="119"/>
      <c r="F114" s="11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18"/>
      <c r="C115" s="119"/>
      <c r="D115" s="119"/>
      <c r="E115" s="119"/>
      <c r="F115" s="11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18"/>
      <c r="C116" s="119"/>
      <c r="D116" s="119"/>
      <c r="E116" s="119"/>
      <c r="F116" s="11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18"/>
      <c r="C117" s="119"/>
      <c r="D117" s="119"/>
      <c r="E117" s="119"/>
      <c r="F117" s="11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18"/>
      <c r="C118" s="119"/>
      <c r="D118" s="119"/>
      <c r="E118" s="119"/>
      <c r="F118" s="11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18"/>
      <c r="C119" s="119"/>
      <c r="D119" s="119"/>
      <c r="E119" s="119"/>
      <c r="F119" s="11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18"/>
      <c r="C120" s="119"/>
      <c r="D120" s="119"/>
      <c r="E120" s="119"/>
      <c r="F120" s="119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18"/>
      <c r="C121" s="119"/>
      <c r="D121" s="119"/>
      <c r="E121" s="119"/>
      <c r="F121" s="119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18"/>
      <c r="C122" s="119"/>
      <c r="D122" s="119"/>
      <c r="E122" s="119"/>
      <c r="F122" s="11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18"/>
      <c r="C123" s="119"/>
      <c r="D123" s="119"/>
      <c r="E123" s="119"/>
      <c r="F123" s="11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18"/>
      <c r="C124" s="119"/>
      <c r="D124" s="119"/>
      <c r="E124" s="119"/>
      <c r="F124" s="11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18"/>
      <c r="C125" s="119"/>
      <c r="D125" s="119"/>
      <c r="E125" s="119"/>
      <c r="F125" s="11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18"/>
      <c r="C126" s="119"/>
      <c r="D126" s="119"/>
      <c r="E126" s="119"/>
      <c r="F126" s="11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18"/>
      <c r="C127" s="119"/>
      <c r="D127" s="119"/>
      <c r="E127" s="119"/>
      <c r="F127" s="11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18"/>
      <c r="C128" s="119"/>
      <c r="D128" s="119"/>
      <c r="E128" s="119"/>
      <c r="F128" s="119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18"/>
      <c r="C129" s="119"/>
      <c r="D129" s="119"/>
      <c r="E129" s="119"/>
      <c r="F129" s="119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18"/>
      <c r="C130" s="119"/>
      <c r="D130" s="119"/>
      <c r="E130" s="119"/>
      <c r="F130" s="119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18"/>
      <c r="C131" s="119"/>
      <c r="D131" s="119"/>
      <c r="E131" s="119"/>
      <c r="F131" s="119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18"/>
      <c r="C132" s="119"/>
      <c r="D132" s="119"/>
      <c r="E132" s="119"/>
      <c r="F132" s="11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18"/>
      <c r="C133" s="119"/>
      <c r="D133" s="119"/>
      <c r="E133" s="119"/>
      <c r="F133" s="11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18"/>
      <c r="C134" s="119"/>
      <c r="D134" s="119"/>
      <c r="E134" s="119"/>
      <c r="F134" s="11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18"/>
      <c r="C135" s="119"/>
      <c r="D135" s="119"/>
      <c r="E135" s="119"/>
      <c r="F135" s="11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18"/>
      <c r="C136" s="119"/>
      <c r="D136" s="119"/>
      <c r="E136" s="119"/>
      <c r="F136" s="119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18"/>
      <c r="C137" s="119"/>
      <c r="D137" s="119"/>
      <c r="E137" s="119"/>
      <c r="F137" s="11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18"/>
      <c r="C138" s="119"/>
      <c r="D138" s="119"/>
      <c r="E138" s="119"/>
      <c r="F138" s="11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18"/>
      <c r="C139" s="119"/>
      <c r="D139" s="119"/>
      <c r="E139" s="119"/>
      <c r="F139" s="11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18"/>
      <c r="C140" s="119"/>
      <c r="D140" s="119"/>
      <c r="E140" s="119"/>
      <c r="F140" s="11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18"/>
      <c r="C141" s="119"/>
      <c r="D141" s="119"/>
      <c r="E141" s="119"/>
      <c r="F141" s="11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18"/>
      <c r="C142" s="119"/>
      <c r="D142" s="119"/>
      <c r="E142" s="119"/>
      <c r="F142" s="11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18"/>
      <c r="C143" s="119"/>
      <c r="D143" s="119"/>
      <c r="E143" s="119"/>
      <c r="F143" s="119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18"/>
      <c r="C144" s="119"/>
      <c r="D144" s="119"/>
      <c r="E144" s="119"/>
      <c r="F144" s="119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18"/>
      <c r="C145" s="119"/>
      <c r="D145" s="119"/>
      <c r="E145" s="119"/>
      <c r="F145" s="119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18"/>
      <c r="C146" s="119"/>
      <c r="D146" s="119"/>
      <c r="E146" s="119"/>
      <c r="F146" s="119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18"/>
      <c r="C147" s="119"/>
      <c r="D147" s="119"/>
      <c r="E147" s="119"/>
      <c r="F147" s="119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18"/>
      <c r="C148" s="119"/>
      <c r="D148" s="119"/>
      <c r="E148" s="119"/>
      <c r="F148" s="11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18"/>
      <c r="C149" s="119"/>
      <c r="D149" s="119"/>
      <c r="E149" s="119"/>
      <c r="F149" s="119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18"/>
      <c r="C150" s="119"/>
      <c r="D150" s="119"/>
      <c r="E150" s="119"/>
      <c r="F150" s="119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18"/>
      <c r="C151" s="119"/>
      <c r="D151" s="119"/>
      <c r="E151" s="119"/>
      <c r="F151" s="119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18"/>
      <c r="C152" s="119"/>
      <c r="D152" s="119"/>
      <c r="E152" s="119"/>
      <c r="F152" s="119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18"/>
      <c r="C153" s="119"/>
      <c r="D153" s="119"/>
      <c r="E153" s="119"/>
      <c r="F153" s="119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18"/>
      <c r="C154" s="119"/>
      <c r="D154" s="119"/>
      <c r="E154" s="119"/>
      <c r="F154" s="119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18"/>
      <c r="C155" s="119"/>
      <c r="D155" s="119"/>
      <c r="E155" s="119"/>
      <c r="F155" s="119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18"/>
      <c r="C156" s="119"/>
      <c r="D156" s="119"/>
      <c r="E156" s="119"/>
      <c r="F156" s="119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18"/>
      <c r="C157" s="119"/>
      <c r="D157" s="119"/>
      <c r="E157" s="119"/>
      <c r="F157" s="119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18"/>
      <c r="C158" s="119"/>
      <c r="D158" s="119"/>
      <c r="E158" s="119"/>
      <c r="F158" s="11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18"/>
      <c r="C159" s="119"/>
      <c r="D159" s="119"/>
      <c r="E159" s="119"/>
      <c r="F159" s="119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18"/>
      <c r="C160" s="119"/>
      <c r="D160" s="119"/>
      <c r="E160" s="119"/>
      <c r="F160" s="119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18"/>
      <c r="C161" s="119"/>
      <c r="D161" s="119"/>
      <c r="E161" s="119"/>
      <c r="F161" s="11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18"/>
      <c r="C162" s="119"/>
      <c r="D162" s="119"/>
      <c r="E162" s="119"/>
      <c r="F162" s="119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18"/>
      <c r="C163" s="119"/>
      <c r="D163" s="119"/>
      <c r="E163" s="119"/>
      <c r="F163" s="119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18"/>
      <c r="C164" s="119"/>
      <c r="D164" s="119"/>
      <c r="E164" s="119"/>
      <c r="F164" s="11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18"/>
      <c r="C165" s="119"/>
      <c r="D165" s="119"/>
      <c r="E165" s="119"/>
      <c r="F165" s="119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18"/>
      <c r="C166" s="119"/>
      <c r="D166" s="119"/>
      <c r="E166" s="119"/>
      <c r="F166" s="119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18"/>
      <c r="C167" s="119"/>
      <c r="D167" s="119"/>
      <c r="E167" s="119"/>
      <c r="F167" s="11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18"/>
      <c r="C168" s="119"/>
      <c r="D168" s="119"/>
      <c r="E168" s="119"/>
      <c r="F168" s="119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18"/>
      <c r="C169" s="119"/>
      <c r="D169" s="119"/>
      <c r="E169" s="119"/>
      <c r="F169" s="119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18"/>
      <c r="C170" s="119"/>
      <c r="D170" s="119"/>
      <c r="E170" s="119"/>
      <c r="F170" s="119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18"/>
      <c r="C171" s="119"/>
      <c r="D171" s="119"/>
      <c r="E171" s="119"/>
      <c r="F171" s="119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18"/>
      <c r="C172" s="119"/>
      <c r="D172" s="119"/>
      <c r="E172" s="119"/>
      <c r="F172" s="119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18"/>
      <c r="C173" s="119"/>
      <c r="D173" s="119"/>
      <c r="E173" s="119"/>
      <c r="F173" s="119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18"/>
      <c r="C174" s="119"/>
      <c r="D174" s="119"/>
      <c r="E174" s="119"/>
      <c r="F174" s="119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18"/>
      <c r="C175" s="119"/>
      <c r="D175" s="119"/>
      <c r="E175" s="119"/>
      <c r="F175" s="11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18"/>
      <c r="C176" s="119"/>
      <c r="D176" s="119"/>
      <c r="E176" s="119"/>
      <c r="F176" s="119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18"/>
      <c r="C177" s="119"/>
      <c r="D177" s="119"/>
      <c r="E177" s="119"/>
      <c r="F177" s="119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18"/>
      <c r="C178" s="119"/>
      <c r="D178" s="119"/>
      <c r="E178" s="119"/>
      <c r="F178" s="119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18"/>
      <c r="C179" s="119"/>
      <c r="D179" s="119"/>
      <c r="E179" s="119"/>
      <c r="F179" s="11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18"/>
      <c r="C180" s="119"/>
      <c r="D180" s="119"/>
      <c r="E180" s="119"/>
      <c r="F180" s="11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18"/>
      <c r="C181" s="119"/>
      <c r="D181" s="119"/>
      <c r="E181" s="119"/>
      <c r="F181" s="119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18"/>
      <c r="C182" s="119"/>
      <c r="D182" s="119"/>
      <c r="E182" s="119"/>
      <c r="F182" s="119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18"/>
      <c r="C183" s="119"/>
      <c r="D183" s="119"/>
      <c r="E183" s="119"/>
      <c r="F183" s="119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18"/>
      <c r="C184" s="119"/>
      <c r="D184" s="119"/>
      <c r="E184" s="119"/>
      <c r="F184" s="119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18"/>
      <c r="C185" s="119"/>
      <c r="D185" s="119"/>
      <c r="E185" s="119"/>
      <c r="F185" s="11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18"/>
      <c r="C186" s="119"/>
      <c r="D186" s="119"/>
      <c r="E186" s="119"/>
      <c r="F186" s="119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18"/>
      <c r="C187" s="119"/>
      <c r="D187" s="119"/>
      <c r="E187" s="119"/>
      <c r="F187" s="119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18"/>
      <c r="C188" s="119"/>
      <c r="D188" s="119"/>
      <c r="E188" s="119"/>
      <c r="F188" s="119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18"/>
      <c r="C189" s="119"/>
      <c r="D189" s="119"/>
      <c r="E189" s="119"/>
      <c r="F189" s="119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18"/>
      <c r="C190" s="119"/>
      <c r="D190" s="119"/>
      <c r="E190" s="119"/>
      <c r="F190" s="119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18"/>
      <c r="C191" s="119"/>
      <c r="D191" s="119"/>
      <c r="E191" s="119"/>
      <c r="F191" s="119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18"/>
      <c r="C192" s="119"/>
      <c r="D192" s="119"/>
      <c r="E192" s="119"/>
      <c r="F192" s="119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18"/>
      <c r="C193" s="119"/>
      <c r="D193" s="119"/>
      <c r="E193" s="119"/>
      <c r="F193" s="119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18"/>
      <c r="C194" s="119"/>
      <c r="D194" s="119"/>
      <c r="E194" s="119"/>
      <c r="F194" s="11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18"/>
      <c r="C195" s="119"/>
      <c r="D195" s="119"/>
      <c r="E195" s="119"/>
      <c r="F195" s="119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18"/>
      <c r="C196" s="119"/>
      <c r="D196" s="119"/>
      <c r="E196" s="119"/>
      <c r="F196" s="119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18"/>
      <c r="C197" s="119"/>
      <c r="D197" s="119"/>
      <c r="E197" s="119"/>
      <c r="F197" s="119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18"/>
      <c r="C198" s="119"/>
      <c r="D198" s="119"/>
      <c r="E198" s="119"/>
      <c r="F198" s="119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18"/>
      <c r="C199" s="119"/>
      <c r="D199" s="119"/>
      <c r="E199" s="119"/>
      <c r="F199" s="119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18"/>
      <c r="C200" s="119"/>
      <c r="D200" s="119"/>
      <c r="E200" s="119"/>
      <c r="F200" s="119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18"/>
      <c r="C201" s="119"/>
      <c r="D201" s="119"/>
      <c r="E201" s="119"/>
      <c r="F201" s="11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18"/>
      <c r="C202" s="119"/>
      <c r="D202" s="119"/>
      <c r="E202" s="119"/>
      <c r="F202" s="119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18"/>
      <c r="C203" s="119"/>
      <c r="D203" s="119"/>
      <c r="E203" s="119"/>
      <c r="F203" s="119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18"/>
      <c r="C204" s="119"/>
      <c r="D204" s="119"/>
      <c r="E204" s="119"/>
      <c r="F204" s="11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18"/>
      <c r="C205" s="119"/>
      <c r="D205" s="119"/>
      <c r="E205" s="119"/>
      <c r="F205" s="11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18"/>
      <c r="C206" s="119"/>
      <c r="D206" s="119"/>
      <c r="E206" s="119"/>
      <c r="F206" s="11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18"/>
      <c r="C207" s="119"/>
      <c r="D207" s="119"/>
      <c r="E207" s="119"/>
      <c r="F207" s="11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18"/>
      <c r="C208" s="119"/>
      <c r="D208" s="119"/>
      <c r="E208" s="119"/>
      <c r="F208" s="11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18"/>
      <c r="C209" s="119"/>
      <c r="D209" s="119"/>
      <c r="E209" s="119"/>
      <c r="F209" s="11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18"/>
      <c r="C210" s="119"/>
      <c r="D210" s="119"/>
      <c r="E210" s="119"/>
      <c r="F210" s="11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18"/>
      <c r="C211" s="119"/>
      <c r="D211" s="119"/>
      <c r="E211" s="119"/>
      <c r="F211" s="11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18"/>
      <c r="C212" s="119"/>
      <c r="D212" s="119"/>
      <c r="E212" s="119"/>
      <c r="F212" s="11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18"/>
      <c r="C213" s="119"/>
      <c r="D213" s="119"/>
      <c r="E213" s="119"/>
      <c r="F213" s="11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18"/>
      <c r="C214" s="119"/>
      <c r="D214" s="119"/>
      <c r="E214" s="119"/>
      <c r="F214" s="11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18"/>
      <c r="C215" s="119"/>
      <c r="D215" s="119"/>
      <c r="E215" s="119"/>
      <c r="F215" s="11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18"/>
      <c r="C216" s="119"/>
      <c r="D216" s="119"/>
      <c r="E216" s="119"/>
      <c r="F216" s="11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18"/>
      <c r="C217" s="119"/>
      <c r="D217" s="119"/>
      <c r="E217" s="119"/>
      <c r="F217" s="11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18"/>
      <c r="C218" s="119"/>
      <c r="D218" s="119"/>
      <c r="E218" s="119"/>
      <c r="F218" s="11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18"/>
      <c r="C219" s="119"/>
      <c r="D219" s="119"/>
      <c r="E219" s="119"/>
      <c r="F219" s="11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18"/>
      <c r="C220" s="119"/>
      <c r="D220" s="119"/>
      <c r="E220" s="119"/>
      <c r="F220" s="11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18"/>
      <c r="C221" s="119"/>
      <c r="D221" s="119"/>
      <c r="E221" s="119"/>
      <c r="F221" s="11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18"/>
      <c r="C222" s="119"/>
      <c r="D222" s="119"/>
      <c r="E222" s="119"/>
      <c r="F222" s="11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18"/>
      <c r="C223" s="119"/>
      <c r="D223" s="119"/>
      <c r="E223" s="119"/>
      <c r="F223" s="11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18"/>
      <c r="C224" s="119"/>
      <c r="D224" s="119"/>
      <c r="E224" s="119"/>
      <c r="F224" s="11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18"/>
      <c r="C225" s="119"/>
      <c r="D225" s="119"/>
      <c r="E225" s="119"/>
      <c r="F225" s="11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18"/>
      <c r="C226" s="119"/>
      <c r="D226" s="119"/>
      <c r="E226" s="119"/>
      <c r="F226" s="11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18"/>
      <c r="C227" s="119"/>
      <c r="D227" s="119"/>
      <c r="E227" s="119"/>
      <c r="F227" s="11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18"/>
      <c r="C228" s="119"/>
      <c r="D228" s="119"/>
      <c r="E228" s="119"/>
      <c r="F228" s="11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18"/>
      <c r="C229" s="119"/>
      <c r="D229" s="119"/>
      <c r="E229" s="119"/>
      <c r="F229" s="11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18"/>
      <c r="C230" s="119"/>
      <c r="D230" s="119"/>
      <c r="E230" s="119"/>
      <c r="F230" s="11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18"/>
      <c r="C231" s="119"/>
      <c r="D231" s="119"/>
      <c r="E231" s="119"/>
      <c r="F231" s="11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18"/>
      <c r="C232" s="119"/>
      <c r="D232" s="119"/>
      <c r="E232" s="119"/>
      <c r="F232" s="11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18"/>
      <c r="C233" s="119"/>
      <c r="D233" s="119"/>
      <c r="E233" s="119"/>
      <c r="F233" s="11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18"/>
      <c r="C234" s="119"/>
      <c r="D234" s="119"/>
      <c r="E234" s="119"/>
      <c r="F234" s="11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18"/>
      <c r="C235" s="119"/>
      <c r="D235" s="119"/>
      <c r="E235" s="119"/>
      <c r="F235" s="11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18"/>
      <c r="C236" s="119"/>
      <c r="D236" s="119"/>
      <c r="E236" s="119"/>
      <c r="F236" s="11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18"/>
      <c r="C237" s="119"/>
      <c r="D237" s="119"/>
      <c r="E237" s="119"/>
      <c r="F237" s="11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18"/>
      <c r="C238" s="119"/>
      <c r="D238" s="119"/>
      <c r="E238" s="119"/>
      <c r="F238" s="11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18"/>
      <c r="C239" s="119"/>
      <c r="D239" s="119"/>
      <c r="E239" s="119"/>
      <c r="F239" s="11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18"/>
      <c r="C240" s="119"/>
      <c r="D240" s="119"/>
      <c r="E240" s="119"/>
      <c r="F240" s="11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18"/>
      <c r="C241" s="119"/>
      <c r="D241" s="119"/>
      <c r="E241" s="119"/>
      <c r="F241" s="11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18"/>
      <c r="C242" s="119"/>
      <c r="D242" s="119"/>
      <c r="E242" s="119"/>
      <c r="F242" s="11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18"/>
      <c r="C243" s="119"/>
      <c r="D243" s="119"/>
      <c r="E243" s="119"/>
      <c r="F243" s="11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18"/>
      <c r="C244" s="119"/>
      <c r="D244" s="119"/>
      <c r="E244" s="119"/>
      <c r="F244" s="11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18"/>
      <c r="C245" s="119"/>
      <c r="D245" s="119"/>
      <c r="E245" s="119"/>
      <c r="F245" s="11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18"/>
      <c r="C246" s="119"/>
      <c r="D246" s="119"/>
      <c r="E246" s="119"/>
      <c r="F246" s="11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18"/>
      <c r="C247" s="119"/>
      <c r="D247" s="119"/>
      <c r="E247" s="119"/>
      <c r="F247" s="11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18"/>
      <c r="C248" s="119"/>
      <c r="D248" s="119"/>
      <c r="E248" s="119"/>
      <c r="F248" s="11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18"/>
      <c r="C249" s="119"/>
      <c r="D249" s="119"/>
      <c r="E249" s="119"/>
      <c r="F249" s="11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18"/>
      <c r="C250" s="119"/>
      <c r="D250" s="119"/>
      <c r="E250" s="119"/>
      <c r="F250" s="11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18"/>
      <c r="C251" s="119"/>
      <c r="D251" s="119"/>
      <c r="E251" s="119"/>
      <c r="F251" s="11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18"/>
      <c r="C252" s="119"/>
      <c r="D252" s="119"/>
      <c r="E252" s="119"/>
      <c r="F252" s="11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18"/>
      <c r="C253" s="119"/>
      <c r="D253" s="119"/>
      <c r="E253" s="119"/>
      <c r="F253" s="11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18"/>
      <c r="C254" s="119"/>
      <c r="D254" s="119"/>
      <c r="E254" s="119"/>
      <c r="F254" s="11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18"/>
      <c r="C255" s="119"/>
      <c r="D255" s="119"/>
      <c r="E255" s="119"/>
      <c r="F255" s="11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18"/>
      <c r="C256" s="119"/>
      <c r="D256" s="119"/>
      <c r="E256" s="119"/>
      <c r="F256" s="11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18"/>
      <c r="C257" s="119"/>
      <c r="D257" s="119"/>
      <c r="E257" s="119"/>
      <c r="F257" s="11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18"/>
      <c r="C258" s="119"/>
      <c r="D258" s="119"/>
      <c r="E258" s="119"/>
      <c r="F258" s="11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18"/>
      <c r="C259" s="119"/>
      <c r="D259" s="119"/>
      <c r="E259" s="119"/>
      <c r="F259" s="11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18"/>
      <c r="C260" s="119"/>
      <c r="D260" s="119"/>
      <c r="E260" s="119"/>
      <c r="F260" s="11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18"/>
      <c r="C261" s="119"/>
      <c r="D261" s="119"/>
      <c r="E261" s="119"/>
      <c r="F261" s="11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18"/>
      <c r="C262" s="119"/>
      <c r="D262" s="119"/>
      <c r="E262" s="119"/>
      <c r="F262" s="11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18"/>
      <c r="C263" s="119"/>
      <c r="D263" s="119"/>
      <c r="E263" s="119"/>
      <c r="F263" s="11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18"/>
      <c r="C264" s="119"/>
      <c r="D264" s="119"/>
      <c r="E264" s="119"/>
      <c r="F264" s="11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18"/>
      <c r="C265" s="119"/>
      <c r="D265" s="119"/>
      <c r="E265" s="119"/>
      <c r="F265" s="11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18"/>
      <c r="C266" s="119"/>
      <c r="D266" s="119"/>
      <c r="E266" s="119"/>
      <c r="F266" s="11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18"/>
      <c r="C267" s="119"/>
      <c r="D267" s="119"/>
      <c r="E267" s="119"/>
      <c r="F267" s="11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18"/>
      <c r="C268" s="119"/>
      <c r="D268" s="119"/>
      <c r="E268" s="119"/>
      <c r="F268" s="11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18"/>
      <c r="C269" s="119"/>
      <c r="D269" s="119"/>
      <c r="E269" s="119"/>
      <c r="F269" s="11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18"/>
      <c r="C270" s="119"/>
      <c r="D270" s="119"/>
      <c r="E270" s="119"/>
      <c r="F270" s="11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18"/>
      <c r="C271" s="119"/>
      <c r="D271" s="119"/>
      <c r="E271" s="119"/>
      <c r="F271" s="11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18"/>
      <c r="C272" s="119"/>
      <c r="D272" s="119"/>
      <c r="E272" s="119"/>
      <c r="F272" s="11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18"/>
      <c r="C273" s="119"/>
      <c r="D273" s="119"/>
      <c r="E273" s="119"/>
      <c r="F273" s="11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18"/>
      <c r="C274" s="119"/>
      <c r="D274" s="119"/>
      <c r="E274" s="119"/>
      <c r="F274" s="11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18"/>
      <c r="C275" s="119"/>
      <c r="D275" s="119"/>
      <c r="E275" s="119"/>
      <c r="F275" s="11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18"/>
      <c r="C276" s="119"/>
      <c r="D276" s="119"/>
      <c r="E276" s="119"/>
      <c r="F276" s="11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18"/>
      <c r="C277" s="119"/>
      <c r="D277" s="119"/>
      <c r="E277" s="119"/>
      <c r="F277" s="11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18"/>
      <c r="C278" s="119"/>
      <c r="D278" s="119"/>
      <c r="E278" s="119"/>
      <c r="F278" s="11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18"/>
      <c r="C279" s="119"/>
      <c r="D279" s="119"/>
      <c r="E279" s="119"/>
      <c r="F279" s="11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18"/>
      <c r="C280" s="119"/>
      <c r="D280" s="119"/>
      <c r="E280" s="119"/>
      <c r="F280" s="11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18"/>
      <c r="C281" s="119"/>
      <c r="D281" s="119"/>
      <c r="E281" s="119"/>
      <c r="F281" s="11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18"/>
      <c r="C282" s="119"/>
      <c r="D282" s="119"/>
      <c r="E282" s="119"/>
      <c r="F282" s="11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18"/>
      <c r="C283" s="119"/>
      <c r="D283" s="119"/>
      <c r="E283" s="119"/>
      <c r="F283" s="11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18"/>
      <c r="C284" s="119"/>
      <c r="D284" s="119"/>
      <c r="E284" s="119"/>
      <c r="F284" s="11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18"/>
      <c r="C285" s="119"/>
      <c r="D285" s="119"/>
      <c r="E285" s="119"/>
      <c r="F285" s="11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18"/>
      <c r="C286" s="119"/>
      <c r="D286" s="119"/>
      <c r="E286" s="119"/>
      <c r="F286" s="11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18"/>
      <c r="C287" s="119"/>
      <c r="D287" s="119"/>
      <c r="E287" s="119"/>
      <c r="F287" s="11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18"/>
      <c r="C288" s="119"/>
      <c r="D288" s="119"/>
      <c r="E288" s="119"/>
      <c r="F288" s="11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18"/>
      <c r="C289" s="119"/>
      <c r="D289" s="119"/>
      <c r="E289" s="119"/>
      <c r="F289" s="11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18"/>
      <c r="C290" s="119"/>
      <c r="D290" s="119"/>
      <c r="E290" s="119"/>
      <c r="F290" s="11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18"/>
      <c r="C291" s="119"/>
      <c r="D291" s="119"/>
      <c r="E291" s="119"/>
      <c r="F291" s="11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18"/>
      <c r="C292" s="119"/>
      <c r="D292" s="119"/>
      <c r="E292" s="119"/>
      <c r="F292" s="11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18"/>
      <c r="C293" s="119"/>
      <c r="D293" s="119"/>
      <c r="E293" s="119"/>
      <c r="F293" s="11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18"/>
      <c r="C294" s="119"/>
      <c r="D294" s="119"/>
      <c r="E294" s="119"/>
      <c r="F294" s="11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18"/>
      <c r="C295" s="119"/>
      <c r="D295" s="119"/>
      <c r="E295" s="119"/>
      <c r="F295" s="11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18"/>
      <c r="C296" s="119"/>
      <c r="D296" s="119"/>
      <c r="E296" s="119"/>
      <c r="F296" s="11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18"/>
      <c r="C297" s="119"/>
      <c r="D297" s="119"/>
      <c r="E297" s="119"/>
      <c r="F297" s="11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18"/>
      <c r="C298" s="119"/>
      <c r="D298" s="119"/>
      <c r="E298" s="119"/>
      <c r="F298" s="11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18"/>
      <c r="C299" s="119"/>
      <c r="D299" s="119"/>
      <c r="E299" s="119"/>
      <c r="F299" s="11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18"/>
      <c r="C300" s="119"/>
      <c r="D300" s="119"/>
      <c r="E300" s="119"/>
      <c r="F300" s="11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18"/>
      <c r="C301" s="119"/>
      <c r="D301" s="119"/>
      <c r="E301" s="119"/>
      <c r="F301" s="11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18"/>
      <c r="C302" s="119"/>
      <c r="D302" s="119"/>
      <c r="E302" s="119"/>
      <c r="F302" s="11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18"/>
      <c r="C303" s="119"/>
      <c r="D303" s="119"/>
      <c r="E303" s="119"/>
      <c r="F303" s="11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18"/>
      <c r="C304" s="119"/>
      <c r="D304" s="119"/>
      <c r="E304" s="119"/>
      <c r="F304" s="11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18"/>
      <c r="C305" s="119"/>
      <c r="D305" s="119"/>
      <c r="E305" s="119"/>
      <c r="F305" s="11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18"/>
      <c r="C306" s="119"/>
      <c r="D306" s="119"/>
      <c r="E306" s="119"/>
      <c r="F306" s="11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18"/>
      <c r="C307" s="119"/>
      <c r="D307" s="119"/>
      <c r="E307" s="119"/>
      <c r="F307" s="11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18"/>
      <c r="C308" s="119"/>
      <c r="D308" s="119"/>
      <c r="E308" s="119"/>
      <c r="F308" s="11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18"/>
      <c r="C309" s="119"/>
      <c r="D309" s="119"/>
      <c r="E309" s="119"/>
      <c r="F309" s="11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18"/>
      <c r="C310" s="119"/>
      <c r="D310" s="119"/>
      <c r="E310" s="119"/>
      <c r="F310" s="11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18"/>
      <c r="C311" s="119"/>
      <c r="D311" s="119"/>
      <c r="E311" s="119"/>
      <c r="F311" s="11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18"/>
      <c r="C312" s="119"/>
      <c r="D312" s="119"/>
      <c r="E312" s="119"/>
      <c r="F312" s="11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18"/>
      <c r="C313" s="119"/>
      <c r="D313" s="119"/>
      <c r="E313" s="119"/>
      <c r="F313" s="11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18"/>
      <c r="C314" s="119"/>
      <c r="D314" s="119"/>
      <c r="E314" s="119"/>
      <c r="F314" s="11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18"/>
      <c r="C315" s="119"/>
      <c r="D315" s="119"/>
      <c r="E315" s="119"/>
      <c r="F315" s="11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18"/>
      <c r="C316" s="119"/>
      <c r="D316" s="119"/>
      <c r="E316" s="119"/>
      <c r="F316" s="11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18"/>
      <c r="C317" s="119"/>
      <c r="D317" s="119"/>
      <c r="E317" s="119"/>
      <c r="F317" s="11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18"/>
      <c r="C318" s="119"/>
      <c r="D318" s="119"/>
      <c r="E318" s="119"/>
      <c r="F318" s="11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18"/>
      <c r="C319" s="119"/>
      <c r="D319" s="119"/>
      <c r="E319" s="119"/>
      <c r="F319" s="11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18"/>
      <c r="C320" s="119"/>
      <c r="D320" s="119"/>
      <c r="E320" s="119"/>
      <c r="F320" s="11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18"/>
      <c r="C321" s="119"/>
      <c r="D321" s="119"/>
      <c r="E321" s="119"/>
      <c r="F321" s="11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18"/>
      <c r="C322" s="119"/>
      <c r="D322" s="119"/>
      <c r="E322" s="119"/>
      <c r="F322" s="11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18"/>
      <c r="C323" s="119"/>
      <c r="D323" s="119"/>
      <c r="E323" s="119"/>
      <c r="F323" s="11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18"/>
      <c r="C324" s="119"/>
      <c r="D324" s="119"/>
      <c r="E324" s="119"/>
      <c r="F324" s="11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18"/>
      <c r="C325" s="119"/>
      <c r="D325" s="119"/>
      <c r="E325" s="119"/>
      <c r="F325" s="11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18"/>
      <c r="C326" s="119"/>
      <c r="D326" s="119"/>
      <c r="E326" s="119"/>
      <c r="F326" s="11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18"/>
      <c r="C327" s="119"/>
      <c r="D327" s="119"/>
      <c r="E327" s="119"/>
      <c r="F327" s="11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18"/>
      <c r="C328" s="119"/>
      <c r="D328" s="119"/>
      <c r="E328" s="119"/>
      <c r="F328" s="11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18"/>
      <c r="C329" s="119"/>
      <c r="D329" s="119"/>
      <c r="E329" s="119"/>
      <c r="F329" s="11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18"/>
      <c r="C330" s="119"/>
      <c r="D330" s="119"/>
      <c r="E330" s="119"/>
      <c r="F330" s="11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18"/>
      <c r="C331" s="119"/>
      <c r="D331" s="119"/>
      <c r="E331" s="119"/>
      <c r="F331" s="11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18"/>
      <c r="C332" s="119"/>
      <c r="D332" s="119"/>
      <c r="E332" s="119"/>
      <c r="F332" s="11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18"/>
      <c r="C333" s="119"/>
      <c r="D333" s="119"/>
      <c r="E333" s="119"/>
      <c r="F333" s="11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18"/>
      <c r="C334" s="119"/>
      <c r="D334" s="119"/>
      <c r="E334" s="119"/>
      <c r="F334" s="11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18"/>
      <c r="C335" s="119"/>
      <c r="D335" s="119"/>
      <c r="E335" s="119"/>
      <c r="F335" s="11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18"/>
      <c r="C336" s="119"/>
      <c r="D336" s="119"/>
      <c r="E336" s="119"/>
      <c r="F336" s="11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18"/>
      <c r="C337" s="119"/>
      <c r="D337" s="119"/>
      <c r="E337" s="119"/>
      <c r="F337" s="11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18"/>
      <c r="C338" s="119"/>
      <c r="D338" s="119"/>
      <c r="E338" s="119"/>
      <c r="F338" s="11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18"/>
      <c r="C339" s="119"/>
      <c r="D339" s="119"/>
      <c r="E339" s="119"/>
      <c r="F339" s="11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18"/>
      <c r="C340" s="119"/>
      <c r="D340" s="119"/>
      <c r="E340" s="119"/>
      <c r="F340" s="11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18"/>
      <c r="C341" s="119"/>
      <c r="D341" s="119"/>
      <c r="E341" s="119"/>
      <c r="F341" s="11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18"/>
      <c r="C342" s="119"/>
      <c r="D342" s="119"/>
      <c r="E342" s="119"/>
      <c r="F342" s="11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18"/>
      <c r="C343" s="119"/>
      <c r="D343" s="119"/>
      <c r="E343" s="119"/>
      <c r="F343" s="11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18"/>
      <c r="C344" s="119"/>
      <c r="D344" s="119"/>
      <c r="E344" s="119"/>
      <c r="F344" s="11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18"/>
      <c r="C345" s="119"/>
      <c r="D345" s="119"/>
      <c r="E345" s="119"/>
      <c r="F345" s="11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18"/>
      <c r="C346" s="119"/>
      <c r="D346" s="119"/>
      <c r="E346" s="119"/>
      <c r="F346" s="11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18"/>
      <c r="C347" s="119"/>
      <c r="D347" s="119"/>
      <c r="E347" s="119"/>
      <c r="F347" s="11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18"/>
      <c r="C348" s="119"/>
      <c r="D348" s="119"/>
      <c r="E348" s="119"/>
      <c r="F348" s="11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18"/>
      <c r="C349" s="119"/>
      <c r="D349" s="119"/>
      <c r="E349" s="119"/>
      <c r="F349" s="11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18"/>
      <c r="C350" s="119"/>
      <c r="D350" s="119"/>
      <c r="E350" s="119"/>
      <c r="F350" s="11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18"/>
      <c r="C351" s="119"/>
      <c r="D351" s="119"/>
      <c r="E351" s="119"/>
      <c r="F351" s="11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18"/>
      <c r="C352" s="119"/>
      <c r="D352" s="119"/>
      <c r="E352" s="119"/>
      <c r="F352" s="11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18"/>
      <c r="C353" s="119"/>
      <c r="D353" s="119"/>
      <c r="E353" s="119"/>
      <c r="F353" s="11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18"/>
      <c r="C354" s="119"/>
      <c r="D354" s="119"/>
      <c r="E354" s="119"/>
      <c r="F354" s="11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18"/>
      <c r="C355" s="119"/>
      <c r="D355" s="119"/>
      <c r="E355" s="119"/>
      <c r="F355" s="11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18"/>
      <c r="C356" s="119"/>
      <c r="D356" s="119"/>
      <c r="E356" s="119"/>
      <c r="F356" s="11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18"/>
      <c r="C357" s="119"/>
      <c r="D357" s="119"/>
      <c r="E357" s="119"/>
      <c r="F357" s="11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18"/>
      <c r="C358" s="119"/>
      <c r="D358" s="119"/>
      <c r="E358" s="119"/>
      <c r="F358" s="11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18"/>
      <c r="C359" s="119"/>
      <c r="D359" s="119"/>
      <c r="E359" s="119"/>
      <c r="F359" s="11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18"/>
      <c r="C360" s="119"/>
      <c r="D360" s="119"/>
      <c r="E360" s="119"/>
      <c r="F360" s="11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18"/>
      <c r="C361" s="119"/>
      <c r="D361" s="119"/>
      <c r="E361" s="119"/>
      <c r="F361" s="11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18"/>
      <c r="C362" s="119"/>
      <c r="D362" s="119"/>
      <c r="E362" s="119"/>
      <c r="F362" s="11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18"/>
      <c r="C363" s="119"/>
      <c r="D363" s="119"/>
      <c r="E363" s="119"/>
      <c r="F363" s="11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18"/>
      <c r="C364" s="119"/>
      <c r="D364" s="119"/>
      <c r="E364" s="119"/>
      <c r="F364" s="11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18"/>
      <c r="C365" s="119"/>
      <c r="D365" s="119"/>
      <c r="E365" s="119"/>
      <c r="F365" s="11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18"/>
      <c r="C366" s="119"/>
      <c r="D366" s="119"/>
      <c r="E366" s="119"/>
      <c r="F366" s="11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18"/>
      <c r="C367" s="119"/>
      <c r="D367" s="119"/>
      <c r="E367" s="119"/>
      <c r="F367" s="11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18"/>
      <c r="C368" s="119"/>
      <c r="D368" s="119"/>
      <c r="E368" s="119"/>
      <c r="F368" s="11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18"/>
      <c r="C369" s="119"/>
      <c r="D369" s="119"/>
      <c r="E369" s="119"/>
      <c r="F369" s="11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18"/>
      <c r="C370" s="119"/>
      <c r="D370" s="119"/>
      <c r="E370" s="119"/>
      <c r="F370" s="11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18"/>
      <c r="C371" s="119"/>
      <c r="D371" s="119"/>
      <c r="E371" s="119"/>
      <c r="F371" s="11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18"/>
      <c r="C372" s="119"/>
      <c r="D372" s="119"/>
      <c r="E372" s="119"/>
      <c r="F372" s="11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18"/>
      <c r="C373" s="119"/>
      <c r="D373" s="119"/>
      <c r="E373" s="119"/>
      <c r="F373" s="11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18"/>
      <c r="C374" s="119"/>
      <c r="D374" s="119"/>
      <c r="E374" s="119"/>
      <c r="F374" s="11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18"/>
      <c r="C375" s="119"/>
      <c r="D375" s="119"/>
      <c r="E375" s="119"/>
      <c r="F375" s="11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18"/>
      <c r="C376" s="119"/>
      <c r="D376" s="119"/>
      <c r="E376" s="119"/>
      <c r="F376" s="11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18"/>
      <c r="C377" s="119"/>
      <c r="D377" s="119"/>
      <c r="E377" s="119"/>
      <c r="F377" s="11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18"/>
      <c r="C378" s="119"/>
      <c r="D378" s="119"/>
      <c r="E378" s="119"/>
      <c r="F378" s="11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18"/>
      <c r="C379" s="119"/>
      <c r="D379" s="119"/>
      <c r="E379" s="119"/>
      <c r="F379" s="11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18"/>
      <c r="C380" s="119"/>
      <c r="D380" s="119"/>
      <c r="E380" s="119"/>
      <c r="F380" s="11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18"/>
      <c r="C381" s="119"/>
      <c r="D381" s="119"/>
      <c r="E381" s="119"/>
      <c r="F381" s="11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18"/>
      <c r="C382" s="119"/>
      <c r="D382" s="119"/>
      <c r="E382" s="119"/>
      <c r="F382" s="11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18"/>
      <c r="C383" s="119"/>
      <c r="D383" s="119"/>
      <c r="E383" s="119"/>
      <c r="F383" s="11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18"/>
      <c r="C384" s="119"/>
      <c r="D384" s="119"/>
      <c r="E384" s="119"/>
      <c r="F384" s="11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18"/>
      <c r="C385" s="119"/>
      <c r="D385" s="119"/>
      <c r="E385" s="119"/>
      <c r="F385" s="11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18"/>
      <c r="C386" s="119"/>
      <c r="D386" s="119"/>
      <c r="E386" s="119"/>
      <c r="F386" s="11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18"/>
      <c r="C387" s="119"/>
      <c r="D387" s="119"/>
      <c r="E387" s="119"/>
      <c r="F387" s="11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18"/>
      <c r="C388" s="119"/>
      <c r="D388" s="119"/>
      <c r="E388" s="119"/>
      <c r="F388" s="11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18"/>
      <c r="C389" s="119"/>
      <c r="D389" s="119"/>
      <c r="E389" s="119"/>
      <c r="F389" s="11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18"/>
      <c r="C390" s="119"/>
      <c r="D390" s="119"/>
      <c r="E390" s="119"/>
      <c r="F390" s="11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18"/>
      <c r="C391" s="119"/>
      <c r="D391" s="119"/>
      <c r="E391" s="119"/>
      <c r="F391" s="11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18"/>
      <c r="C392" s="119"/>
      <c r="D392" s="119"/>
      <c r="E392" s="119"/>
      <c r="F392" s="11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18"/>
      <c r="C393" s="119"/>
      <c r="D393" s="119"/>
      <c r="E393" s="119"/>
      <c r="F393" s="11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18"/>
      <c r="C394" s="119"/>
      <c r="D394" s="119"/>
      <c r="E394" s="119"/>
      <c r="F394" s="11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18"/>
      <c r="C395" s="119"/>
      <c r="D395" s="119"/>
      <c r="E395" s="119"/>
      <c r="F395" s="11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18"/>
      <c r="C396" s="119"/>
      <c r="D396" s="119"/>
      <c r="E396" s="119"/>
      <c r="F396" s="11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18"/>
      <c r="C397" s="119"/>
      <c r="D397" s="119"/>
      <c r="E397" s="119"/>
      <c r="F397" s="11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18"/>
      <c r="C398" s="119"/>
      <c r="D398" s="119"/>
      <c r="E398" s="119"/>
      <c r="F398" s="11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18"/>
      <c r="C399" s="119"/>
      <c r="D399" s="119"/>
      <c r="E399" s="119"/>
      <c r="F399" s="11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18"/>
      <c r="C400" s="119"/>
      <c r="D400" s="119"/>
      <c r="E400" s="119"/>
      <c r="F400" s="11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18"/>
      <c r="C401" s="119"/>
      <c r="D401" s="119"/>
      <c r="E401" s="119"/>
      <c r="F401" s="11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18"/>
      <c r="C402" s="119"/>
      <c r="D402" s="119"/>
      <c r="E402" s="119"/>
      <c r="F402" s="11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18"/>
      <c r="C403" s="119"/>
      <c r="D403" s="119"/>
      <c r="E403" s="119"/>
      <c r="F403" s="11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18"/>
      <c r="C404" s="119"/>
      <c r="D404" s="119"/>
      <c r="E404" s="119"/>
      <c r="F404" s="11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18"/>
      <c r="C405" s="119"/>
      <c r="D405" s="119"/>
      <c r="E405" s="119"/>
      <c r="F405" s="11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18"/>
      <c r="C406" s="119"/>
      <c r="D406" s="119"/>
      <c r="E406" s="119"/>
      <c r="F406" s="11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18"/>
      <c r="C407" s="119"/>
      <c r="D407" s="119"/>
      <c r="E407" s="119"/>
      <c r="F407" s="11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18"/>
      <c r="C408" s="119"/>
      <c r="D408" s="119"/>
      <c r="E408" s="119"/>
      <c r="F408" s="11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18"/>
      <c r="C409" s="119"/>
      <c r="D409" s="119"/>
      <c r="E409" s="119"/>
      <c r="F409" s="11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18"/>
      <c r="C410" s="119"/>
      <c r="D410" s="119"/>
      <c r="E410" s="119"/>
      <c r="F410" s="11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18"/>
      <c r="C411" s="119"/>
      <c r="D411" s="119"/>
      <c r="E411" s="119"/>
      <c r="F411" s="11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18"/>
      <c r="C412" s="119"/>
      <c r="D412" s="119"/>
      <c r="E412" s="119"/>
      <c r="F412" s="11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18"/>
      <c r="C413" s="119"/>
      <c r="D413" s="119"/>
      <c r="E413" s="119"/>
      <c r="F413" s="11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18"/>
      <c r="C414" s="119"/>
      <c r="D414" s="119"/>
      <c r="E414" s="119"/>
      <c r="F414" s="11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18"/>
      <c r="C415" s="119"/>
      <c r="D415" s="119"/>
      <c r="E415" s="119"/>
      <c r="F415" s="11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18"/>
      <c r="C416" s="119"/>
      <c r="D416" s="119"/>
      <c r="E416" s="119"/>
      <c r="F416" s="11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18"/>
      <c r="C417" s="119"/>
      <c r="D417" s="119"/>
      <c r="E417" s="119"/>
      <c r="F417" s="11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18"/>
      <c r="C418" s="119"/>
      <c r="D418" s="119"/>
      <c r="E418" s="119"/>
      <c r="F418" s="11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18"/>
      <c r="C419" s="119"/>
      <c r="D419" s="119"/>
      <c r="E419" s="119"/>
      <c r="F419" s="11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18"/>
      <c r="C420" s="119"/>
      <c r="D420" s="119"/>
      <c r="E420" s="119"/>
      <c r="F420" s="11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18"/>
      <c r="C421" s="119"/>
      <c r="D421" s="119"/>
      <c r="E421" s="119"/>
      <c r="F421" s="11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18"/>
      <c r="C422" s="119"/>
      <c r="D422" s="119"/>
      <c r="E422" s="119"/>
      <c r="F422" s="11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18"/>
      <c r="C423" s="119"/>
      <c r="D423" s="119"/>
      <c r="E423" s="119"/>
      <c r="F423" s="11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18"/>
      <c r="C424" s="119"/>
      <c r="D424" s="119"/>
      <c r="E424" s="119"/>
      <c r="F424" s="11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18"/>
      <c r="C425" s="119"/>
      <c r="D425" s="119"/>
      <c r="E425" s="119"/>
      <c r="F425" s="11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18"/>
      <c r="C426" s="119"/>
      <c r="D426" s="119"/>
      <c r="E426" s="119"/>
      <c r="F426" s="11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18"/>
      <c r="C427" s="119"/>
      <c r="D427" s="119"/>
      <c r="E427" s="119"/>
      <c r="F427" s="11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18"/>
      <c r="C428" s="119"/>
      <c r="D428" s="119"/>
      <c r="E428" s="119"/>
      <c r="F428" s="11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18"/>
      <c r="C429" s="119"/>
      <c r="D429" s="119"/>
      <c r="E429" s="119"/>
      <c r="F429" s="11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18"/>
      <c r="C430" s="119"/>
      <c r="D430" s="119"/>
      <c r="E430" s="119"/>
      <c r="F430" s="11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18"/>
      <c r="C431" s="119"/>
      <c r="D431" s="119"/>
      <c r="E431" s="119"/>
      <c r="F431" s="11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18"/>
      <c r="C432" s="119"/>
      <c r="D432" s="119"/>
      <c r="E432" s="119"/>
      <c r="F432" s="11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18"/>
      <c r="C433" s="119"/>
      <c r="D433" s="119"/>
      <c r="E433" s="119"/>
      <c r="F433" s="11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18"/>
      <c r="C434" s="119"/>
      <c r="D434" s="119"/>
      <c r="E434" s="119"/>
      <c r="F434" s="11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18"/>
      <c r="C435" s="119"/>
      <c r="D435" s="119"/>
      <c r="E435" s="119"/>
      <c r="F435" s="11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18"/>
      <c r="C436" s="119"/>
      <c r="D436" s="119"/>
      <c r="E436" s="119"/>
      <c r="F436" s="11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18"/>
      <c r="C437" s="119"/>
      <c r="D437" s="119"/>
      <c r="E437" s="119"/>
      <c r="F437" s="11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18"/>
      <c r="C438" s="119"/>
      <c r="D438" s="119"/>
      <c r="E438" s="119"/>
      <c r="F438" s="11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18"/>
      <c r="C439" s="119"/>
      <c r="D439" s="119"/>
      <c r="E439" s="119"/>
      <c r="F439" s="11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18"/>
      <c r="C440" s="119"/>
      <c r="D440" s="119"/>
      <c r="E440" s="119"/>
      <c r="F440" s="11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18"/>
      <c r="C441" s="119"/>
      <c r="D441" s="119"/>
      <c r="E441" s="119"/>
      <c r="F441" s="11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18"/>
      <c r="C442" s="119"/>
      <c r="D442" s="119"/>
      <c r="E442" s="119"/>
      <c r="F442" s="11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18"/>
      <c r="C443" s="119"/>
      <c r="D443" s="119"/>
      <c r="E443" s="119"/>
      <c r="F443" s="11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18"/>
      <c r="C444" s="119"/>
      <c r="D444" s="119"/>
      <c r="E444" s="119"/>
      <c r="F444" s="11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18"/>
      <c r="C445" s="119"/>
      <c r="D445" s="119"/>
      <c r="E445" s="119"/>
      <c r="F445" s="11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18"/>
      <c r="C446" s="119"/>
      <c r="D446" s="119"/>
      <c r="E446" s="119"/>
      <c r="F446" s="11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18"/>
      <c r="C447" s="119"/>
      <c r="D447" s="119"/>
      <c r="E447" s="119"/>
      <c r="F447" s="11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18"/>
      <c r="C448" s="119"/>
      <c r="D448" s="119"/>
      <c r="E448" s="119"/>
      <c r="F448" s="11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18"/>
      <c r="C449" s="119"/>
      <c r="D449" s="119"/>
      <c r="E449" s="119"/>
      <c r="F449" s="11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18"/>
      <c r="C450" s="119"/>
      <c r="D450" s="119"/>
      <c r="E450" s="119"/>
      <c r="F450" s="11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18"/>
      <c r="C451" s="119"/>
      <c r="D451" s="119"/>
      <c r="E451" s="119"/>
      <c r="F451" s="11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18"/>
      <c r="C452" s="119"/>
      <c r="D452" s="119"/>
      <c r="E452" s="119"/>
      <c r="F452" s="11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18"/>
      <c r="C453" s="119"/>
      <c r="D453" s="119"/>
      <c r="E453" s="119"/>
      <c r="F453" s="11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18"/>
      <c r="C454" s="119"/>
      <c r="D454" s="119"/>
      <c r="E454" s="119"/>
      <c r="F454" s="11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18"/>
      <c r="C455" s="119"/>
      <c r="D455" s="119"/>
      <c r="E455" s="119"/>
      <c r="F455" s="11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18"/>
      <c r="C456" s="119"/>
      <c r="D456" s="119"/>
      <c r="E456" s="119"/>
      <c r="F456" s="11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18"/>
      <c r="C457" s="119"/>
      <c r="D457" s="119"/>
      <c r="E457" s="119"/>
      <c r="F457" s="11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18"/>
      <c r="C458" s="119"/>
      <c r="D458" s="119"/>
      <c r="E458" s="119"/>
      <c r="F458" s="11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18"/>
      <c r="C459" s="119"/>
      <c r="D459" s="119"/>
      <c r="E459" s="119"/>
      <c r="F459" s="11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18"/>
      <c r="C460" s="119"/>
      <c r="D460" s="119"/>
      <c r="E460" s="119"/>
      <c r="F460" s="11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18"/>
      <c r="C461" s="119"/>
      <c r="D461" s="119"/>
      <c r="E461" s="119"/>
      <c r="F461" s="11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18"/>
      <c r="C462" s="119"/>
      <c r="D462" s="119"/>
      <c r="E462" s="119"/>
      <c r="F462" s="11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18"/>
      <c r="C463" s="119"/>
      <c r="D463" s="119"/>
      <c r="E463" s="119"/>
      <c r="F463" s="11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18"/>
      <c r="C464" s="119"/>
      <c r="D464" s="119"/>
      <c r="E464" s="119"/>
      <c r="F464" s="11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18"/>
      <c r="C465" s="119"/>
      <c r="D465" s="119"/>
      <c r="E465" s="119"/>
      <c r="F465" s="11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18"/>
      <c r="C466" s="119"/>
      <c r="D466" s="119"/>
      <c r="E466" s="119"/>
      <c r="F466" s="11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18"/>
      <c r="C467" s="119"/>
      <c r="D467" s="119"/>
      <c r="E467" s="119"/>
      <c r="F467" s="11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18"/>
      <c r="C468" s="119"/>
      <c r="D468" s="119"/>
      <c r="E468" s="119"/>
      <c r="F468" s="11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18"/>
      <c r="C469" s="119"/>
      <c r="D469" s="119"/>
      <c r="E469" s="119"/>
      <c r="F469" s="11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18"/>
      <c r="C470" s="119"/>
      <c r="D470" s="119"/>
      <c r="E470" s="119"/>
      <c r="F470" s="11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18"/>
      <c r="C471" s="119"/>
      <c r="D471" s="119"/>
      <c r="E471" s="119"/>
      <c r="F471" s="11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18"/>
      <c r="C472" s="119"/>
      <c r="D472" s="119"/>
      <c r="E472" s="119"/>
      <c r="F472" s="11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18"/>
      <c r="C473" s="119"/>
      <c r="D473" s="119"/>
      <c r="E473" s="119"/>
      <c r="F473" s="11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18"/>
      <c r="C474" s="119"/>
      <c r="D474" s="119"/>
      <c r="E474" s="119"/>
      <c r="F474" s="11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18"/>
      <c r="C475" s="119"/>
      <c r="D475" s="119"/>
      <c r="E475" s="119"/>
      <c r="F475" s="11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18"/>
      <c r="C476" s="119"/>
      <c r="D476" s="119"/>
      <c r="E476" s="119"/>
      <c r="F476" s="11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18"/>
      <c r="C477" s="119"/>
      <c r="D477" s="119"/>
      <c r="E477" s="119"/>
      <c r="F477" s="11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18"/>
      <c r="C478" s="119"/>
      <c r="D478" s="119"/>
      <c r="E478" s="119"/>
      <c r="F478" s="11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18"/>
      <c r="C479" s="119"/>
      <c r="D479" s="119"/>
      <c r="E479" s="119"/>
      <c r="F479" s="11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18"/>
      <c r="C480" s="119"/>
      <c r="D480" s="119"/>
      <c r="E480" s="119"/>
      <c r="F480" s="11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18"/>
      <c r="C481" s="119"/>
      <c r="D481" s="119"/>
      <c r="E481" s="119"/>
      <c r="F481" s="11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18"/>
      <c r="C482" s="119"/>
      <c r="D482" s="119"/>
      <c r="E482" s="119"/>
      <c r="F482" s="11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18"/>
      <c r="C483" s="119"/>
      <c r="D483" s="119"/>
      <c r="E483" s="119"/>
      <c r="F483" s="11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18"/>
      <c r="C484" s="119"/>
      <c r="D484" s="119"/>
      <c r="E484" s="119"/>
      <c r="F484" s="11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18"/>
      <c r="C485" s="119"/>
      <c r="D485" s="119"/>
      <c r="E485" s="119"/>
      <c r="F485" s="11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18"/>
      <c r="C486" s="119"/>
      <c r="D486" s="119"/>
      <c r="E486" s="119"/>
      <c r="F486" s="11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18"/>
      <c r="C487" s="119"/>
      <c r="D487" s="119"/>
      <c r="E487" s="119"/>
      <c r="F487" s="11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18"/>
      <c r="C488" s="119"/>
      <c r="D488" s="119"/>
      <c r="E488" s="119"/>
      <c r="F488" s="11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18"/>
      <c r="C489" s="119"/>
      <c r="D489" s="119"/>
      <c r="E489" s="119"/>
      <c r="F489" s="11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18"/>
      <c r="C490" s="119"/>
      <c r="D490" s="119"/>
      <c r="E490" s="119"/>
      <c r="F490" s="11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18"/>
      <c r="C491" s="119"/>
      <c r="D491" s="119"/>
      <c r="E491" s="119"/>
      <c r="F491" s="11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18"/>
      <c r="C492" s="119"/>
      <c r="D492" s="119"/>
      <c r="E492" s="119"/>
      <c r="F492" s="11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18"/>
      <c r="C493" s="119"/>
      <c r="D493" s="119"/>
      <c r="E493" s="119"/>
      <c r="F493" s="11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18"/>
      <c r="C494" s="119"/>
      <c r="D494" s="119"/>
      <c r="E494" s="119"/>
      <c r="F494" s="11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18"/>
      <c r="C495" s="119"/>
      <c r="D495" s="119"/>
      <c r="E495" s="119"/>
      <c r="F495" s="11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18"/>
      <c r="C496" s="119"/>
      <c r="D496" s="119"/>
      <c r="E496" s="119"/>
      <c r="F496" s="11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18"/>
      <c r="C497" s="119"/>
      <c r="D497" s="119"/>
      <c r="E497" s="119"/>
      <c r="F497" s="11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18"/>
      <c r="C498" s="119"/>
      <c r="D498" s="119"/>
      <c r="E498" s="119"/>
      <c r="F498" s="11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18"/>
      <c r="C499" s="119"/>
      <c r="D499" s="119"/>
      <c r="E499" s="119"/>
      <c r="F499" s="11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18"/>
      <c r="C500" s="119"/>
      <c r="D500" s="119"/>
      <c r="E500" s="119"/>
      <c r="F500" s="11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18"/>
      <c r="C501" s="119"/>
      <c r="D501" s="119"/>
      <c r="E501" s="119"/>
      <c r="F501" s="11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18"/>
      <c r="C502" s="119"/>
      <c r="D502" s="119"/>
      <c r="E502" s="119"/>
      <c r="F502" s="11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18"/>
      <c r="C503" s="119"/>
      <c r="D503" s="119"/>
      <c r="E503" s="119"/>
      <c r="F503" s="11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18"/>
      <c r="C504" s="119"/>
      <c r="D504" s="119"/>
      <c r="E504" s="119"/>
      <c r="F504" s="11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18"/>
      <c r="C505" s="119"/>
      <c r="D505" s="119"/>
      <c r="E505" s="119"/>
      <c r="F505" s="11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18"/>
      <c r="C506" s="119"/>
      <c r="D506" s="119"/>
      <c r="E506" s="119"/>
      <c r="F506" s="11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18"/>
      <c r="C507" s="119"/>
      <c r="D507" s="119"/>
      <c r="E507" s="119"/>
      <c r="F507" s="11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18"/>
      <c r="C508" s="119"/>
      <c r="D508" s="119"/>
      <c r="E508" s="119"/>
      <c r="F508" s="11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18"/>
      <c r="C509" s="119"/>
      <c r="D509" s="119"/>
      <c r="E509" s="119"/>
      <c r="F509" s="11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18"/>
      <c r="C510" s="119"/>
      <c r="D510" s="119"/>
      <c r="E510" s="119"/>
      <c r="F510" s="11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18"/>
      <c r="C511" s="119"/>
      <c r="D511" s="119"/>
      <c r="E511" s="119"/>
      <c r="F511" s="11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18"/>
      <c r="C512" s="119"/>
      <c r="D512" s="119"/>
      <c r="E512" s="119"/>
      <c r="F512" s="11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18"/>
      <c r="C513" s="119"/>
      <c r="D513" s="119"/>
      <c r="E513" s="119"/>
      <c r="F513" s="11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18"/>
      <c r="C514" s="119"/>
      <c r="D514" s="119"/>
      <c r="E514" s="119"/>
      <c r="F514" s="11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18"/>
      <c r="C515" s="119"/>
      <c r="D515" s="119"/>
      <c r="E515" s="119"/>
      <c r="F515" s="11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18"/>
      <c r="C516" s="119"/>
      <c r="D516" s="119"/>
      <c r="E516" s="119"/>
      <c r="F516" s="11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18"/>
      <c r="C517" s="119"/>
      <c r="D517" s="119"/>
      <c r="E517" s="119"/>
      <c r="F517" s="11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18"/>
      <c r="C518" s="119"/>
      <c r="D518" s="119"/>
      <c r="E518" s="119"/>
      <c r="F518" s="11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18"/>
      <c r="C519" s="119"/>
      <c r="D519" s="119"/>
      <c r="E519" s="119"/>
      <c r="F519" s="11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18"/>
      <c r="C520" s="119"/>
      <c r="D520" s="119"/>
      <c r="E520" s="119"/>
      <c r="F520" s="11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18"/>
      <c r="C521" s="119"/>
      <c r="D521" s="119"/>
      <c r="E521" s="119"/>
      <c r="F521" s="11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18"/>
      <c r="C522" s="119"/>
      <c r="D522" s="119"/>
      <c r="E522" s="119"/>
      <c r="F522" s="11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18"/>
      <c r="C523" s="119"/>
      <c r="D523" s="119"/>
      <c r="E523" s="119"/>
      <c r="F523" s="11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18"/>
      <c r="C524" s="119"/>
      <c r="D524" s="119"/>
      <c r="E524" s="119"/>
      <c r="F524" s="11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18"/>
      <c r="C525" s="119"/>
      <c r="D525" s="119"/>
      <c r="E525" s="119"/>
      <c r="F525" s="11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18"/>
      <c r="C526" s="119"/>
      <c r="D526" s="119"/>
      <c r="E526" s="119"/>
      <c r="F526" s="11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18"/>
      <c r="C527" s="119"/>
      <c r="D527" s="119"/>
      <c r="E527" s="119"/>
      <c r="F527" s="11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18"/>
      <c r="C528" s="119"/>
      <c r="D528" s="119"/>
      <c r="E528" s="119"/>
      <c r="F528" s="11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18"/>
      <c r="C529" s="119"/>
      <c r="D529" s="119"/>
      <c r="E529" s="119"/>
      <c r="F529" s="11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18"/>
      <c r="C530" s="119"/>
      <c r="D530" s="119"/>
      <c r="E530" s="119"/>
      <c r="F530" s="11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18"/>
      <c r="C531" s="119"/>
      <c r="D531" s="119"/>
      <c r="E531" s="119"/>
      <c r="F531" s="11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18"/>
      <c r="C532" s="119"/>
      <c r="D532" s="119"/>
      <c r="E532" s="119"/>
      <c r="F532" s="11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18"/>
      <c r="C533" s="119"/>
      <c r="D533" s="119"/>
      <c r="E533" s="119"/>
      <c r="F533" s="11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18"/>
      <c r="C534" s="119"/>
      <c r="D534" s="119"/>
      <c r="E534" s="119"/>
      <c r="F534" s="11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18"/>
      <c r="C535" s="119"/>
      <c r="D535" s="119"/>
      <c r="E535" s="119"/>
      <c r="F535" s="11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18"/>
      <c r="C536" s="119"/>
      <c r="D536" s="119"/>
      <c r="E536" s="119"/>
      <c r="F536" s="11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18"/>
      <c r="C537" s="119"/>
      <c r="D537" s="119"/>
      <c r="E537" s="119"/>
      <c r="F537" s="11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18"/>
      <c r="C538" s="119"/>
      <c r="D538" s="119"/>
      <c r="E538" s="119"/>
      <c r="F538" s="11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18"/>
      <c r="C539" s="119"/>
      <c r="D539" s="119"/>
      <c r="E539" s="119"/>
      <c r="F539" s="11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18"/>
      <c r="C540" s="119"/>
      <c r="D540" s="119"/>
      <c r="E540" s="119"/>
      <c r="F540" s="11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18"/>
      <c r="C541" s="119"/>
      <c r="D541" s="119"/>
      <c r="E541" s="119"/>
      <c r="F541" s="11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18"/>
      <c r="C542" s="119"/>
      <c r="D542" s="119"/>
      <c r="E542" s="119"/>
      <c r="F542" s="11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18"/>
      <c r="C543" s="119"/>
      <c r="D543" s="119"/>
      <c r="E543" s="119"/>
      <c r="F543" s="11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18"/>
      <c r="C544" s="119"/>
      <c r="D544" s="119"/>
      <c r="E544" s="119"/>
      <c r="F544" s="11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18"/>
      <c r="C545" s="119"/>
      <c r="D545" s="119"/>
      <c r="E545" s="119"/>
      <c r="F545" s="11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18"/>
      <c r="C546" s="119"/>
      <c r="D546" s="119"/>
      <c r="E546" s="119"/>
      <c r="F546" s="11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18"/>
      <c r="C547" s="119"/>
      <c r="D547" s="119"/>
      <c r="E547" s="119"/>
      <c r="F547" s="11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18"/>
      <c r="C548" s="119"/>
      <c r="D548" s="119"/>
      <c r="E548" s="119"/>
      <c r="F548" s="11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18"/>
      <c r="C549" s="119"/>
      <c r="D549" s="119"/>
      <c r="E549" s="119"/>
      <c r="F549" s="11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18"/>
      <c r="C550" s="119"/>
      <c r="D550" s="119"/>
      <c r="E550" s="119"/>
      <c r="F550" s="11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18"/>
      <c r="C551" s="119"/>
      <c r="D551" s="119"/>
      <c r="E551" s="119"/>
      <c r="F551" s="11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18"/>
      <c r="C552" s="119"/>
      <c r="D552" s="119"/>
      <c r="E552" s="119"/>
      <c r="F552" s="11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18"/>
      <c r="C553" s="119"/>
      <c r="D553" s="119"/>
      <c r="E553" s="119"/>
      <c r="F553" s="11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18"/>
      <c r="C554" s="119"/>
      <c r="D554" s="119"/>
      <c r="E554" s="119"/>
      <c r="F554" s="11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18"/>
      <c r="C555" s="119"/>
      <c r="D555" s="119"/>
      <c r="E555" s="119"/>
      <c r="F555" s="11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18"/>
      <c r="C556" s="119"/>
      <c r="D556" s="119"/>
      <c r="E556" s="119"/>
      <c r="F556" s="11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18"/>
      <c r="C557" s="119"/>
      <c r="D557" s="119"/>
      <c r="E557" s="119"/>
      <c r="F557" s="11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18"/>
      <c r="C558" s="119"/>
      <c r="D558" s="119"/>
      <c r="E558" s="119"/>
      <c r="F558" s="11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18"/>
      <c r="C559" s="119"/>
      <c r="D559" s="119"/>
      <c r="E559" s="119"/>
      <c r="F559" s="11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18"/>
      <c r="C560" s="119"/>
      <c r="D560" s="119"/>
      <c r="E560" s="119"/>
      <c r="F560" s="11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18"/>
      <c r="C561" s="119"/>
      <c r="D561" s="119"/>
      <c r="E561" s="119"/>
      <c r="F561" s="11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18"/>
      <c r="C562" s="119"/>
      <c r="D562" s="119"/>
      <c r="E562" s="119"/>
      <c r="F562" s="11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18"/>
      <c r="C563" s="119"/>
      <c r="D563" s="119"/>
      <c r="E563" s="119"/>
      <c r="F563" s="11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18"/>
      <c r="C564" s="119"/>
      <c r="D564" s="119"/>
      <c r="E564" s="119"/>
      <c r="F564" s="11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18"/>
      <c r="C565" s="119"/>
      <c r="D565" s="119"/>
      <c r="E565" s="119"/>
      <c r="F565" s="11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18"/>
      <c r="C566" s="119"/>
      <c r="D566" s="119"/>
      <c r="E566" s="119"/>
      <c r="F566" s="11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18"/>
      <c r="C567" s="119"/>
      <c r="D567" s="119"/>
      <c r="E567" s="119"/>
      <c r="F567" s="11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18"/>
      <c r="C568" s="119"/>
      <c r="D568" s="119"/>
      <c r="E568" s="119"/>
      <c r="F568" s="11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18"/>
      <c r="C569" s="119"/>
      <c r="D569" s="119"/>
      <c r="E569" s="119"/>
      <c r="F569" s="11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18"/>
      <c r="C570" s="119"/>
      <c r="D570" s="119"/>
      <c r="E570" s="119"/>
      <c r="F570" s="11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18"/>
      <c r="C571" s="119"/>
      <c r="D571" s="119"/>
      <c r="E571" s="119"/>
      <c r="F571" s="11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18"/>
      <c r="C572" s="119"/>
      <c r="D572" s="119"/>
      <c r="E572" s="119"/>
      <c r="F572" s="11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18"/>
      <c r="C573" s="119"/>
      <c r="D573" s="119"/>
      <c r="E573" s="119"/>
      <c r="F573" s="11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18"/>
      <c r="C574" s="119"/>
      <c r="D574" s="119"/>
      <c r="E574" s="119"/>
      <c r="F574" s="11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18"/>
      <c r="C575" s="119"/>
      <c r="D575" s="119"/>
      <c r="E575" s="119"/>
      <c r="F575" s="11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18"/>
      <c r="C576" s="119"/>
      <c r="D576" s="119"/>
      <c r="E576" s="119"/>
      <c r="F576" s="11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18"/>
      <c r="C577" s="119"/>
      <c r="D577" s="119"/>
      <c r="E577" s="119"/>
      <c r="F577" s="11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18"/>
      <c r="C578" s="119"/>
      <c r="D578" s="119"/>
      <c r="E578" s="119"/>
      <c r="F578" s="11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18"/>
      <c r="C579" s="119"/>
      <c r="D579" s="119"/>
      <c r="E579" s="119"/>
      <c r="F579" s="11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18"/>
      <c r="C580" s="119"/>
      <c r="D580" s="119"/>
      <c r="E580" s="119"/>
      <c r="F580" s="11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18"/>
      <c r="C581" s="119"/>
      <c r="D581" s="119"/>
      <c r="E581" s="119"/>
      <c r="F581" s="11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18"/>
      <c r="C582" s="119"/>
      <c r="D582" s="119"/>
      <c r="E582" s="119"/>
      <c r="F582" s="11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18"/>
      <c r="C583" s="119"/>
      <c r="D583" s="119"/>
      <c r="E583" s="119"/>
      <c r="F583" s="11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18"/>
      <c r="C584" s="119"/>
      <c r="D584" s="119"/>
      <c r="E584" s="119"/>
      <c r="F584" s="11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18"/>
      <c r="C585" s="119"/>
      <c r="D585" s="119"/>
      <c r="E585" s="119"/>
      <c r="F585" s="11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18"/>
      <c r="C586" s="119"/>
      <c r="D586" s="119"/>
      <c r="E586" s="119"/>
      <c r="F586" s="11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18"/>
      <c r="C587" s="119"/>
      <c r="D587" s="119"/>
      <c r="E587" s="119"/>
      <c r="F587" s="11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18"/>
      <c r="C588" s="119"/>
      <c r="D588" s="119"/>
      <c r="E588" s="119"/>
      <c r="F588" s="11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18"/>
      <c r="C589" s="119"/>
      <c r="D589" s="119"/>
      <c r="E589" s="119"/>
      <c r="F589" s="11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18"/>
      <c r="C590" s="119"/>
      <c r="D590" s="119"/>
      <c r="E590" s="119"/>
      <c r="F590" s="11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18"/>
      <c r="C591" s="119"/>
      <c r="D591" s="119"/>
      <c r="E591" s="119"/>
      <c r="F591" s="11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18"/>
      <c r="C592" s="119"/>
      <c r="D592" s="119"/>
      <c r="E592" s="119"/>
      <c r="F592" s="11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18"/>
      <c r="C593" s="119"/>
      <c r="D593" s="119"/>
      <c r="E593" s="119"/>
      <c r="F593" s="11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18"/>
      <c r="C594" s="119"/>
      <c r="D594" s="119"/>
      <c r="E594" s="119"/>
      <c r="F594" s="11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18"/>
      <c r="C595" s="119"/>
      <c r="D595" s="119"/>
      <c r="E595" s="119"/>
      <c r="F595" s="11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18"/>
      <c r="C596" s="119"/>
      <c r="D596" s="119"/>
      <c r="E596" s="119"/>
      <c r="F596" s="11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18"/>
      <c r="C597" s="119"/>
      <c r="D597" s="119"/>
      <c r="E597" s="119"/>
      <c r="F597" s="11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18"/>
      <c r="C598" s="119"/>
      <c r="D598" s="119"/>
      <c r="E598" s="119"/>
      <c r="F598" s="11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18"/>
      <c r="C599" s="119"/>
      <c r="D599" s="119"/>
      <c r="E599" s="119"/>
      <c r="F599" s="11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18"/>
      <c r="C600" s="119"/>
      <c r="D600" s="119"/>
      <c r="E600" s="119"/>
      <c r="F600" s="11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18"/>
      <c r="C601" s="119"/>
      <c r="D601" s="119"/>
      <c r="E601" s="119"/>
      <c r="F601" s="11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18"/>
      <c r="C602" s="119"/>
      <c r="D602" s="119"/>
      <c r="E602" s="119"/>
      <c r="F602" s="11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18"/>
      <c r="C603" s="119"/>
      <c r="D603" s="119"/>
      <c r="E603" s="119"/>
      <c r="F603" s="11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18"/>
      <c r="C604" s="119"/>
      <c r="D604" s="119"/>
      <c r="E604" s="119"/>
      <c r="F604" s="11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18"/>
      <c r="C605" s="119"/>
      <c r="D605" s="119"/>
      <c r="E605" s="119"/>
      <c r="F605" s="11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18"/>
      <c r="C606" s="119"/>
      <c r="D606" s="119"/>
      <c r="E606" s="119"/>
      <c r="F606" s="11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18"/>
      <c r="C607" s="119"/>
      <c r="D607" s="119"/>
      <c r="E607" s="119"/>
      <c r="F607" s="11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18"/>
      <c r="C608" s="119"/>
      <c r="D608" s="119"/>
      <c r="E608" s="119"/>
      <c r="F608" s="11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18"/>
      <c r="C609" s="119"/>
      <c r="D609" s="119"/>
      <c r="E609" s="119"/>
      <c r="F609" s="11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18"/>
      <c r="C610" s="119"/>
      <c r="D610" s="119"/>
      <c r="E610" s="119"/>
      <c r="F610" s="11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18"/>
      <c r="C611" s="119"/>
      <c r="D611" s="119"/>
      <c r="E611" s="119"/>
      <c r="F611" s="11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18"/>
      <c r="C612" s="119"/>
      <c r="D612" s="119"/>
      <c r="E612" s="119"/>
      <c r="F612" s="11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18"/>
      <c r="C613" s="119"/>
      <c r="D613" s="119"/>
      <c r="E613" s="119"/>
      <c r="F613" s="11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18"/>
      <c r="C614" s="119"/>
      <c r="D614" s="119"/>
      <c r="E614" s="119"/>
      <c r="F614" s="11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18"/>
      <c r="C615" s="119"/>
      <c r="D615" s="119"/>
      <c r="E615" s="119"/>
      <c r="F615" s="11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18"/>
      <c r="C616" s="119"/>
      <c r="D616" s="119"/>
      <c r="E616" s="119"/>
      <c r="F616" s="11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18"/>
      <c r="C617" s="119"/>
      <c r="D617" s="119"/>
      <c r="E617" s="119"/>
      <c r="F617" s="11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18"/>
      <c r="C618" s="119"/>
      <c r="D618" s="119"/>
      <c r="E618" s="119"/>
      <c r="F618" s="11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18"/>
      <c r="C619" s="119"/>
      <c r="D619" s="119"/>
      <c r="E619" s="119"/>
      <c r="F619" s="11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18"/>
      <c r="C620" s="119"/>
      <c r="D620" s="119"/>
      <c r="E620" s="119"/>
      <c r="F620" s="11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18"/>
      <c r="C621" s="119"/>
      <c r="D621" s="119"/>
      <c r="E621" s="119"/>
      <c r="F621" s="11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18"/>
      <c r="C622" s="119"/>
      <c r="D622" s="119"/>
      <c r="E622" s="119"/>
      <c r="F622" s="11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18"/>
      <c r="C623" s="119"/>
      <c r="D623" s="119"/>
      <c r="E623" s="119"/>
      <c r="F623" s="11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18"/>
      <c r="C624" s="119"/>
      <c r="D624" s="119"/>
      <c r="E624" s="119"/>
      <c r="F624" s="11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18"/>
      <c r="C625" s="119"/>
      <c r="D625" s="119"/>
      <c r="E625" s="119"/>
      <c r="F625" s="11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18"/>
      <c r="C626" s="119"/>
      <c r="D626" s="119"/>
      <c r="E626" s="119"/>
      <c r="F626" s="11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18"/>
      <c r="C627" s="119"/>
      <c r="D627" s="119"/>
      <c r="E627" s="119"/>
      <c r="F627" s="11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18"/>
      <c r="C628" s="119"/>
      <c r="D628" s="119"/>
      <c r="E628" s="119"/>
      <c r="F628" s="11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18"/>
      <c r="C629" s="119"/>
      <c r="D629" s="119"/>
      <c r="E629" s="119"/>
      <c r="F629" s="11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18"/>
      <c r="C630" s="119"/>
      <c r="D630" s="119"/>
      <c r="E630" s="119"/>
      <c r="F630" s="11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18"/>
      <c r="C631" s="119"/>
      <c r="D631" s="119"/>
      <c r="E631" s="119"/>
      <c r="F631" s="11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18"/>
      <c r="C632" s="119"/>
      <c r="D632" s="119"/>
      <c r="E632" s="119"/>
      <c r="F632" s="11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18"/>
      <c r="C633" s="119"/>
      <c r="D633" s="119"/>
      <c r="E633" s="119"/>
      <c r="F633" s="11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18"/>
      <c r="C634" s="119"/>
      <c r="D634" s="119"/>
      <c r="E634" s="119"/>
      <c r="F634" s="11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18"/>
      <c r="C635" s="119"/>
      <c r="D635" s="119"/>
      <c r="E635" s="119"/>
      <c r="F635" s="11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18"/>
      <c r="C636" s="119"/>
      <c r="D636" s="119"/>
      <c r="E636" s="119"/>
      <c r="F636" s="11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18"/>
      <c r="C637" s="119"/>
      <c r="D637" s="119"/>
      <c r="E637" s="119"/>
      <c r="F637" s="11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18"/>
      <c r="C638" s="119"/>
      <c r="D638" s="119"/>
      <c r="E638" s="119"/>
      <c r="F638" s="11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18"/>
      <c r="C639" s="119"/>
      <c r="D639" s="119"/>
      <c r="E639" s="119"/>
      <c r="F639" s="11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18"/>
      <c r="C640" s="119"/>
      <c r="D640" s="119"/>
      <c r="E640" s="119"/>
      <c r="F640" s="11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18"/>
      <c r="C641" s="119"/>
      <c r="D641" s="119"/>
      <c r="E641" s="119"/>
      <c r="F641" s="11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18"/>
      <c r="C642" s="119"/>
      <c r="D642" s="119"/>
      <c r="E642" s="119"/>
      <c r="F642" s="11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18"/>
      <c r="C643" s="119"/>
      <c r="D643" s="119"/>
      <c r="E643" s="119"/>
      <c r="F643" s="11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18"/>
      <c r="C644" s="119"/>
      <c r="D644" s="119"/>
      <c r="E644" s="119"/>
      <c r="F644" s="11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18"/>
      <c r="C645" s="119"/>
      <c r="D645" s="119"/>
      <c r="E645" s="119"/>
      <c r="F645" s="11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18"/>
      <c r="C646" s="119"/>
      <c r="D646" s="119"/>
      <c r="E646" s="119"/>
      <c r="F646" s="11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18"/>
      <c r="C647" s="119"/>
      <c r="D647" s="119"/>
      <c r="E647" s="119"/>
      <c r="F647" s="11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18"/>
      <c r="C648" s="119"/>
      <c r="D648" s="119"/>
      <c r="E648" s="119"/>
      <c r="F648" s="11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18"/>
      <c r="C649" s="119"/>
      <c r="D649" s="119"/>
      <c r="E649" s="119"/>
      <c r="F649" s="11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18"/>
      <c r="C650" s="119"/>
      <c r="D650" s="119"/>
      <c r="E650" s="119"/>
      <c r="F650" s="11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18"/>
      <c r="C651" s="119"/>
      <c r="D651" s="119"/>
      <c r="E651" s="119"/>
      <c r="F651" s="11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18"/>
      <c r="C652" s="119"/>
      <c r="D652" s="119"/>
      <c r="E652" s="119"/>
      <c r="F652" s="11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18"/>
      <c r="C653" s="119"/>
      <c r="D653" s="119"/>
      <c r="E653" s="119"/>
      <c r="F653" s="11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18"/>
      <c r="C654" s="119"/>
      <c r="D654" s="119"/>
      <c r="E654" s="119"/>
      <c r="F654" s="11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18"/>
      <c r="C655" s="119"/>
      <c r="D655" s="119"/>
      <c r="E655" s="119"/>
      <c r="F655" s="11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18"/>
      <c r="C656" s="119"/>
      <c r="D656" s="119"/>
      <c r="E656" s="119"/>
      <c r="F656" s="11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18"/>
      <c r="C657" s="119"/>
      <c r="D657" s="119"/>
      <c r="E657" s="119"/>
      <c r="F657" s="11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18"/>
      <c r="C658" s="119"/>
      <c r="D658" s="119"/>
      <c r="E658" s="119"/>
      <c r="F658" s="11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18"/>
      <c r="C659" s="119"/>
      <c r="D659" s="119"/>
      <c r="E659" s="119"/>
      <c r="F659" s="11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18"/>
      <c r="C660" s="119"/>
      <c r="D660" s="119"/>
      <c r="E660" s="119"/>
      <c r="F660" s="11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18"/>
      <c r="C661" s="119"/>
      <c r="D661" s="119"/>
      <c r="E661" s="119"/>
      <c r="F661" s="11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18"/>
      <c r="C662" s="119"/>
      <c r="D662" s="119"/>
      <c r="E662" s="119"/>
      <c r="F662" s="11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18"/>
      <c r="C663" s="119"/>
      <c r="D663" s="119"/>
      <c r="E663" s="119"/>
      <c r="F663" s="11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18"/>
      <c r="C664" s="119"/>
      <c r="D664" s="119"/>
      <c r="E664" s="119"/>
      <c r="F664" s="11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18"/>
      <c r="C665" s="119"/>
      <c r="D665" s="119"/>
      <c r="E665" s="119"/>
      <c r="F665" s="11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18"/>
      <c r="C666" s="119"/>
      <c r="D666" s="119"/>
      <c r="E666" s="119"/>
      <c r="F666" s="11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18"/>
      <c r="C667" s="119"/>
      <c r="D667" s="119"/>
      <c r="E667" s="119"/>
      <c r="F667" s="11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18"/>
      <c r="C668" s="119"/>
      <c r="D668" s="119"/>
      <c r="E668" s="119"/>
      <c r="F668" s="11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18"/>
      <c r="C669" s="119"/>
      <c r="D669" s="119"/>
      <c r="E669" s="119"/>
      <c r="F669" s="11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18"/>
      <c r="C670" s="119"/>
      <c r="D670" s="119"/>
      <c r="E670" s="119"/>
      <c r="F670" s="11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18"/>
      <c r="C671" s="119"/>
      <c r="D671" s="119"/>
      <c r="E671" s="119"/>
      <c r="F671" s="11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18"/>
      <c r="C672" s="119"/>
      <c r="D672" s="119"/>
      <c r="E672" s="119"/>
      <c r="F672" s="11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18"/>
      <c r="C673" s="119"/>
      <c r="D673" s="119"/>
      <c r="E673" s="119"/>
      <c r="F673" s="11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18"/>
      <c r="C674" s="119"/>
      <c r="D674" s="119"/>
      <c r="E674" s="119"/>
      <c r="F674" s="11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18"/>
      <c r="C675" s="119"/>
      <c r="D675" s="119"/>
      <c r="E675" s="119"/>
      <c r="F675" s="11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18"/>
      <c r="C676" s="119"/>
      <c r="D676" s="119"/>
      <c r="E676" s="119"/>
      <c r="F676" s="11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18"/>
      <c r="C677" s="119"/>
      <c r="D677" s="119"/>
      <c r="E677" s="119"/>
      <c r="F677" s="11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18"/>
      <c r="C678" s="119"/>
      <c r="D678" s="119"/>
      <c r="E678" s="119"/>
      <c r="F678" s="11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18"/>
      <c r="C679" s="119"/>
      <c r="D679" s="119"/>
      <c r="E679" s="119"/>
      <c r="F679" s="11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18"/>
      <c r="C680" s="119"/>
      <c r="D680" s="119"/>
      <c r="E680" s="119"/>
      <c r="F680" s="11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18"/>
      <c r="C681" s="119"/>
      <c r="D681" s="119"/>
      <c r="E681" s="119"/>
      <c r="F681" s="11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18"/>
      <c r="C682" s="119"/>
      <c r="D682" s="119"/>
      <c r="E682" s="119"/>
      <c r="F682" s="11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18"/>
      <c r="C683" s="119"/>
      <c r="D683" s="119"/>
      <c r="E683" s="119"/>
      <c r="F683" s="11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18"/>
      <c r="C684" s="119"/>
      <c r="D684" s="119"/>
      <c r="E684" s="119"/>
      <c r="F684" s="11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18"/>
      <c r="C685" s="119"/>
      <c r="D685" s="119"/>
      <c r="E685" s="119"/>
      <c r="F685" s="11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18"/>
      <c r="C686" s="119"/>
      <c r="D686" s="119"/>
      <c r="E686" s="119"/>
      <c r="F686" s="11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18"/>
      <c r="C687" s="119"/>
      <c r="D687" s="119"/>
      <c r="E687" s="119"/>
      <c r="F687" s="11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18"/>
      <c r="C688" s="119"/>
      <c r="D688" s="119"/>
      <c r="E688" s="119"/>
      <c r="F688" s="11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18"/>
      <c r="C689" s="119"/>
      <c r="D689" s="119"/>
      <c r="E689" s="119"/>
      <c r="F689" s="11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18"/>
      <c r="C690" s="119"/>
      <c r="D690" s="119"/>
      <c r="E690" s="119"/>
      <c r="F690" s="11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18"/>
      <c r="C691" s="119"/>
      <c r="D691" s="119"/>
      <c r="E691" s="119"/>
      <c r="F691" s="11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18"/>
      <c r="C692" s="119"/>
      <c r="D692" s="119"/>
      <c r="E692" s="119"/>
      <c r="F692" s="11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18"/>
      <c r="C693" s="119"/>
      <c r="D693" s="119"/>
      <c r="E693" s="119"/>
      <c r="F693" s="11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18"/>
      <c r="C694" s="119"/>
      <c r="D694" s="119"/>
      <c r="E694" s="119"/>
      <c r="F694" s="11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18"/>
      <c r="C695" s="119"/>
      <c r="D695" s="119"/>
      <c r="E695" s="119"/>
      <c r="F695" s="11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18"/>
      <c r="C696" s="119"/>
      <c r="D696" s="119"/>
      <c r="E696" s="119"/>
      <c r="F696" s="11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18"/>
      <c r="C697" s="119"/>
      <c r="D697" s="119"/>
      <c r="E697" s="119"/>
      <c r="F697" s="11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18"/>
      <c r="C698" s="119"/>
      <c r="D698" s="119"/>
      <c r="E698" s="119"/>
      <c r="F698" s="11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18"/>
      <c r="C699" s="119"/>
      <c r="D699" s="119"/>
      <c r="E699" s="119"/>
      <c r="F699" s="11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18"/>
      <c r="C700" s="119"/>
      <c r="D700" s="119"/>
      <c r="E700" s="119"/>
      <c r="F700" s="11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18"/>
      <c r="C701" s="119"/>
      <c r="D701" s="119"/>
      <c r="E701" s="119"/>
      <c r="F701" s="11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18"/>
      <c r="C702" s="119"/>
      <c r="D702" s="119"/>
      <c r="E702" s="119"/>
      <c r="F702" s="11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18"/>
      <c r="C703" s="119"/>
      <c r="D703" s="119"/>
      <c r="E703" s="119"/>
      <c r="F703" s="11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18"/>
      <c r="C704" s="119"/>
      <c r="D704" s="119"/>
      <c r="E704" s="119"/>
      <c r="F704" s="11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18"/>
      <c r="C705" s="119"/>
      <c r="D705" s="119"/>
      <c r="E705" s="119"/>
      <c r="F705" s="11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18"/>
      <c r="C706" s="119"/>
      <c r="D706" s="119"/>
      <c r="E706" s="119"/>
      <c r="F706" s="11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18"/>
      <c r="C707" s="119"/>
      <c r="D707" s="119"/>
      <c r="E707" s="119"/>
      <c r="F707" s="11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18"/>
      <c r="C708" s="119"/>
      <c r="D708" s="119"/>
      <c r="E708" s="119"/>
      <c r="F708" s="11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18"/>
      <c r="C709" s="119"/>
      <c r="D709" s="119"/>
      <c r="E709" s="119"/>
      <c r="F709" s="11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18"/>
      <c r="C710" s="119"/>
      <c r="D710" s="119"/>
      <c r="E710" s="119"/>
      <c r="F710" s="11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18"/>
      <c r="C711" s="119"/>
      <c r="D711" s="119"/>
      <c r="E711" s="119"/>
      <c r="F711" s="11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18"/>
      <c r="C712" s="119"/>
      <c r="D712" s="119"/>
      <c r="E712" s="119"/>
      <c r="F712" s="11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18"/>
      <c r="C713" s="119"/>
      <c r="D713" s="119"/>
      <c r="E713" s="119"/>
      <c r="F713" s="11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18"/>
      <c r="C714" s="119"/>
      <c r="D714" s="119"/>
      <c r="E714" s="119"/>
      <c r="F714" s="11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18"/>
      <c r="C715" s="119"/>
      <c r="D715" s="119"/>
      <c r="E715" s="119"/>
      <c r="F715" s="11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18"/>
      <c r="C716" s="119"/>
      <c r="D716" s="119"/>
      <c r="E716" s="119"/>
      <c r="F716" s="11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18"/>
      <c r="C717" s="119"/>
      <c r="D717" s="119"/>
      <c r="E717" s="119"/>
      <c r="F717" s="11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18"/>
      <c r="C718" s="119"/>
      <c r="D718" s="119"/>
      <c r="E718" s="119"/>
      <c r="F718" s="11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18"/>
      <c r="C719" s="119"/>
      <c r="D719" s="119"/>
      <c r="E719" s="119"/>
      <c r="F719" s="11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18"/>
      <c r="C720" s="119"/>
      <c r="D720" s="119"/>
      <c r="E720" s="119"/>
      <c r="F720" s="11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18"/>
      <c r="C721" s="119"/>
      <c r="D721" s="119"/>
      <c r="E721" s="119"/>
      <c r="F721" s="11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18"/>
      <c r="C722" s="119"/>
      <c r="D722" s="119"/>
      <c r="E722" s="119"/>
      <c r="F722" s="11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18"/>
      <c r="C723" s="119"/>
      <c r="D723" s="119"/>
      <c r="E723" s="119"/>
      <c r="F723" s="11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18"/>
      <c r="C724" s="119"/>
      <c r="D724" s="119"/>
      <c r="E724" s="119"/>
      <c r="F724" s="11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18"/>
      <c r="C725" s="119"/>
      <c r="D725" s="119"/>
      <c r="E725" s="119"/>
      <c r="F725" s="11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18"/>
      <c r="C726" s="119"/>
      <c r="D726" s="119"/>
      <c r="E726" s="119"/>
      <c r="F726" s="11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18"/>
      <c r="C727" s="119"/>
      <c r="D727" s="119"/>
      <c r="E727" s="119"/>
      <c r="F727" s="11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18"/>
      <c r="C728" s="119"/>
      <c r="D728" s="119"/>
      <c r="E728" s="119"/>
      <c r="F728" s="11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18"/>
      <c r="C729" s="119"/>
      <c r="D729" s="119"/>
      <c r="E729" s="119"/>
      <c r="F729" s="11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18"/>
      <c r="C730" s="119"/>
      <c r="D730" s="119"/>
      <c r="E730" s="119"/>
      <c r="F730" s="11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18"/>
      <c r="C731" s="119"/>
      <c r="D731" s="119"/>
      <c r="E731" s="119"/>
      <c r="F731" s="11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18"/>
      <c r="C732" s="119"/>
      <c r="D732" s="119"/>
      <c r="E732" s="119"/>
      <c r="F732" s="11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18"/>
      <c r="C733" s="119"/>
      <c r="D733" s="119"/>
      <c r="E733" s="119"/>
      <c r="F733" s="11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18"/>
      <c r="C734" s="119"/>
      <c r="D734" s="119"/>
      <c r="E734" s="119"/>
      <c r="F734" s="11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18"/>
      <c r="C735" s="119"/>
      <c r="D735" s="119"/>
      <c r="E735" s="119"/>
      <c r="F735" s="11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18"/>
      <c r="C736" s="119"/>
      <c r="D736" s="119"/>
      <c r="E736" s="119"/>
      <c r="F736" s="11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18"/>
      <c r="C737" s="119"/>
      <c r="D737" s="119"/>
      <c r="E737" s="119"/>
      <c r="F737" s="11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18"/>
      <c r="C738" s="119"/>
      <c r="D738" s="119"/>
      <c r="E738" s="119"/>
      <c r="F738" s="11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18"/>
      <c r="C739" s="119"/>
      <c r="D739" s="119"/>
      <c r="E739" s="119"/>
      <c r="F739" s="11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18"/>
      <c r="C740" s="119"/>
      <c r="D740" s="119"/>
      <c r="E740" s="119"/>
      <c r="F740" s="11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18"/>
      <c r="C741" s="119"/>
      <c r="D741" s="119"/>
      <c r="E741" s="119"/>
      <c r="F741" s="11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18"/>
      <c r="C742" s="119"/>
      <c r="D742" s="119"/>
      <c r="E742" s="119"/>
      <c r="F742" s="11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18"/>
      <c r="C743" s="119"/>
      <c r="D743" s="119"/>
      <c r="E743" s="119"/>
      <c r="F743" s="11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18"/>
      <c r="C744" s="119"/>
      <c r="D744" s="119"/>
      <c r="E744" s="119"/>
      <c r="F744" s="11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18"/>
      <c r="C745" s="119"/>
      <c r="D745" s="119"/>
      <c r="E745" s="119"/>
      <c r="F745" s="11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18"/>
      <c r="C746" s="119"/>
      <c r="D746" s="119"/>
      <c r="E746" s="119"/>
      <c r="F746" s="11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18"/>
      <c r="C747" s="119"/>
      <c r="D747" s="119"/>
      <c r="E747" s="119"/>
      <c r="F747" s="11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18"/>
      <c r="C748" s="119"/>
      <c r="D748" s="119"/>
      <c r="E748" s="119"/>
      <c r="F748" s="11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18"/>
      <c r="C749" s="119"/>
      <c r="D749" s="119"/>
      <c r="E749" s="119"/>
      <c r="F749" s="11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18"/>
      <c r="C750" s="119"/>
      <c r="D750" s="119"/>
      <c r="E750" s="119"/>
      <c r="F750" s="11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18"/>
      <c r="C751" s="119"/>
      <c r="D751" s="119"/>
      <c r="E751" s="119"/>
      <c r="F751" s="11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18"/>
      <c r="C752" s="119"/>
      <c r="D752" s="119"/>
      <c r="E752" s="119"/>
      <c r="F752" s="11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18"/>
      <c r="C753" s="119"/>
      <c r="D753" s="119"/>
      <c r="E753" s="119"/>
      <c r="F753" s="11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18"/>
      <c r="C754" s="119"/>
      <c r="D754" s="119"/>
      <c r="E754" s="119"/>
      <c r="F754" s="11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18"/>
      <c r="C755" s="119"/>
      <c r="D755" s="119"/>
      <c r="E755" s="119"/>
      <c r="F755" s="11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18"/>
      <c r="C756" s="119"/>
      <c r="D756" s="119"/>
      <c r="E756" s="119"/>
      <c r="F756" s="11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18"/>
      <c r="C757" s="119"/>
      <c r="D757" s="119"/>
      <c r="E757" s="119"/>
      <c r="F757" s="11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18"/>
      <c r="C758" s="119"/>
      <c r="D758" s="119"/>
      <c r="E758" s="119"/>
      <c r="F758" s="11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18"/>
      <c r="C759" s="119"/>
      <c r="D759" s="119"/>
      <c r="E759" s="119"/>
      <c r="F759" s="11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18"/>
      <c r="C760" s="119"/>
      <c r="D760" s="119"/>
      <c r="E760" s="119"/>
      <c r="F760" s="11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18"/>
      <c r="C761" s="119"/>
      <c r="D761" s="119"/>
      <c r="E761" s="119"/>
      <c r="F761" s="11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18"/>
      <c r="C762" s="119"/>
      <c r="D762" s="119"/>
      <c r="E762" s="119"/>
      <c r="F762" s="11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18"/>
      <c r="C763" s="119"/>
      <c r="D763" s="119"/>
      <c r="E763" s="119"/>
      <c r="F763" s="11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18"/>
      <c r="C764" s="119"/>
      <c r="D764" s="119"/>
      <c r="E764" s="119"/>
      <c r="F764" s="11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18"/>
      <c r="C765" s="119"/>
      <c r="D765" s="119"/>
      <c r="E765" s="119"/>
      <c r="F765" s="11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18"/>
      <c r="C766" s="119"/>
      <c r="D766" s="119"/>
      <c r="E766" s="119"/>
      <c r="F766" s="11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18"/>
      <c r="C767" s="119"/>
      <c r="D767" s="119"/>
      <c r="E767" s="119"/>
      <c r="F767" s="11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18"/>
      <c r="C768" s="119"/>
      <c r="D768" s="119"/>
      <c r="E768" s="119"/>
      <c r="F768" s="11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18"/>
      <c r="C769" s="119"/>
      <c r="D769" s="119"/>
      <c r="E769" s="119"/>
      <c r="F769" s="11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18"/>
      <c r="C770" s="119"/>
      <c r="D770" s="119"/>
      <c r="E770" s="119"/>
      <c r="F770" s="11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18"/>
      <c r="C771" s="119"/>
      <c r="D771" s="119"/>
      <c r="E771" s="119"/>
      <c r="F771" s="11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18"/>
      <c r="C772" s="119"/>
      <c r="D772" s="119"/>
      <c r="E772" s="119"/>
      <c r="F772" s="11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18"/>
      <c r="C773" s="119"/>
      <c r="D773" s="119"/>
      <c r="E773" s="119"/>
      <c r="F773" s="11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18"/>
      <c r="C774" s="119"/>
      <c r="D774" s="119"/>
      <c r="E774" s="119"/>
      <c r="F774" s="11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18"/>
      <c r="C775" s="119"/>
      <c r="D775" s="119"/>
      <c r="E775" s="119"/>
      <c r="F775" s="11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18"/>
      <c r="C776" s="119"/>
      <c r="D776" s="119"/>
      <c r="E776" s="119"/>
      <c r="F776" s="11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18"/>
      <c r="C777" s="119"/>
      <c r="D777" s="119"/>
      <c r="E777" s="119"/>
      <c r="F777" s="11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18"/>
      <c r="C778" s="119"/>
      <c r="D778" s="119"/>
      <c r="E778" s="119"/>
      <c r="F778" s="11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18"/>
      <c r="C779" s="119"/>
      <c r="D779" s="119"/>
      <c r="E779" s="119"/>
      <c r="F779" s="11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18"/>
      <c r="C780" s="119"/>
      <c r="D780" s="119"/>
      <c r="E780" s="119"/>
      <c r="F780" s="11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18"/>
      <c r="C781" s="119"/>
      <c r="D781" s="119"/>
      <c r="E781" s="119"/>
      <c r="F781" s="11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18"/>
      <c r="C782" s="119"/>
      <c r="D782" s="119"/>
      <c r="E782" s="119"/>
      <c r="F782" s="11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18"/>
      <c r="C783" s="119"/>
      <c r="D783" s="119"/>
      <c r="E783" s="119"/>
      <c r="F783" s="11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18"/>
      <c r="C784" s="119"/>
      <c r="D784" s="119"/>
      <c r="E784" s="119"/>
      <c r="F784" s="11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18"/>
      <c r="C785" s="119"/>
      <c r="D785" s="119"/>
      <c r="E785" s="119"/>
      <c r="F785" s="11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18"/>
      <c r="C786" s="119"/>
      <c r="D786" s="119"/>
      <c r="E786" s="119"/>
      <c r="F786" s="11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18"/>
      <c r="C787" s="119"/>
      <c r="D787" s="119"/>
      <c r="E787" s="119"/>
      <c r="F787" s="11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18"/>
      <c r="C788" s="119"/>
      <c r="D788" s="119"/>
      <c r="E788" s="119"/>
      <c r="F788" s="11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18"/>
      <c r="C789" s="119"/>
      <c r="D789" s="119"/>
      <c r="E789" s="119"/>
      <c r="F789" s="11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18"/>
      <c r="C790" s="119"/>
      <c r="D790" s="119"/>
      <c r="E790" s="119"/>
      <c r="F790" s="11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18"/>
      <c r="C791" s="119"/>
      <c r="D791" s="119"/>
      <c r="E791" s="119"/>
      <c r="F791" s="11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18"/>
      <c r="C792" s="119"/>
      <c r="D792" s="119"/>
      <c r="E792" s="119"/>
      <c r="F792" s="11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18"/>
      <c r="C793" s="119"/>
      <c r="D793" s="119"/>
      <c r="E793" s="119"/>
      <c r="F793" s="11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18"/>
      <c r="C794" s="119"/>
      <c r="D794" s="119"/>
      <c r="E794" s="119"/>
      <c r="F794" s="11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18"/>
      <c r="C795" s="119"/>
      <c r="D795" s="119"/>
      <c r="E795" s="119"/>
      <c r="F795" s="11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18"/>
      <c r="C796" s="119"/>
      <c r="D796" s="119"/>
      <c r="E796" s="119"/>
      <c r="F796" s="11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18"/>
      <c r="C797" s="119"/>
      <c r="D797" s="119"/>
      <c r="E797" s="119"/>
      <c r="F797" s="11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18"/>
      <c r="C798" s="119"/>
      <c r="D798" s="119"/>
      <c r="E798" s="119"/>
      <c r="F798" s="11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18"/>
      <c r="C799" s="119"/>
      <c r="D799" s="119"/>
      <c r="E799" s="119"/>
      <c r="F799" s="11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18"/>
      <c r="C800" s="119"/>
      <c r="D800" s="119"/>
      <c r="E800" s="119"/>
      <c r="F800" s="11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18"/>
      <c r="C801" s="119"/>
      <c r="D801" s="119"/>
      <c r="E801" s="119"/>
      <c r="F801" s="11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18"/>
      <c r="C802" s="119"/>
      <c r="D802" s="119"/>
      <c r="E802" s="119"/>
      <c r="F802" s="11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18"/>
      <c r="C803" s="119"/>
      <c r="D803" s="119"/>
      <c r="E803" s="119"/>
      <c r="F803" s="11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18"/>
      <c r="C804" s="119"/>
      <c r="D804" s="119"/>
      <c r="E804" s="119"/>
      <c r="F804" s="11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18"/>
      <c r="C805" s="119"/>
      <c r="D805" s="119"/>
      <c r="E805" s="119"/>
      <c r="F805" s="11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18"/>
      <c r="C806" s="119"/>
      <c r="D806" s="119"/>
      <c r="E806" s="119"/>
      <c r="F806" s="11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18"/>
      <c r="C807" s="119"/>
      <c r="D807" s="119"/>
      <c r="E807" s="119"/>
      <c r="F807" s="11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18"/>
      <c r="C808" s="119"/>
      <c r="D808" s="119"/>
      <c r="E808" s="119"/>
      <c r="F808" s="11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18"/>
      <c r="C809" s="119"/>
      <c r="D809" s="119"/>
      <c r="E809" s="119"/>
      <c r="F809" s="11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18"/>
      <c r="C810" s="119"/>
      <c r="D810" s="119"/>
      <c r="E810" s="119"/>
      <c r="F810" s="11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18"/>
      <c r="C811" s="119"/>
      <c r="D811" s="119"/>
      <c r="E811" s="119"/>
      <c r="F811" s="11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18"/>
      <c r="C812" s="119"/>
      <c r="D812" s="119"/>
      <c r="E812" s="119"/>
      <c r="F812" s="11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18"/>
      <c r="C813" s="119"/>
      <c r="D813" s="119"/>
      <c r="E813" s="119"/>
      <c r="F813" s="11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18"/>
      <c r="C814" s="119"/>
      <c r="D814" s="119"/>
      <c r="E814" s="119"/>
      <c r="F814" s="11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18"/>
      <c r="C815" s="119"/>
      <c r="D815" s="119"/>
      <c r="E815" s="119"/>
      <c r="F815" s="11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18"/>
      <c r="C816" s="119"/>
      <c r="D816" s="119"/>
      <c r="E816" s="119"/>
      <c r="F816" s="11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18"/>
      <c r="C817" s="119"/>
      <c r="D817" s="119"/>
      <c r="E817" s="119"/>
      <c r="F817" s="11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18"/>
      <c r="C818" s="119"/>
      <c r="D818" s="119"/>
      <c r="E818" s="119"/>
      <c r="F818" s="11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18"/>
      <c r="C819" s="119"/>
      <c r="D819" s="119"/>
      <c r="E819" s="119"/>
      <c r="F819" s="11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18"/>
      <c r="C820" s="119"/>
      <c r="D820" s="119"/>
      <c r="E820" s="119"/>
      <c r="F820" s="11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18"/>
      <c r="C821" s="119"/>
      <c r="D821" s="119"/>
      <c r="E821" s="119"/>
      <c r="F821" s="11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18"/>
      <c r="C822" s="119"/>
      <c r="D822" s="119"/>
      <c r="E822" s="119"/>
      <c r="F822" s="11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18"/>
      <c r="C823" s="119"/>
      <c r="D823" s="119"/>
      <c r="E823" s="119"/>
      <c r="F823" s="11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18"/>
      <c r="C824" s="119"/>
      <c r="D824" s="119"/>
      <c r="E824" s="119"/>
      <c r="F824" s="11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18"/>
      <c r="C825" s="119"/>
      <c r="D825" s="119"/>
      <c r="E825" s="119"/>
      <c r="F825" s="11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18"/>
      <c r="C826" s="119"/>
      <c r="D826" s="119"/>
      <c r="E826" s="119"/>
      <c r="F826" s="11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18"/>
      <c r="C827" s="119"/>
      <c r="D827" s="119"/>
      <c r="E827" s="119"/>
      <c r="F827" s="11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18"/>
      <c r="C828" s="119"/>
      <c r="D828" s="119"/>
      <c r="E828" s="119"/>
      <c r="F828" s="11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18"/>
      <c r="C829" s="119"/>
      <c r="D829" s="119"/>
      <c r="E829" s="119"/>
      <c r="F829" s="11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18"/>
      <c r="C830" s="119"/>
      <c r="D830" s="119"/>
      <c r="E830" s="119"/>
      <c r="F830" s="11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18"/>
      <c r="C831" s="119"/>
      <c r="D831" s="119"/>
      <c r="E831" s="119"/>
      <c r="F831" s="11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18"/>
      <c r="C832" s="119"/>
      <c r="D832" s="119"/>
      <c r="E832" s="119"/>
      <c r="F832" s="11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18"/>
      <c r="C833" s="119"/>
      <c r="D833" s="119"/>
      <c r="E833" s="119"/>
      <c r="F833" s="11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18"/>
      <c r="C834" s="119"/>
      <c r="D834" s="119"/>
      <c r="E834" s="119"/>
      <c r="F834" s="11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18"/>
      <c r="C835" s="119"/>
      <c r="D835" s="119"/>
      <c r="E835" s="119"/>
      <c r="F835" s="11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18"/>
      <c r="C836" s="119"/>
      <c r="D836" s="119"/>
      <c r="E836" s="119"/>
      <c r="F836" s="11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18"/>
      <c r="C837" s="119"/>
      <c r="D837" s="119"/>
      <c r="E837" s="119"/>
      <c r="F837" s="11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18"/>
      <c r="C838" s="119"/>
      <c r="D838" s="119"/>
      <c r="E838" s="119"/>
      <c r="F838" s="11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18"/>
      <c r="C839" s="119"/>
      <c r="D839" s="119"/>
      <c r="E839" s="119"/>
      <c r="F839" s="11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18"/>
      <c r="C840" s="119"/>
      <c r="D840" s="119"/>
      <c r="E840" s="119"/>
      <c r="F840" s="11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18"/>
      <c r="C841" s="119"/>
      <c r="D841" s="119"/>
      <c r="E841" s="119"/>
      <c r="F841" s="11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18"/>
      <c r="C842" s="119"/>
      <c r="D842" s="119"/>
      <c r="E842" s="119"/>
      <c r="F842" s="11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18"/>
      <c r="C843" s="119"/>
      <c r="D843" s="119"/>
      <c r="E843" s="119"/>
      <c r="F843" s="11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18"/>
      <c r="C844" s="119"/>
      <c r="D844" s="119"/>
      <c r="E844" s="119"/>
      <c r="F844" s="11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18"/>
      <c r="C845" s="119"/>
      <c r="D845" s="119"/>
      <c r="E845" s="119"/>
      <c r="F845" s="11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18"/>
      <c r="C846" s="119"/>
      <c r="D846" s="119"/>
      <c r="E846" s="119"/>
      <c r="F846" s="11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18"/>
      <c r="C847" s="119"/>
      <c r="D847" s="119"/>
      <c r="E847" s="119"/>
      <c r="F847" s="11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18"/>
      <c r="C848" s="119"/>
      <c r="D848" s="119"/>
      <c r="E848" s="119"/>
      <c r="F848" s="11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18"/>
      <c r="C849" s="119"/>
      <c r="D849" s="119"/>
      <c r="E849" s="119"/>
      <c r="F849" s="11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18"/>
      <c r="C850" s="119"/>
      <c r="D850" s="119"/>
      <c r="E850" s="119"/>
      <c r="F850" s="11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18"/>
      <c r="C851" s="119"/>
      <c r="D851" s="119"/>
      <c r="E851" s="119"/>
      <c r="F851" s="11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18"/>
      <c r="C852" s="119"/>
      <c r="D852" s="119"/>
      <c r="E852" s="119"/>
      <c r="F852" s="11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18"/>
      <c r="C853" s="119"/>
      <c r="D853" s="119"/>
      <c r="E853" s="119"/>
      <c r="F853" s="11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18"/>
      <c r="C854" s="119"/>
      <c r="D854" s="119"/>
      <c r="E854" s="119"/>
      <c r="F854" s="11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18"/>
      <c r="C855" s="119"/>
      <c r="D855" s="119"/>
      <c r="E855" s="119"/>
      <c r="F855" s="11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18"/>
      <c r="C856" s="119"/>
      <c r="D856" s="119"/>
      <c r="E856" s="119"/>
      <c r="F856" s="11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18"/>
      <c r="C857" s="119"/>
      <c r="D857" s="119"/>
      <c r="E857" s="119"/>
      <c r="F857" s="11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18"/>
      <c r="C858" s="119"/>
      <c r="D858" s="119"/>
      <c r="E858" s="119"/>
      <c r="F858" s="11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18"/>
      <c r="C859" s="119"/>
      <c r="D859" s="119"/>
      <c r="E859" s="119"/>
      <c r="F859" s="11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18"/>
      <c r="C860" s="119"/>
      <c r="D860" s="119"/>
      <c r="E860" s="119"/>
      <c r="F860" s="11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18"/>
      <c r="C861" s="119"/>
      <c r="D861" s="119"/>
      <c r="E861" s="119"/>
      <c r="F861" s="11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18"/>
      <c r="C862" s="119"/>
      <c r="D862" s="119"/>
      <c r="E862" s="119"/>
      <c r="F862" s="11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18"/>
      <c r="C863" s="119"/>
      <c r="D863" s="119"/>
      <c r="E863" s="119"/>
      <c r="F863" s="11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18"/>
      <c r="C864" s="119"/>
      <c r="D864" s="119"/>
      <c r="E864" s="119"/>
      <c r="F864" s="11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18"/>
      <c r="C865" s="119"/>
      <c r="D865" s="119"/>
      <c r="E865" s="119"/>
      <c r="F865" s="11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18"/>
      <c r="C866" s="119"/>
      <c r="D866" s="119"/>
      <c r="E866" s="119"/>
      <c r="F866" s="11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18"/>
      <c r="C867" s="119"/>
      <c r="D867" s="119"/>
      <c r="E867" s="119"/>
      <c r="F867" s="11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18"/>
      <c r="C868" s="119"/>
      <c r="D868" s="119"/>
      <c r="E868" s="119"/>
      <c r="F868" s="11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18"/>
      <c r="C869" s="119"/>
      <c r="D869" s="119"/>
      <c r="E869" s="119"/>
      <c r="F869" s="11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18"/>
      <c r="C870" s="119"/>
      <c r="D870" s="119"/>
      <c r="E870" s="119"/>
      <c r="F870" s="11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18"/>
      <c r="C871" s="119"/>
      <c r="D871" s="119"/>
      <c r="E871" s="119"/>
      <c r="F871" s="11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18"/>
      <c r="C872" s="119"/>
      <c r="D872" s="119"/>
      <c r="E872" s="119"/>
      <c r="F872" s="11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18"/>
      <c r="C873" s="119"/>
      <c r="D873" s="119"/>
      <c r="E873" s="119"/>
      <c r="F873" s="11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18"/>
      <c r="C874" s="119"/>
      <c r="D874" s="119"/>
      <c r="E874" s="119"/>
      <c r="F874" s="11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18"/>
      <c r="C875" s="119"/>
      <c r="D875" s="119"/>
      <c r="E875" s="119"/>
      <c r="F875" s="11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18"/>
      <c r="C876" s="119"/>
      <c r="D876" s="119"/>
      <c r="E876" s="119"/>
      <c r="F876" s="11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18"/>
      <c r="C877" s="119"/>
      <c r="D877" s="119"/>
      <c r="E877" s="119"/>
      <c r="F877" s="11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18"/>
      <c r="C878" s="119"/>
      <c r="D878" s="119"/>
      <c r="E878" s="119"/>
      <c r="F878" s="11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18"/>
      <c r="C879" s="119"/>
      <c r="D879" s="119"/>
      <c r="E879" s="119"/>
      <c r="F879" s="11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18"/>
      <c r="C880" s="119"/>
      <c r="D880" s="119"/>
      <c r="E880" s="119"/>
      <c r="F880" s="11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18"/>
      <c r="C881" s="119"/>
      <c r="D881" s="119"/>
      <c r="E881" s="119"/>
      <c r="F881" s="11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18"/>
      <c r="C882" s="119"/>
      <c r="D882" s="119"/>
      <c r="E882" s="119"/>
      <c r="F882" s="11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18"/>
      <c r="C883" s="119"/>
      <c r="D883" s="119"/>
      <c r="E883" s="119"/>
      <c r="F883" s="11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18"/>
      <c r="C884" s="119"/>
      <c r="D884" s="119"/>
      <c r="E884" s="119"/>
      <c r="F884" s="11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18"/>
      <c r="C885" s="119"/>
      <c r="D885" s="119"/>
      <c r="E885" s="119"/>
      <c r="F885" s="11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18"/>
      <c r="C886" s="119"/>
      <c r="D886" s="119"/>
      <c r="E886" s="119"/>
      <c r="F886" s="11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18"/>
      <c r="C887" s="119"/>
      <c r="D887" s="119"/>
      <c r="E887" s="119"/>
      <c r="F887" s="11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18"/>
      <c r="C888" s="119"/>
      <c r="D888" s="119"/>
      <c r="E888" s="119"/>
      <c r="F888" s="11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18"/>
      <c r="C889" s="119"/>
      <c r="D889" s="119"/>
      <c r="E889" s="119"/>
      <c r="F889" s="11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18"/>
      <c r="C890" s="119"/>
      <c r="D890" s="119"/>
      <c r="E890" s="119"/>
      <c r="F890" s="11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18"/>
      <c r="C891" s="119"/>
      <c r="D891" s="119"/>
      <c r="E891" s="119"/>
      <c r="F891" s="11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18"/>
      <c r="C892" s="119"/>
      <c r="D892" s="119"/>
      <c r="E892" s="119"/>
      <c r="F892" s="11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18"/>
      <c r="C893" s="119"/>
      <c r="D893" s="119"/>
      <c r="E893" s="119"/>
      <c r="F893" s="11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18"/>
      <c r="C894" s="119"/>
      <c r="D894" s="119"/>
      <c r="E894" s="119"/>
      <c r="F894" s="11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18"/>
      <c r="C895" s="119"/>
      <c r="D895" s="119"/>
      <c r="E895" s="119"/>
      <c r="F895" s="11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18"/>
      <c r="C896" s="119"/>
      <c r="D896" s="119"/>
      <c r="E896" s="119"/>
      <c r="F896" s="11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18"/>
      <c r="C897" s="119"/>
      <c r="D897" s="119"/>
      <c r="E897" s="119"/>
      <c r="F897" s="11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18"/>
      <c r="C898" s="119"/>
      <c r="D898" s="119"/>
      <c r="E898" s="119"/>
      <c r="F898" s="11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18"/>
      <c r="C899" s="119"/>
      <c r="D899" s="119"/>
      <c r="E899" s="119"/>
      <c r="F899" s="11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18"/>
      <c r="C900" s="119"/>
      <c r="D900" s="119"/>
      <c r="E900" s="119"/>
      <c r="F900" s="11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18"/>
      <c r="C901" s="119"/>
      <c r="D901" s="119"/>
      <c r="E901" s="119"/>
      <c r="F901" s="11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18"/>
      <c r="C902" s="119"/>
      <c r="D902" s="119"/>
      <c r="E902" s="119"/>
      <c r="F902" s="11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18"/>
      <c r="C903" s="119"/>
      <c r="D903" s="119"/>
      <c r="E903" s="119"/>
      <c r="F903" s="11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18"/>
      <c r="C904" s="119"/>
      <c r="D904" s="119"/>
      <c r="E904" s="119"/>
      <c r="F904" s="11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18"/>
      <c r="C905" s="119"/>
      <c r="D905" s="119"/>
      <c r="E905" s="119"/>
      <c r="F905" s="11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18"/>
      <c r="C906" s="119"/>
      <c r="D906" s="119"/>
      <c r="E906" s="119"/>
      <c r="F906" s="11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18"/>
      <c r="C907" s="119"/>
      <c r="D907" s="119"/>
      <c r="E907" s="119"/>
      <c r="F907" s="11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18"/>
      <c r="C908" s="119"/>
      <c r="D908" s="119"/>
      <c r="E908" s="119"/>
      <c r="F908" s="11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18"/>
      <c r="C909" s="119"/>
      <c r="D909" s="119"/>
      <c r="E909" s="119"/>
      <c r="F909" s="11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18"/>
      <c r="C910" s="119"/>
      <c r="D910" s="119"/>
      <c r="E910" s="119"/>
      <c r="F910" s="11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18"/>
      <c r="C911" s="119"/>
      <c r="D911" s="119"/>
      <c r="E911" s="119"/>
      <c r="F911" s="11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18"/>
      <c r="C912" s="119"/>
      <c r="D912" s="119"/>
      <c r="E912" s="119"/>
      <c r="F912" s="11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18"/>
      <c r="C913" s="119"/>
      <c r="D913" s="119"/>
      <c r="E913" s="119"/>
      <c r="F913" s="11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18"/>
      <c r="C914" s="119"/>
      <c r="D914" s="119"/>
      <c r="E914" s="119"/>
      <c r="F914" s="11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18"/>
      <c r="C915" s="119"/>
      <c r="D915" s="119"/>
      <c r="E915" s="119"/>
      <c r="F915" s="11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18"/>
      <c r="C916" s="119"/>
      <c r="D916" s="119"/>
      <c r="E916" s="119"/>
      <c r="F916" s="11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18"/>
      <c r="C917" s="119"/>
      <c r="D917" s="119"/>
      <c r="E917" s="119"/>
      <c r="F917" s="11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18"/>
      <c r="C918" s="119"/>
      <c r="D918" s="119"/>
      <c r="E918" s="119"/>
      <c r="F918" s="11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18"/>
      <c r="C919" s="119"/>
      <c r="D919" s="119"/>
      <c r="E919" s="119"/>
      <c r="F919" s="11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18"/>
      <c r="C920" s="119"/>
      <c r="D920" s="119"/>
      <c r="E920" s="119"/>
      <c r="F920" s="11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18"/>
      <c r="C921" s="119"/>
      <c r="D921" s="119"/>
      <c r="E921" s="119"/>
      <c r="F921" s="11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18"/>
      <c r="C922" s="119"/>
      <c r="D922" s="119"/>
      <c r="E922" s="119"/>
      <c r="F922" s="11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18"/>
      <c r="C923" s="119"/>
      <c r="D923" s="119"/>
      <c r="E923" s="119"/>
      <c r="F923" s="11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18"/>
      <c r="C924" s="119"/>
      <c r="D924" s="119"/>
      <c r="E924" s="119"/>
      <c r="F924" s="11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18"/>
      <c r="C925" s="119"/>
      <c r="D925" s="119"/>
      <c r="E925" s="119"/>
      <c r="F925" s="11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18"/>
      <c r="C926" s="119"/>
      <c r="D926" s="119"/>
      <c r="E926" s="119"/>
      <c r="F926" s="11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18"/>
      <c r="C927" s="119"/>
      <c r="D927" s="119"/>
      <c r="E927" s="119"/>
      <c r="F927" s="11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18"/>
      <c r="C928" s="119"/>
      <c r="D928" s="119"/>
      <c r="E928" s="119"/>
      <c r="F928" s="11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18"/>
      <c r="C929" s="119"/>
      <c r="D929" s="119"/>
      <c r="E929" s="119"/>
      <c r="F929" s="11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18"/>
      <c r="C930" s="119"/>
      <c r="D930" s="119"/>
      <c r="E930" s="119"/>
      <c r="F930" s="11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18"/>
      <c r="C931" s="119"/>
      <c r="D931" s="119"/>
      <c r="E931" s="119"/>
      <c r="F931" s="11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18"/>
      <c r="C932" s="119"/>
      <c r="D932" s="119"/>
      <c r="E932" s="119"/>
      <c r="F932" s="11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18"/>
      <c r="C933" s="119"/>
      <c r="D933" s="119"/>
      <c r="E933" s="119"/>
      <c r="F933" s="11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18"/>
      <c r="C934" s="119"/>
      <c r="D934" s="119"/>
      <c r="E934" s="119"/>
      <c r="F934" s="11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18"/>
      <c r="C935" s="119"/>
      <c r="D935" s="119"/>
      <c r="E935" s="119"/>
      <c r="F935" s="11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18"/>
      <c r="C936" s="119"/>
      <c r="D936" s="119"/>
      <c r="E936" s="119"/>
      <c r="F936" s="11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18"/>
      <c r="C937" s="119"/>
      <c r="D937" s="119"/>
      <c r="E937" s="119"/>
      <c r="F937" s="11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18"/>
      <c r="C938" s="119"/>
      <c r="D938" s="119"/>
      <c r="E938" s="119"/>
      <c r="F938" s="11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18"/>
      <c r="C939" s="119"/>
      <c r="D939" s="119"/>
      <c r="E939" s="119"/>
      <c r="F939" s="11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18"/>
      <c r="C940" s="119"/>
      <c r="D940" s="119"/>
      <c r="E940" s="119"/>
      <c r="F940" s="11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18"/>
      <c r="C941" s="119"/>
      <c r="D941" s="119"/>
      <c r="E941" s="119"/>
      <c r="F941" s="11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18"/>
      <c r="C942" s="119"/>
      <c r="D942" s="119"/>
      <c r="E942" s="119"/>
      <c r="F942" s="11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18"/>
      <c r="C943" s="119"/>
      <c r="D943" s="119"/>
      <c r="E943" s="119"/>
      <c r="F943" s="11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18"/>
      <c r="C944" s="119"/>
      <c r="D944" s="119"/>
      <c r="E944" s="119"/>
      <c r="F944" s="11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18"/>
      <c r="C945" s="119"/>
      <c r="D945" s="119"/>
      <c r="E945" s="119"/>
      <c r="F945" s="11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18"/>
      <c r="C946" s="119"/>
      <c r="D946" s="119"/>
      <c r="E946" s="119"/>
      <c r="F946" s="11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18"/>
      <c r="C947" s="119"/>
      <c r="D947" s="119"/>
      <c r="E947" s="119"/>
      <c r="F947" s="11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18"/>
      <c r="C948" s="119"/>
      <c r="D948" s="119"/>
      <c r="E948" s="119"/>
      <c r="F948" s="11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18"/>
      <c r="C949" s="119"/>
      <c r="D949" s="119"/>
      <c r="E949" s="119"/>
      <c r="F949" s="11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18"/>
      <c r="C950" s="119"/>
      <c r="D950" s="119"/>
      <c r="E950" s="119"/>
      <c r="F950" s="11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18"/>
      <c r="C951" s="119"/>
      <c r="D951" s="119"/>
      <c r="E951" s="119"/>
      <c r="F951" s="11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18"/>
      <c r="C952" s="119"/>
      <c r="D952" s="119"/>
      <c r="E952" s="119"/>
      <c r="F952" s="11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18"/>
      <c r="C953" s="119"/>
      <c r="D953" s="119"/>
      <c r="E953" s="119"/>
      <c r="F953" s="11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18"/>
      <c r="C954" s="119"/>
      <c r="D954" s="119"/>
      <c r="E954" s="119"/>
      <c r="F954" s="11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18"/>
      <c r="C955" s="119"/>
      <c r="D955" s="119"/>
      <c r="E955" s="119"/>
      <c r="F955" s="11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18"/>
      <c r="C956" s="119"/>
      <c r="D956" s="119"/>
      <c r="E956" s="119"/>
      <c r="F956" s="11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18"/>
      <c r="C957" s="119"/>
      <c r="D957" s="119"/>
      <c r="E957" s="119"/>
      <c r="F957" s="11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18"/>
      <c r="C958" s="119"/>
      <c r="D958" s="119"/>
      <c r="E958" s="119"/>
      <c r="F958" s="11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18"/>
      <c r="C959" s="119"/>
      <c r="D959" s="119"/>
      <c r="E959" s="119"/>
      <c r="F959" s="11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18"/>
      <c r="C960" s="119"/>
      <c r="D960" s="119"/>
      <c r="E960" s="119"/>
      <c r="F960" s="11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18"/>
      <c r="C961" s="119"/>
      <c r="D961" s="119"/>
      <c r="E961" s="119"/>
      <c r="F961" s="11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18"/>
      <c r="C962" s="119"/>
      <c r="D962" s="119"/>
      <c r="E962" s="119"/>
      <c r="F962" s="11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18"/>
      <c r="C963" s="119"/>
      <c r="D963" s="119"/>
      <c r="E963" s="119"/>
      <c r="F963" s="11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18"/>
      <c r="C964" s="119"/>
      <c r="D964" s="119"/>
      <c r="E964" s="119"/>
      <c r="F964" s="11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18"/>
      <c r="C965" s="119"/>
      <c r="D965" s="119"/>
      <c r="E965" s="119"/>
      <c r="F965" s="11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18"/>
      <c r="C966" s="119"/>
      <c r="D966" s="119"/>
      <c r="E966" s="119"/>
      <c r="F966" s="11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18"/>
      <c r="C967" s="119"/>
      <c r="D967" s="119"/>
      <c r="E967" s="119"/>
      <c r="F967" s="11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18"/>
      <c r="C968" s="119"/>
      <c r="D968" s="119"/>
      <c r="E968" s="119"/>
      <c r="F968" s="11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18"/>
      <c r="C969" s="119"/>
      <c r="D969" s="119"/>
      <c r="E969" s="119"/>
      <c r="F969" s="11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18"/>
      <c r="C970" s="119"/>
      <c r="D970" s="119"/>
      <c r="E970" s="119"/>
      <c r="F970" s="11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18"/>
      <c r="C971" s="119"/>
      <c r="D971" s="119"/>
      <c r="E971" s="119"/>
      <c r="F971" s="11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18"/>
      <c r="C972" s="119"/>
      <c r="D972" s="119"/>
      <c r="E972" s="119"/>
      <c r="F972" s="11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18"/>
      <c r="C973" s="119"/>
      <c r="D973" s="119"/>
      <c r="E973" s="119"/>
      <c r="F973" s="11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18"/>
      <c r="C974" s="119"/>
      <c r="D974" s="119"/>
      <c r="E974" s="119"/>
      <c r="F974" s="11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18"/>
      <c r="C975" s="119"/>
      <c r="D975" s="119"/>
      <c r="E975" s="119"/>
      <c r="F975" s="11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18"/>
      <c r="C976" s="119"/>
      <c r="D976" s="119"/>
      <c r="E976" s="119"/>
      <c r="F976" s="11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18"/>
      <c r="C977" s="119"/>
      <c r="D977" s="119"/>
      <c r="E977" s="119"/>
      <c r="F977" s="11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18"/>
      <c r="C978" s="119"/>
      <c r="D978" s="119"/>
      <c r="E978" s="119"/>
      <c r="F978" s="11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18"/>
      <c r="C979" s="119"/>
      <c r="D979" s="119"/>
      <c r="E979" s="119"/>
      <c r="F979" s="11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18"/>
      <c r="C980" s="119"/>
      <c r="D980" s="119"/>
      <c r="E980" s="119"/>
      <c r="F980" s="11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18"/>
      <c r="C981" s="119"/>
      <c r="D981" s="119"/>
      <c r="E981" s="119"/>
      <c r="F981" s="11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18"/>
      <c r="C982" s="119"/>
      <c r="D982" s="119"/>
      <c r="E982" s="119"/>
      <c r="F982" s="11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18"/>
      <c r="C983" s="119"/>
      <c r="D983" s="119"/>
      <c r="E983" s="119"/>
      <c r="F983" s="11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18"/>
      <c r="C984" s="119"/>
      <c r="D984" s="119"/>
      <c r="E984" s="119"/>
      <c r="F984" s="11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18"/>
      <c r="C985" s="119"/>
      <c r="D985" s="119"/>
      <c r="E985" s="119"/>
      <c r="F985" s="11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18"/>
      <c r="C986" s="119"/>
      <c r="D986" s="119"/>
      <c r="E986" s="119"/>
      <c r="F986" s="11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18"/>
      <c r="C987" s="119"/>
      <c r="D987" s="119"/>
      <c r="E987" s="119"/>
      <c r="F987" s="11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18"/>
      <c r="C988" s="119"/>
      <c r="D988" s="119"/>
      <c r="E988" s="119"/>
      <c r="F988" s="11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18"/>
      <c r="C989" s="119"/>
      <c r="D989" s="119"/>
      <c r="E989" s="119"/>
      <c r="F989" s="11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18"/>
      <c r="C990" s="119"/>
      <c r="D990" s="119"/>
      <c r="E990" s="119"/>
      <c r="F990" s="11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18"/>
      <c r="C991" s="119"/>
      <c r="D991" s="119"/>
      <c r="E991" s="119"/>
      <c r="F991" s="11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18"/>
      <c r="C992" s="119"/>
      <c r="D992" s="119"/>
      <c r="E992" s="119"/>
      <c r="F992" s="11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18"/>
      <c r="C993" s="119"/>
      <c r="D993" s="119"/>
      <c r="E993" s="119"/>
      <c r="F993" s="11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18"/>
      <c r="C994" s="119"/>
      <c r="D994" s="119"/>
      <c r="E994" s="119"/>
      <c r="F994" s="11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18"/>
      <c r="C995" s="119"/>
      <c r="D995" s="119"/>
      <c r="E995" s="119"/>
      <c r="F995" s="11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18"/>
      <c r="C996" s="119"/>
      <c r="D996" s="119"/>
      <c r="E996" s="119"/>
      <c r="F996" s="11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18"/>
      <c r="C997" s="119"/>
      <c r="D997" s="119"/>
      <c r="E997" s="119"/>
      <c r="F997" s="11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18"/>
      <c r="C998" s="119"/>
      <c r="D998" s="119"/>
      <c r="E998" s="119"/>
      <c r="F998" s="11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18"/>
      <c r="C999" s="119"/>
      <c r="D999" s="119"/>
      <c r="E999" s="119"/>
      <c r="F999" s="11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18"/>
      <c r="C1000" s="119"/>
      <c r="D1000" s="119"/>
      <c r="E1000" s="119"/>
      <c r="F1000" s="11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L2-Infrastructure" location="null!A1" ref="D9"/>
    <hyperlink display="L2-OrderPayment" location="null!A1" ref="D10"/>
    <hyperlink display="L2-OrderPayment" location="null!A1" ref="D11"/>
    <hyperlink display="L2-OrderPayment" location="null!A1" ref="D12"/>
    <hyperlink display="L2-OrderPayment" location="null!A1" ref="D13"/>
  </hyperlinks>
  <printOptions/>
  <pageMargins bottom="1.15069444444444" footer="0.0" header="0.0" left="0.747916666666667" right="0.747916666666667" top="0.984027777777778"/>
  <pageSetup paperSize="9" orientation="landscape"/>
  <headerFooter>
    <oddFooter>&amp;L 02ae-BM/PM/HDCV/FSOFT v2/0&amp;C Internal use&amp;R 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"/>
      <c r="B1" s="4" t="s">
        <v>0</v>
      </c>
      <c r="C1" s="6"/>
      <c r="D1" s="6"/>
      <c r="E1" s="6"/>
      <c r="F1" s="6"/>
      <c r="G1" s="6"/>
      <c r="H1" s="8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5"/>
      <c r="B2" s="15"/>
      <c r="C2" s="16"/>
      <c r="D2" s="16"/>
      <c r="E2" s="16"/>
      <c r="F2" s="16"/>
      <c r="G2" s="16"/>
      <c r="H2" s="18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"/>
      <c r="B3" s="22" t="s">
        <v>3</v>
      </c>
      <c r="C3" s="23" t="s">
        <v>4</v>
      </c>
      <c r="D3" s="13"/>
      <c r="E3" s="25" t="s">
        <v>5</v>
      </c>
      <c r="F3" s="13"/>
      <c r="G3" s="28" t="s">
        <v>7</v>
      </c>
      <c r="H3" s="3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"/>
      <c r="B4" s="22" t="s">
        <v>8</v>
      </c>
      <c r="C4" s="23" t="s">
        <v>9</v>
      </c>
      <c r="D4" s="13"/>
      <c r="E4" s="25" t="s">
        <v>15</v>
      </c>
      <c r="F4" s="13"/>
      <c r="G4" s="28" t="s">
        <v>7</v>
      </c>
      <c r="H4" s="3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"/>
      <c r="B5" s="35" t="s">
        <v>13</v>
      </c>
      <c r="C5" s="23" t="str">
        <f>Cover!B6</f>
        <v>SEP490_Integration Test Report_v1.0</v>
      </c>
      <c r="D5" s="13"/>
      <c r="E5" s="25" t="s">
        <v>10</v>
      </c>
      <c r="F5" s="13"/>
      <c r="G5" s="28"/>
      <c r="H5" s="49">
        <v>46238.0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5"/>
      <c r="B6" s="35" t="s">
        <v>25</v>
      </c>
      <c r="C6" s="54" t="s">
        <v>26</v>
      </c>
      <c r="D6" s="12"/>
      <c r="E6" s="12"/>
      <c r="F6" s="12"/>
      <c r="G6" s="12"/>
      <c r="H6" s="13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5"/>
      <c r="B7" s="15"/>
      <c r="C7" s="16"/>
      <c r="D7" s="16"/>
      <c r="E7" s="16"/>
      <c r="F7" s="16"/>
      <c r="G7" s="16"/>
      <c r="H7" s="18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"/>
      <c r="B8" s="15"/>
      <c r="C8" s="16"/>
      <c r="D8" s="16"/>
      <c r="E8" s="16"/>
      <c r="F8" s="16"/>
      <c r="G8" s="16"/>
      <c r="H8" s="1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"/>
      <c r="B9" s="1"/>
      <c r="C9" s="1"/>
      <c r="D9" s="1"/>
      <c r="E9" s="1"/>
      <c r="F9" s="1"/>
      <c r="G9" s="1"/>
      <c r="H9" s="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6"/>
      <c r="B10" s="66" t="s">
        <v>23</v>
      </c>
      <c r="C10" s="69" t="s">
        <v>40</v>
      </c>
      <c r="D10" s="72" t="s">
        <v>16</v>
      </c>
      <c r="E10" s="69" t="s">
        <v>21</v>
      </c>
      <c r="F10" s="69" t="s">
        <v>32</v>
      </c>
      <c r="G10" s="76" t="s">
        <v>39</v>
      </c>
      <c r="H10" s="79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6"/>
      <c r="B11" s="83">
        <v>1.0</v>
      </c>
      <c r="C11" s="88" t="str">
        <f>'L2-Infrastructure'!B2</f>
        <v>L2-Infrastructure</v>
      </c>
      <c r="D11" s="91">
        <f>'L2-Infrastructure'!B6</f>
        <v>3</v>
      </c>
      <c r="E11" s="91">
        <f>'L2-Infrastructure'!C6</f>
        <v>0</v>
      </c>
      <c r="F11" s="91">
        <f>'L2-Infrastructure'!D6</f>
        <v>0</v>
      </c>
      <c r="G11" s="91">
        <f>'L2-Infrastructure'!E6</f>
        <v>0</v>
      </c>
      <c r="H11" s="93">
        <f>'L2-Infrastructure'!B4</f>
        <v>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6"/>
      <c r="B12" s="83">
        <v>2.0</v>
      </c>
      <c r="C12" s="88" t="str">
        <f>'L2-OrderPayment'!B2</f>
        <v>L2-OrderPayment</v>
      </c>
      <c r="D12" s="91">
        <f>'L2-OrderPayment'!B6</f>
        <v>11</v>
      </c>
      <c r="E12" s="91">
        <f>'L2-OrderPayment'!C6</f>
        <v>0</v>
      </c>
      <c r="F12" s="91">
        <f>'L2-OrderPayment'!D6</f>
        <v>0</v>
      </c>
      <c r="G12" s="91">
        <f>'L2-OrderPayment'!E6</f>
        <v>0</v>
      </c>
      <c r="H12" s="93">
        <f>'L2-OrderPayment'!B4</f>
        <v>11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6"/>
      <c r="B13" s="83">
        <v>3.0</v>
      </c>
      <c r="C13" s="88" t="str">
        <f>'L2-OrderFulfilment'!B2</f>
        <v>L2-OrderFulfilment</v>
      </c>
      <c r="D13" s="91">
        <f>'L2-OrderFulfilment'!B6</f>
        <v>8</v>
      </c>
      <c r="E13" s="91">
        <f>'L2-OrderFulfilment'!C6</f>
        <v>0</v>
      </c>
      <c r="F13" s="91">
        <f>'L2-OrderFulfilment'!D6</f>
        <v>0</v>
      </c>
      <c r="G13" s="91">
        <f>'L2-OrderFulfilment'!E6</f>
        <v>0</v>
      </c>
      <c r="H13" s="93">
        <f>'L2-OrderFulfilment'!B4</f>
        <v>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6"/>
      <c r="B14" s="83">
        <v>4.0</v>
      </c>
      <c r="C14" s="88" t="str">
        <f>'L2-Quotation'!B2</f>
        <v>L2-Quotation</v>
      </c>
      <c r="D14" s="91">
        <f>'L2-Quotation'!B6</f>
        <v>6</v>
      </c>
      <c r="E14" s="91">
        <f>'L2-Quotation'!C6</f>
        <v>0</v>
      </c>
      <c r="F14" s="91">
        <f>'L2-Quotation'!D6</f>
        <v>0</v>
      </c>
      <c r="G14" s="91">
        <f>'L2-Quotation'!E6</f>
        <v>0</v>
      </c>
      <c r="H14" s="93">
        <f>'L2-Quotation'!B4</f>
        <v>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"/>
      <c r="B15" s="83">
        <v>5.0</v>
      </c>
      <c r="C15" s="88" t="str">
        <f>'L2-Purchasing'!B2</f>
        <v>L2-Purchasing</v>
      </c>
      <c r="D15" s="91">
        <f>'L2-Purchasing'!B6</f>
        <v>5</v>
      </c>
      <c r="E15" s="91">
        <f>'L2-Purchasing'!C6</f>
        <v>0</v>
      </c>
      <c r="F15" s="91">
        <f>'L2-Purchasing'!D6</f>
        <v>0</v>
      </c>
      <c r="G15" s="91">
        <f>'L2-Purchasing'!E6</f>
        <v>0</v>
      </c>
      <c r="H15" s="93">
        <f>'L2-Purchasing'!B4</f>
        <v>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"/>
      <c r="B16" s="83">
        <v>6.0</v>
      </c>
      <c r="C16" s="88" t="str">
        <f>'L2-InventoryTransfer'!B2</f>
        <v>L2-InventoryTransfer</v>
      </c>
      <c r="D16" s="91">
        <f>'L2-InventoryTransfer'!B6</f>
        <v>5</v>
      </c>
      <c r="E16" s="91">
        <f>'L2-InventoryTransfer'!C6</f>
        <v>0</v>
      </c>
      <c r="F16" s="91">
        <f>'L2-InventoryTransfer'!D6</f>
        <v>0</v>
      </c>
      <c r="G16" s="91">
        <f>'L2-InventoryTransfer'!E6</f>
        <v>0</v>
      </c>
      <c r="H16" s="93">
        <f>'L2-InventoryTransfer'!B4</f>
        <v>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"/>
      <c r="B17" s="83">
        <v>7.0</v>
      </c>
      <c r="C17" s="88" t="str">
        <f>'L2-AuthFlow'!B2</f>
        <v>L2-AuthFlow</v>
      </c>
      <c r="D17" s="91">
        <f>'L2-AuthFlow'!B6</f>
        <v>4</v>
      </c>
      <c r="E17" s="91">
        <f>'L2-AuthFlow'!C6</f>
        <v>0</v>
      </c>
      <c r="F17" s="91">
        <f>'L2-AuthFlow'!D6</f>
        <v>0</v>
      </c>
      <c r="G17" s="91">
        <f>'L2-AuthFlow'!E6</f>
        <v>0</v>
      </c>
      <c r="H17" s="93">
        <f>'L2-AuthFlow'!B4</f>
        <v>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"/>
      <c r="B18" s="83">
        <v>8.0</v>
      </c>
      <c r="C18" s="88" t="str">
        <f>'L2-Workflows'!B2</f>
        <v>L2-Workflows</v>
      </c>
      <c r="D18" s="91">
        <f>'L2-Workflows'!B6</f>
        <v>6</v>
      </c>
      <c r="E18" s="91">
        <f>'L2-Workflows'!C6</f>
        <v>0</v>
      </c>
      <c r="F18" s="91">
        <f>'L2-Workflows'!D6</f>
        <v>0</v>
      </c>
      <c r="G18" s="91">
        <f>'L2-Workflows'!E6</f>
        <v>0</v>
      </c>
      <c r="H18" s="93">
        <f>'L2-Workflows'!B4</f>
        <v>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"/>
      <c r="B19" s="83">
        <v>9.0</v>
      </c>
      <c r="C19" s="88" t="str">
        <f>'L2-AfterSalesReturn'!B2</f>
        <v>L2-AfterSalesReturn</v>
      </c>
      <c r="D19" s="91">
        <f>'L2-AfterSalesReturn'!B6</f>
        <v>7</v>
      </c>
      <c r="E19" s="91">
        <f>'L2-AfterSalesReturn'!C6</f>
        <v>0</v>
      </c>
      <c r="F19" s="91">
        <f>'L2-AfterSalesReturn'!D6</f>
        <v>0</v>
      </c>
      <c r="G19" s="91">
        <f>'L2-AfterSalesReturn'!E6</f>
        <v>0</v>
      </c>
      <c r="H19" s="93">
        <f>'L2-AfterSalesReturn'!B4</f>
        <v>7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"/>
      <c r="B20" s="83">
        <v>10.0</v>
      </c>
      <c r="C20" s="88" t="str">
        <f>'L2-AdminConfigAudit'!B2</f>
        <v>L2-AdminConfigAudit</v>
      </c>
      <c r="D20" s="91">
        <f>'L2-AdminConfigAudit'!B6</f>
        <v>7</v>
      </c>
      <c r="E20" s="91">
        <f>'L2-AdminConfigAudit'!C6</f>
        <v>0</v>
      </c>
      <c r="F20" s="91">
        <f>'L2-AdminConfigAudit'!D6</f>
        <v>0</v>
      </c>
      <c r="G20" s="91">
        <f>'L2-AdminConfigAudit'!E6</f>
        <v>0</v>
      </c>
      <c r="H20" s="93">
        <f>'L2-AdminConfigAudit'!B4</f>
        <v>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"/>
      <c r="B21" s="83">
        <v>11.0</v>
      </c>
      <c r="C21" s="88" t="str">
        <f>'L2-ScheduledJobs'!B2</f>
        <v>L2-ScheduledJobs</v>
      </c>
      <c r="D21" s="91">
        <f>'L2-ScheduledJobs'!B6</f>
        <v>15</v>
      </c>
      <c r="E21" s="91">
        <f>'L2-ScheduledJobs'!C6</f>
        <v>0</v>
      </c>
      <c r="F21" s="91">
        <f>'L2-ScheduledJobs'!D6</f>
        <v>0</v>
      </c>
      <c r="G21" s="91">
        <f>'L2-ScheduledJobs'!E6</f>
        <v>0</v>
      </c>
      <c r="H21" s="93">
        <f>'L2-ScheduledJobs'!B4</f>
        <v>15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"/>
      <c r="B22" s="121"/>
      <c r="C22" s="121" t="s">
        <v>112</v>
      </c>
      <c r="D22" s="122">
        <f t="shared" ref="D22:H22" si="1">SUM(D11:D21)</f>
        <v>77</v>
      </c>
      <c r="E22" s="122">
        <f t="shared" si="1"/>
        <v>0</v>
      </c>
      <c r="F22" s="122">
        <f t="shared" si="1"/>
        <v>0</v>
      </c>
      <c r="G22" s="122">
        <f t="shared" si="1"/>
        <v>0</v>
      </c>
      <c r="H22" s="123">
        <f t="shared" si="1"/>
        <v>77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"/>
      <c r="B24" s="1"/>
      <c r="C24" s="51" t="s">
        <v>113</v>
      </c>
      <c r="D24" s="1"/>
      <c r="E24" s="124">
        <f>ROUND((D22+E22)*100/(H22-G22),2)</f>
        <v>100</v>
      </c>
      <c r="F24" s="53" t="s">
        <v>114</v>
      </c>
      <c r="G24" s="1"/>
      <c r="H24" s="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"/>
      <c r="B25" s="1"/>
      <c r="C25" s="51" t="s">
        <v>115</v>
      </c>
      <c r="D25" s="1"/>
      <c r="E25" s="124">
        <f>ROUND(D22*100/(H22-G22),2)</f>
        <v>100</v>
      </c>
      <c r="F25" s="53" t="s">
        <v>114</v>
      </c>
      <c r="G25" s="1"/>
      <c r="H25" s="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8" footer="0.0" header="0.0" left="0.747916666666667" right="0.747916666666667" top="0.984027777777778"/>
  <pageSetup orientation="landscape"/>
  <headerFooter>
    <oddFooter>&amp;L 02ae-BM/PM/HDCV/FSOFT v2/0&amp;C Internal use&amp;R 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11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18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COUNTA(F11:F14)</f>
        <v>3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COUNTIF($F11:$F14,B5)</f>
        <v>3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COUNTIF($I11:$I14,B5)</f>
        <v>3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COUNTIF($L11:$L14,B5)</f>
        <v>3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37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14.75" customHeight="1" outlineLevel="1">
      <c r="A12" s="108" t="s">
        <v>77</v>
      </c>
      <c r="B12" s="108" t="s">
        <v>78</v>
      </c>
      <c r="C12" s="108" t="s">
        <v>79</v>
      </c>
      <c r="D12" s="109" t="s">
        <v>80</v>
      </c>
      <c r="E12" s="109" t="s">
        <v>81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86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140.25" customHeight="1" outlineLevel="1">
      <c r="A13" s="108" t="s">
        <v>88</v>
      </c>
      <c r="B13" s="108" t="s">
        <v>89</v>
      </c>
      <c r="C13" s="108" t="s">
        <v>91</v>
      </c>
      <c r="D13" s="109" t="s">
        <v>92</v>
      </c>
      <c r="E13" s="109" t="s">
        <v>93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95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89.25" customHeight="1" outlineLevel="1">
      <c r="A14" s="108" t="s">
        <v>98</v>
      </c>
      <c r="B14" s="108" t="s">
        <v>99</v>
      </c>
      <c r="C14" s="108" t="s">
        <v>100</v>
      </c>
      <c r="D14" s="109" t="s">
        <v>101</v>
      </c>
      <c r="E14" s="109" t="s">
        <v>102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104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2"/>
      <c r="B15" s="114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6"/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2.75" customHeight="1" outlineLevel="1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08"/>
      <c r="B17" s="108"/>
      <c r="C17" s="108"/>
      <c r="D17" s="108"/>
      <c r="E17" s="108"/>
      <c r="F17" s="108"/>
      <c r="G17" s="117"/>
      <c r="H17" s="117"/>
      <c r="I17" s="108"/>
      <c r="J17" s="117"/>
      <c r="K17" s="117"/>
      <c r="L17" s="108"/>
      <c r="M17" s="117"/>
      <c r="N17" s="117"/>
      <c r="O17" s="117"/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2"/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14 I11:I14 L11:L14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48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116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COUNTA(F11:F25)</f>
        <v>11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COUNTIF($F11:$F25,B5)</f>
        <v>11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COUNTIF($I11:$I25,B5)</f>
        <v>11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COUNTIF($L11:$L25,B5)</f>
        <v>11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47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14.75" customHeight="1" outlineLevel="1">
      <c r="A12" s="108" t="s">
        <v>117</v>
      </c>
      <c r="B12" s="108" t="s">
        <v>118</v>
      </c>
      <c r="C12" s="108" t="s">
        <v>119</v>
      </c>
      <c r="D12" s="109" t="s">
        <v>120</v>
      </c>
      <c r="E12" s="109" t="s">
        <v>121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122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89.25" customHeight="1" outlineLevel="1">
      <c r="A13" s="108" t="s">
        <v>123</v>
      </c>
      <c r="B13" s="108" t="s">
        <v>124</v>
      </c>
      <c r="C13" s="108" t="s">
        <v>125</v>
      </c>
      <c r="D13" s="109" t="s">
        <v>126</v>
      </c>
      <c r="E13" s="109" t="s">
        <v>127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128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89.25" customHeight="1" outlineLevel="1">
      <c r="A14" s="108" t="s">
        <v>129</v>
      </c>
      <c r="B14" s="108" t="s">
        <v>130</v>
      </c>
      <c r="C14" s="108" t="s">
        <v>131</v>
      </c>
      <c r="D14" s="109" t="s">
        <v>132</v>
      </c>
      <c r="E14" s="109" t="s">
        <v>133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134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89.25" customHeight="1">
      <c r="A15" s="108" t="s">
        <v>135</v>
      </c>
      <c r="B15" s="108" t="s">
        <v>136</v>
      </c>
      <c r="C15" s="108" t="s">
        <v>137</v>
      </c>
      <c r="D15" s="109" t="s">
        <v>138</v>
      </c>
      <c r="E15" s="109" t="s">
        <v>139</v>
      </c>
      <c r="F15" s="108" t="s">
        <v>16</v>
      </c>
      <c r="G15" s="110">
        <v>46235.0</v>
      </c>
      <c r="H15" s="111" t="s">
        <v>7</v>
      </c>
      <c r="I15" s="108" t="s">
        <v>16</v>
      </c>
      <c r="J15" s="110">
        <v>46236.0</v>
      </c>
      <c r="K15" s="111" t="s">
        <v>7</v>
      </c>
      <c r="L15" s="108" t="s">
        <v>16</v>
      </c>
      <c r="M15" s="110">
        <v>46236.0</v>
      </c>
      <c r="N15" s="111" t="s">
        <v>7</v>
      </c>
      <c r="O15" s="108" t="s">
        <v>140</v>
      </c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2.75" customHeight="1" outlineLevel="1">
      <c r="A16" s="102" t="s">
        <v>49</v>
      </c>
      <c r="B16" s="102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6"/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127.5" customHeight="1" outlineLevel="1">
      <c r="A17" s="108" t="s">
        <v>141</v>
      </c>
      <c r="B17" s="108" t="s">
        <v>142</v>
      </c>
      <c r="C17" s="108" t="s">
        <v>143</v>
      </c>
      <c r="D17" s="109" t="s">
        <v>144</v>
      </c>
      <c r="E17" s="109" t="s">
        <v>145</v>
      </c>
      <c r="F17" s="108" t="s">
        <v>16</v>
      </c>
      <c r="G17" s="110">
        <v>46235.0</v>
      </c>
      <c r="H17" s="111" t="s">
        <v>7</v>
      </c>
      <c r="I17" s="108" t="s">
        <v>16</v>
      </c>
      <c r="J17" s="110">
        <v>46236.0</v>
      </c>
      <c r="K17" s="111" t="s">
        <v>7</v>
      </c>
      <c r="L17" s="108" t="s">
        <v>16</v>
      </c>
      <c r="M17" s="110">
        <v>46236.0</v>
      </c>
      <c r="N17" s="111" t="s">
        <v>7</v>
      </c>
      <c r="O17" s="108" t="s">
        <v>146</v>
      </c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02.0" customHeight="1">
      <c r="A18" s="108" t="s">
        <v>147</v>
      </c>
      <c r="B18" s="108" t="s">
        <v>148</v>
      </c>
      <c r="C18" s="108" t="s">
        <v>143</v>
      </c>
      <c r="D18" s="109" t="s">
        <v>149</v>
      </c>
      <c r="E18" s="109" t="s">
        <v>150</v>
      </c>
      <c r="F18" s="108" t="s">
        <v>16</v>
      </c>
      <c r="G18" s="110">
        <v>46235.0</v>
      </c>
      <c r="H18" s="111" t="s">
        <v>7</v>
      </c>
      <c r="I18" s="108" t="s">
        <v>16</v>
      </c>
      <c r="J18" s="110">
        <v>46236.0</v>
      </c>
      <c r="K18" s="111" t="s">
        <v>7</v>
      </c>
      <c r="L18" s="108" t="s">
        <v>16</v>
      </c>
      <c r="M18" s="110">
        <v>46236.0</v>
      </c>
      <c r="N18" s="111" t="s">
        <v>7</v>
      </c>
      <c r="O18" s="108" t="s">
        <v>151</v>
      </c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2" t="s">
        <v>51</v>
      </c>
      <c r="B19" s="102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6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89.25" customHeight="1">
      <c r="A20" s="108" t="s">
        <v>152</v>
      </c>
      <c r="B20" s="108" t="s">
        <v>153</v>
      </c>
      <c r="C20" s="108" t="s">
        <v>154</v>
      </c>
      <c r="D20" s="109" t="s">
        <v>155</v>
      </c>
      <c r="E20" s="109" t="s">
        <v>156</v>
      </c>
      <c r="F20" s="108" t="s">
        <v>16</v>
      </c>
      <c r="G20" s="110">
        <v>46235.0</v>
      </c>
      <c r="H20" s="111" t="s">
        <v>7</v>
      </c>
      <c r="I20" s="108" t="s">
        <v>16</v>
      </c>
      <c r="J20" s="110">
        <v>46236.0</v>
      </c>
      <c r="K20" s="111" t="s">
        <v>7</v>
      </c>
      <c r="L20" s="108" t="s">
        <v>16</v>
      </c>
      <c r="M20" s="110">
        <v>46236.0</v>
      </c>
      <c r="N20" s="111" t="s">
        <v>7</v>
      </c>
      <c r="O20" s="108" t="s">
        <v>157</v>
      </c>
      <c r="P20" s="1"/>
      <c r="Q20" s="1"/>
      <c r="R20" s="1"/>
      <c r="S20" s="10"/>
      <c r="T20" s="10"/>
      <c r="U20" s="10"/>
      <c r="V20" s="10"/>
      <c r="W20" s="10"/>
      <c r="X20" s="10"/>
      <c r="Y20" s="10"/>
      <c r="Z20" s="10"/>
    </row>
    <row r="21" ht="89.25" customHeight="1">
      <c r="A21" s="108" t="s">
        <v>158</v>
      </c>
      <c r="B21" s="108" t="s">
        <v>159</v>
      </c>
      <c r="C21" s="108" t="s">
        <v>160</v>
      </c>
      <c r="D21" s="109" t="s">
        <v>161</v>
      </c>
      <c r="E21" s="109" t="s">
        <v>162</v>
      </c>
      <c r="F21" s="108" t="s">
        <v>16</v>
      </c>
      <c r="G21" s="110">
        <v>46235.0</v>
      </c>
      <c r="H21" s="111" t="s">
        <v>7</v>
      </c>
      <c r="I21" s="108" t="s">
        <v>16</v>
      </c>
      <c r="J21" s="110">
        <v>46236.0</v>
      </c>
      <c r="K21" s="111" t="s">
        <v>7</v>
      </c>
      <c r="L21" s="108" t="s">
        <v>16</v>
      </c>
      <c r="M21" s="110">
        <v>46236.0</v>
      </c>
      <c r="N21" s="111" t="s">
        <v>7</v>
      </c>
      <c r="O21" s="108" t="s">
        <v>163</v>
      </c>
      <c r="P21" s="1"/>
      <c r="Q21" s="1"/>
      <c r="R21" s="1"/>
      <c r="S21" s="10"/>
      <c r="T21" s="10"/>
      <c r="U21" s="10"/>
      <c r="V21" s="10"/>
      <c r="W21" s="10"/>
      <c r="X21" s="10"/>
      <c r="Y21" s="10"/>
      <c r="Z21" s="10"/>
    </row>
    <row r="22" ht="102.0" customHeight="1">
      <c r="A22" s="108" t="s">
        <v>164</v>
      </c>
      <c r="B22" s="108" t="s">
        <v>165</v>
      </c>
      <c r="C22" s="108" t="s">
        <v>166</v>
      </c>
      <c r="D22" s="109" t="s">
        <v>167</v>
      </c>
      <c r="E22" s="109" t="s">
        <v>168</v>
      </c>
      <c r="F22" s="108" t="s">
        <v>16</v>
      </c>
      <c r="G22" s="110">
        <v>46235.0</v>
      </c>
      <c r="H22" s="111" t="s">
        <v>7</v>
      </c>
      <c r="I22" s="108" t="s">
        <v>16</v>
      </c>
      <c r="J22" s="110">
        <v>46236.0</v>
      </c>
      <c r="K22" s="111" t="s">
        <v>7</v>
      </c>
      <c r="L22" s="108" t="s">
        <v>16</v>
      </c>
      <c r="M22" s="110">
        <v>46236.0</v>
      </c>
      <c r="N22" s="111" t="s">
        <v>7</v>
      </c>
      <c r="O22" s="108" t="s">
        <v>169</v>
      </c>
      <c r="P22" s="1"/>
      <c r="Q22" s="1"/>
      <c r="R22" s="1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2" t="s">
        <v>52</v>
      </c>
      <c r="B23" s="102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6"/>
      <c r="P23" s="1"/>
      <c r="Q23" s="1"/>
      <c r="R23" s="1"/>
      <c r="S23" s="10"/>
      <c r="T23" s="10"/>
      <c r="U23" s="10"/>
      <c r="V23" s="10"/>
      <c r="W23" s="10"/>
      <c r="X23" s="10"/>
      <c r="Y23" s="10"/>
      <c r="Z23" s="10"/>
    </row>
    <row r="24" ht="102.0" customHeight="1">
      <c r="A24" s="108" t="s">
        <v>170</v>
      </c>
      <c r="B24" s="108" t="s">
        <v>171</v>
      </c>
      <c r="C24" s="108" t="s">
        <v>172</v>
      </c>
      <c r="D24" s="109" t="s">
        <v>173</v>
      </c>
      <c r="E24" s="109" t="s">
        <v>174</v>
      </c>
      <c r="F24" s="108" t="s">
        <v>16</v>
      </c>
      <c r="G24" s="110">
        <v>46235.0</v>
      </c>
      <c r="H24" s="111" t="s">
        <v>7</v>
      </c>
      <c r="I24" s="108" t="s">
        <v>16</v>
      </c>
      <c r="J24" s="110">
        <v>46236.0</v>
      </c>
      <c r="K24" s="111" t="s">
        <v>7</v>
      </c>
      <c r="L24" s="108" t="s">
        <v>16</v>
      </c>
      <c r="M24" s="110">
        <v>46236.0</v>
      </c>
      <c r="N24" s="111" t="s">
        <v>7</v>
      </c>
      <c r="O24" s="108" t="s">
        <v>175</v>
      </c>
      <c r="P24" s="1"/>
      <c r="Q24" s="1"/>
      <c r="R24" s="1"/>
      <c r="S24" s="10"/>
      <c r="T24" s="10"/>
      <c r="U24" s="10"/>
      <c r="V24" s="10"/>
      <c r="W24" s="10"/>
      <c r="X24" s="10"/>
      <c r="Y24" s="10"/>
      <c r="Z24" s="10"/>
    </row>
    <row r="25" ht="89.25" customHeight="1">
      <c r="A25" s="108" t="s">
        <v>176</v>
      </c>
      <c r="B25" s="108" t="s">
        <v>177</v>
      </c>
      <c r="C25" s="108" t="s">
        <v>178</v>
      </c>
      <c r="D25" s="109" t="s">
        <v>179</v>
      </c>
      <c r="E25" s="109" t="s">
        <v>181</v>
      </c>
      <c r="F25" s="108" t="s">
        <v>16</v>
      </c>
      <c r="G25" s="110">
        <v>46235.0</v>
      </c>
      <c r="H25" s="111" t="s">
        <v>7</v>
      </c>
      <c r="I25" s="108" t="s">
        <v>16</v>
      </c>
      <c r="J25" s="110">
        <v>46236.0</v>
      </c>
      <c r="K25" s="111" t="s">
        <v>7</v>
      </c>
      <c r="L25" s="108" t="s">
        <v>16</v>
      </c>
      <c r="M25" s="110">
        <v>46236.0</v>
      </c>
      <c r="N25" s="111" t="s">
        <v>7</v>
      </c>
      <c r="O25" s="108" t="s">
        <v>182</v>
      </c>
      <c r="P25" s="1"/>
      <c r="Q25" s="1"/>
      <c r="R25" s="1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25 I11:I25 L11:L25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55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180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COUNTA(F11:F21)</f>
        <v>8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COUNTIF($F11:$F21,B5)</f>
        <v>8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COUNTIF($I11:$I21,B5)</f>
        <v>8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COUNTIF($L11:$L21,B5)</f>
        <v>8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54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14.75" customHeight="1" outlineLevel="1">
      <c r="A12" s="108" t="s">
        <v>183</v>
      </c>
      <c r="B12" s="108" t="s">
        <v>184</v>
      </c>
      <c r="C12" s="108" t="s">
        <v>185</v>
      </c>
      <c r="D12" s="109" t="s">
        <v>186</v>
      </c>
      <c r="E12" s="109" t="s">
        <v>187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188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102.0" customHeight="1" outlineLevel="1">
      <c r="A13" s="108" t="s">
        <v>189</v>
      </c>
      <c r="B13" s="108" t="s">
        <v>190</v>
      </c>
      <c r="C13" s="108" t="s">
        <v>191</v>
      </c>
      <c r="D13" s="109" t="s">
        <v>192</v>
      </c>
      <c r="E13" s="109" t="s">
        <v>193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194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102.0" customHeight="1" outlineLevel="1">
      <c r="A14" s="108" t="s">
        <v>195</v>
      </c>
      <c r="B14" s="108" t="s">
        <v>196</v>
      </c>
      <c r="C14" s="108" t="s">
        <v>191</v>
      </c>
      <c r="D14" s="109" t="s">
        <v>197</v>
      </c>
      <c r="E14" s="109" t="s">
        <v>198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199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89.25" customHeight="1">
      <c r="A15" s="108" t="s">
        <v>200</v>
      </c>
      <c r="B15" s="108" t="s">
        <v>201</v>
      </c>
      <c r="C15" s="108" t="s">
        <v>202</v>
      </c>
      <c r="D15" s="109" t="s">
        <v>203</v>
      </c>
      <c r="E15" s="109" t="s">
        <v>204</v>
      </c>
      <c r="F15" s="108" t="s">
        <v>16</v>
      </c>
      <c r="G15" s="110">
        <v>46235.0</v>
      </c>
      <c r="H15" s="111" t="s">
        <v>7</v>
      </c>
      <c r="I15" s="108" t="s">
        <v>16</v>
      </c>
      <c r="J15" s="110">
        <v>46236.0</v>
      </c>
      <c r="K15" s="111" t="s">
        <v>7</v>
      </c>
      <c r="L15" s="108" t="s">
        <v>16</v>
      </c>
      <c r="M15" s="110">
        <v>46236.0</v>
      </c>
      <c r="N15" s="111" t="s">
        <v>7</v>
      </c>
      <c r="O15" s="108" t="s">
        <v>205</v>
      </c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2.75" customHeight="1" outlineLevel="1">
      <c r="A16" s="102" t="s">
        <v>56</v>
      </c>
      <c r="B16" s="102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6"/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89.25" customHeight="1" outlineLevel="1">
      <c r="A17" s="108" t="s">
        <v>206</v>
      </c>
      <c r="B17" s="108" t="s">
        <v>207</v>
      </c>
      <c r="C17" s="108" t="s">
        <v>208</v>
      </c>
      <c r="D17" s="109" t="s">
        <v>209</v>
      </c>
      <c r="E17" s="109" t="s">
        <v>210</v>
      </c>
      <c r="F17" s="108" t="s">
        <v>16</v>
      </c>
      <c r="G17" s="110">
        <v>46235.0</v>
      </c>
      <c r="H17" s="111" t="s">
        <v>7</v>
      </c>
      <c r="I17" s="108" t="s">
        <v>16</v>
      </c>
      <c r="J17" s="110">
        <v>46236.0</v>
      </c>
      <c r="K17" s="111" t="s">
        <v>7</v>
      </c>
      <c r="L17" s="108" t="s">
        <v>16</v>
      </c>
      <c r="M17" s="110">
        <v>46236.0</v>
      </c>
      <c r="N17" s="111" t="s">
        <v>7</v>
      </c>
      <c r="O17" s="108" t="s">
        <v>211</v>
      </c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89.25" customHeight="1">
      <c r="A18" s="108" t="s">
        <v>212</v>
      </c>
      <c r="B18" s="108" t="s">
        <v>213</v>
      </c>
      <c r="C18" s="108" t="s">
        <v>214</v>
      </c>
      <c r="D18" s="109" t="s">
        <v>215</v>
      </c>
      <c r="E18" s="109" t="s">
        <v>216</v>
      </c>
      <c r="F18" s="108" t="s">
        <v>16</v>
      </c>
      <c r="G18" s="110">
        <v>46235.0</v>
      </c>
      <c r="H18" s="111" t="s">
        <v>7</v>
      </c>
      <c r="I18" s="108" t="s">
        <v>16</v>
      </c>
      <c r="J18" s="110">
        <v>46236.0</v>
      </c>
      <c r="K18" s="111" t="s">
        <v>7</v>
      </c>
      <c r="L18" s="108" t="s">
        <v>16</v>
      </c>
      <c r="M18" s="110">
        <v>46236.0</v>
      </c>
      <c r="N18" s="111" t="s">
        <v>7</v>
      </c>
      <c r="O18" s="108" t="s">
        <v>217</v>
      </c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2" t="s">
        <v>57</v>
      </c>
      <c r="B19" s="102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6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02.0" customHeight="1">
      <c r="A20" s="108" t="s">
        <v>218</v>
      </c>
      <c r="B20" s="108" t="s">
        <v>219</v>
      </c>
      <c r="C20" s="108" t="s">
        <v>220</v>
      </c>
      <c r="D20" s="109" t="s">
        <v>221</v>
      </c>
      <c r="E20" s="109" t="s">
        <v>222</v>
      </c>
      <c r="F20" s="108" t="s">
        <v>16</v>
      </c>
      <c r="G20" s="110">
        <v>46235.0</v>
      </c>
      <c r="H20" s="111" t="s">
        <v>7</v>
      </c>
      <c r="I20" s="108" t="s">
        <v>16</v>
      </c>
      <c r="J20" s="110">
        <v>46236.0</v>
      </c>
      <c r="K20" s="111" t="s">
        <v>7</v>
      </c>
      <c r="L20" s="108" t="s">
        <v>16</v>
      </c>
      <c r="M20" s="110">
        <v>46236.0</v>
      </c>
      <c r="N20" s="111" t="s">
        <v>7</v>
      </c>
      <c r="O20" s="108" t="s">
        <v>223</v>
      </c>
      <c r="P20" s="1"/>
      <c r="Q20" s="1"/>
      <c r="R20" s="1"/>
      <c r="S20" s="10"/>
      <c r="T20" s="10"/>
      <c r="U20" s="10"/>
      <c r="V20" s="10"/>
      <c r="W20" s="10"/>
      <c r="X20" s="10"/>
      <c r="Y20" s="10"/>
      <c r="Z20" s="10"/>
    </row>
    <row r="21" ht="89.25" customHeight="1">
      <c r="A21" s="108" t="s">
        <v>224</v>
      </c>
      <c r="B21" s="108" t="s">
        <v>225</v>
      </c>
      <c r="C21" s="108" t="s">
        <v>226</v>
      </c>
      <c r="D21" s="109" t="s">
        <v>227</v>
      </c>
      <c r="E21" s="109" t="s">
        <v>228</v>
      </c>
      <c r="F21" s="108" t="s">
        <v>16</v>
      </c>
      <c r="G21" s="110">
        <v>46235.0</v>
      </c>
      <c r="H21" s="111" t="s">
        <v>7</v>
      </c>
      <c r="I21" s="108" t="s">
        <v>16</v>
      </c>
      <c r="J21" s="110">
        <v>46236.0</v>
      </c>
      <c r="K21" s="111" t="s">
        <v>7</v>
      </c>
      <c r="L21" s="108" t="s">
        <v>16</v>
      </c>
      <c r="M21" s="110">
        <v>46236.0</v>
      </c>
      <c r="N21" s="111" t="s">
        <v>7</v>
      </c>
      <c r="O21" s="108" t="s">
        <v>229</v>
      </c>
      <c r="P21" s="1"/>
      <c r="Q21" s="1"/>
      <c r="R21" s="1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21 I11:I21 L11:L21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59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231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COUNTA(F11:F18)</f>
        <v>6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COUNTIF($F11:$F18,B5)</f>
        <v>6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COUNTIF($I11:$I18,B5)</f>
        <v>6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COUNTIF($L11:$L18,B5)</f>
        <v>6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58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02.0" customHeight="1" outlineLevel="1">
      <c r="A12" s="108" t="s">
        <v>244</v>
      </c>
      <c r="B12" s="108" t="s">
        <v>245</v>
      </c>
      <c r="C12" s="108" t="s">
        <v>246</v>
      </c>
      <c r="D12" s="109" t="s">
        <v>248</v>
      </c>
      <c r="E12" s="109" t="s">
        <v>251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255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89.25" customHeight="1" outlineLevel="1">
      <c r="A13" s="108" t="s">
        <v>261</v>
      </c>
      <c r="B13" s="108" t="s">
        <v>262</v>
      </c>
      <c r="C13" s="108" t="s">
        <v>263</v>
      </c>
      <c r="D13" s="109" t="s">
        <v>264</v>
      </c>
      <c r="E13" s="109" t="s">
        <v>265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269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89.25" customHeight="1" outlineLevel="1">
      <c r="A14" s="108" t="s">
        <v>273</v>
      </c>
      <c r="B14" s="108" t="s">
        <v>274</v>
      </c>
      <c r="C14" s="108" t="s">
        <v>275</v>
      </c>
      <c r="D14" s="109" t="s">
        <v>276</v>
      </c>
      <c r="E14" s="109" t="s">
        <v>277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279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102.0" customHeight="1">
      <c r="A15" s="108" t="s">
        <v>280</v>
      </c>
      <c r="B15" s="108" t="s">
        <v>281</v>
      </c>
      <c r="C15" s="108" t="s">
        <v>282</v>
      </c>
      <c r="D15" s="109" t="s">
        <v>283</v>
      </c>
      <c r="E15" s="109" t="s">
        <v>284</v>
      </c>
      <c r="F15" s="108" t="s">
        <v>16</v>
      </c>
      <c r="G15" s="110">
        <v>46235.0</v>
      </c>
      <c r="H15" s="111" t="s">
        <v>7</v>
      </c>
      <c r="I15" s="108" t="s">
        <v>16</v>
      </c>
      <c r="J15" s="110">
        <v>46236.0</v>
      </c>
      <c r="K15" s="111" t="s">
        <v>7</v>
      </c>
      <c r="L15" s="108" t="s">
        <v>16</v>
      </c>
      <c r="M15" s="110">
        <v>46236.0</v>
      </c>
      <c r="N15" s="111" t="s">
        <v>7</v>
      </c>
      <c r="O15" s="108" t="s">
        <v>285</v>
      </c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2.75" customHeight="1" outlineLevel="1">
      <c r="A16" s="102" t="s">
        <v>60</v>
      </c>
      <c r="B16" s="102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6"/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89.25" customHeight="1" outlineLevel="1">
      <c r="A17" s="108" t="s">
        <v>286</v>
      </c>
      <c r="B17" s="108" t="s">
        <v>287</v>
      </c>
      <c r="C17" s="108" t="s">
        <v>288</v>
      </c>
      <c r="D17" s="109" t="s">
        <v>289</v>
      </c>
      <c r="E17" s="109" t="s">
        <v>290</v>
      </c>
      <c r="F17" s="108" t="s">
        <v>16</v>
      </c>
      <c r="G17" s="110">
        <v>46235.0</v>
      </c>
      <c r="H17" s="111" t="s">
        <v>7</v>
      </c>
      <c r="I17" s="108" t="s">
        <v>16</v>
      </c>
      <c r="J17" s="110">
        <v>46236.0</v>
      </c>
      <c r="K17" s="111" t="s">
        <v>7</v>
      </c>
      <c r="L17" s="108" t="s">
        <v>16</v>
      </c>
      <c r="M17" s="110">
        <v>46236.0</v>
      </c>
      <c r="N17" s="111" t="s">
        <v>7</v>
      </c>
      <c r="O17" s="108" t="s">
        <v>291</v>
      </c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89.25" customHeight="1">
      <c r="A18" s="108" t="s">
        <v>292</v>
      </c>
      <c r="B18" s="108" t="s">
        <v>293</v>
      </c>
      <c r="C18" s="108" t="s">
        <v>294</v>
      </c>
      <c r="D18" s="109" t="s">
        <v>295</v>
      </c>
      <c r="E18" s="109" t="s">
        <v>296</v>
      </c>
      <c r="F18" s="108" t="s">
        <v>16</v>
      </c>
      <c r="G18" s="110">
        <v>46235.0</v>
      </c>
      <c r="H18" s="111" t="s">
        <v>7</v>
      </c>
      <c r="I18" s="108" t="s">
        <v>16</v>
      </c>
      <c r="J18" s="110">
        <v>46236.0</v>
      </c>
      <c r="K18" s="111" t="s">
        <v>7</v>
      </c>
      <c r="L18" s="108" t="s">
        <v>16</v>
      </c>
      <c r="M18" s="110">
        <v>46236.0</v>
      </c>
      <c r="N18" s="111" t="s">
        <v>7</v>
      </c>
      <c r="O18" s="108" t="s">
        <v>269</v>
      </c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18 I11:I18 L11:L18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62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230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COUNTA(F11:F16)</f>
        <v>5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COUNTIF($F11:$F16,B5)</f>
        <v>5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COUNTIF($I11:$I16,B5)</f>
        <v>5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COUNTIF($L11:$L16,B5)</f>
        <v>5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61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89.25" customHeight="1" outlineLevel="1">
      <c r="A12" s="108" t="s">
        <v>232</v>
      </c>
      <c r="B12" s="108" t="s">
        <v>233</v>
      </c>
      <c r="C12" s="108" t="s">
        <v>234</v>
      </c>
      <c r="D12" s="109" t="s">
        <v>235</v>
      </c>
      <c r="E12" s="109" t="s">
        <v>236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237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89.25" customHeight="1" outlineLevel="1">
      <c r="A13" s="108" t="s">
        <v>238</v>
      </c>
      <c r="B13" s="108" t="s">
        <v>239</v>
      </c>
      <c r="C13" s="108" t="s">
        <v>240</v>
      </c>
      <c r="D13" s="109" t="s">
        <v>241</v>
      </c>
      <c r="E13" s="109" t="s">
        <v>242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243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89.25" customHeight="1" outlineLevel="1">
      <c r="A14" s="108" t="s">
        <v>247</v>
      </c>
      <c r="B14" s="108" t="s">
        <v>249</v>
      </c>
      <c r="C14" s="108" t="s">
        <v>250</v>
      </c>
      <c r="D14" s="109" t="s">
        <v>252</v>
      </c>
      <c r="E14" s="109" t="s">
        <v>253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254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102.0" customHeight="1">
      <c r="A15" s="108" t="s">
        <v>256</v>
      </c>
      <c r="B15" s="108" t="s">
        <v>257</v>
      </c>
      <c r="C15" s="108" t="s">
        <v>258</v>
      </c>
      <c r="D15" s="109" t="s">
        <v>259</v>
      </c>
      <c r="E15" s="109" t="s">
        <v>260</v>
      </c>
      <c r="F15" s="108" t="s">
        <v>16</v>
      </c>
      <c r="G15" s="110">
        <v>46235.0</v>
      </c>
      <c r="H15" s="111" t="s">
        <v>7</v>
      </c>
      <c r="I15" s="108" t="s">
        <v>16</v>
      </c>
      <c r="J15" s="110">
        <v>46236.0</v>
      </c>
      <c r="K15" s="111" t="s">
        <v>7</v>
      </c>
      <c r="L15" s="108" t="s">
        <v>16</v>
      </c>
      <c r="M15" s="110">
        <v>46236.0</v>
      </c>
      <c r="N15" s="111" t="s">
        <v>7</v>
      </c>
      <c r="O15" s="108" t="s">
        <v>266</v>
      </c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02.0" customHeight="1" outlineLevel="1">
      <c r="A16" s="108" t="s">
        <v>267</v>
      </c>
      <c r="B16" s="108" t="s">
        <v>268</v>
      </c>
      <c r="C16" s="108" t="s">
        <v>270</v>
      </c>
      <c r="D16" s="109" t="s">
        <v>271</v>
      </c>
      <c r="E16" s="109" t="s">
        <v>272</v>
      </c>
      <c r="F16" s="108" t="s">
        <v>16</v>
      </c>
      <c r="G16" s="110">
        <v>46235.0</v>
      </c>
      <c r="H16" s="111" t="s">
        <v>7</v>
      </c>
      <c r="I16" s="108" t="s">
        <v>16</v>
      </c>
      <c r="J16" s="110">
        <v>46236.0</v>
      </c>
      <c r="K16" s="111" t="s">
        <v>7</v>
      </c>
      <c r="L16" s="108" t="s">
        <v>16</v>
      </c>
      <c r="M16" s="110">
        <v>46236.0</v>
      </c>
      <c r="N16" s="111" t="s">
        <v>7</v>
      </c>
      <c r="O16" s="108" t="s">
        <v>278</v>
      </c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08"/>
      <c r="B17" s="108"/>
      <c r="C17" s="108"/>
      <c r="D17" s="108"/>
      <c r="E17" s="108"/>
      <c r="F17" s="108"/>
      <c r="G17" s="117"/>
      <c r="H17" s="117"/>
      <c r="I17" s="108"/>
      <c r="J17" s="117"/>
      <c r="K17" s="117"/>
      <c r="L17" s="108"/>
      <c r="M17" s="117"/>
      <c r="N17" s="117"/>
      <c r="O17" s="117"/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2"/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16 I11:I16 L11:L16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65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297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COUNTA(F11:F17)</f>
        <v>5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COUNTIF($F11:$F17,B5)</f>
        <v>5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COUNTIF($I11:$I17,B5)</f>
        <v>5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COUNTIF($L11:$L17,B5)</f>
        <v>5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64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14.75" customHeight="1" outlineLevel="1">
      <c r="A12" s="108" t="s">
        <v>299</v>
      </c>
      <c r="B12" s="108" t="s">
        <v>301</v>
      </c>
      <c r="C12" s="108" t="s">
        <v>302</v>
      </c>
      <c r="D12" s="109" t="s">
        <v>304</v>
      </c>
      <c r="E12" s="109" t="s">
        <v>306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309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89.25" customHeight="1" outlineLevel="1">
      <c r="A13" s="108" t="s">
        <v>311</v>
      </c>
      <c r="B13" s="108" t="s">
        <v>312</v>
      </c>
      <c r="C13" s="108" t="s">
        <v>313</v>
      </c>
      <c r="D13" s="109" t="s">
        <v>314</v>
      </c>
      <c r="E13" s="109" t="s">
        <v>315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320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102.0" customHeight="1" outlineLevel="1">
      <c r="A14" s="108" t="s">
        <v>322</v>
      </c>
      <c r="B14" s="108" t="s">
        <v>323</v>
      </c>
      <c r="C14" s="108" t="s">
        <v>324</v>
      </c>
      <c r="D14" s="109" t="s">
        <v>325</v>
      </c>
      <c r="E14" s="109" t="s">
        <v>326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328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2" t="s">
        <v>72</v>
      </c>
      <c r="B15" s="102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6"/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02.0" customHeight="1" outlineLevel="1">
      <c r="A16" s="108" t="s">
        <v>330</v>
      </c>
      <c r="B16" s="108" t="s">
        <v>332</v>
      </c>
      <c r="C16" s="108" t="s">
        <v>334</v>
      </c>
      <c r="D16" s="109" t="s">
        <v>335</v>
      </c>
      <c r="E16" s="109" t="s">
        <v>338</v>
      </c>
      <c r="F16" s="108" t="s">
        <v>16</v>
      </c>
      <c r="G16" s="110">
        <v>46235.0</v>
      </c>
      <c r="H16" s="111" t="s">
        <v>7</v>
      </c>
      <c r="I16" s="108" t="s">
        <v>16</v>
      </c>
      <c r="J16" s="110">
        <v>46236.0</v>
      </c>
      <c r="K16" s="111" t="s">
        <v>7</v>
      </c>
      <c r="L16" s="108" t="s">
        <v>16</v>
      </c>
      <c r="M16" s="110">
        <v>46236.0</v>
      </c>
      <c r="N16" s="111" t="s">
        <v>7</v>
      </c>
      <c r="O16" s="108" t="s">
        <v>339</v>
      </c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89.25" customHeight="1" outlineLevel="1">
      <c r="A17" s="108" t="s">
        <v>341</v>
      </c>
      <c r="B17" s="108" t="s">
        <v>342</v>
      </c>
      <c r="C17" s="108" t="s">
        <v>343</v>
      </c>
      <c r="D17" s="109" t="s">
        <v>344</v>
      </c>
      <c r="E17" s="109" t="s">
        <v>345</v>
      </c>
      <c r="F17" s="108" t="s">
        <v>16</v>
      </c>
      <c r="G17" s="110">
        <v>46235.0</v>
      </c>
      <c r="H17" s="111" t="s">
        <v>7</v>
      </c>
      <c r="I17" s="108" t="s">
        <v>16</v>
      </c>
      <c r="J17" s="110">
        <v>46236.0</v>
      </c>
      <c r="K17" s="111" t="s">
        <v>7</v>
      </c>
      <c r="L17" s="108" t="s">
        <v>16</v>
      </c>
      <c r="M17" s="110">
        <v>46236.0</v>
      </c>
      <c r="N17" s="111" t="s">
        <v>7</v>
      </c>
      <c r="O17" s="108" t="s">
        <v>352</v>
      </c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2"/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17 I11:I17 L11:L17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75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298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COUNTA(F11:F16)</f>
        <v>4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COUNTIF($F11:$F16,B5)</f>
        <v>4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COUNTIF($I11:$I16,B5)</f>
        <v>4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COUNTIF($L11:$L16,B5)</f>
        <v>4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74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27.5" customHeight="1" outlineLevel="1">
      <c r="A12" s="108" t="s">
        <v>300</v>
      </c>
      <c r="B12" s="108" t="s">
        <v>303</v>
      </c>
      <c r="C12" s="108" t="s">
        <v>305</v>
      </c>
      <c r="D12" s="109" t="s">
        <v>307</v>
      </c>
      <c r="E12" s="109" t="s">
        <v>308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310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89.25" customHeight="1" outlineLevel="1">
      <c r="A13" s="108" t="s">
        <v>316</v>
      </c>
      <c r="B13" s="108" t="s">
        <v>317</v>
      </c>
      <c r="C13" s="108" t="s">
        <v>318</v>
      </c>
      <c r="D13" s="109" t="s">
        <v>319</v>
      </c>
      <c r="E13" s="109" t="s">
        <v>321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327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12.75" customHeight="1" outlineLevel="1">
      <c r="A14" s="102" t="s">
        <v>76</v>
      </c>
      <c r="B14" s="102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6"/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89.25" customHeight="1">
      <c r="A15" s="108" t="s">
        <v>329</v>
      </c>
      <c r="B15" s="108" t="s">
        <v>331</v>
      </c>
      <c r="C15" s="108" t="s">
        <v>333</v>
      </c>
      <c r="D15" s="109" t="s">
        <v>336</v>
      </c>
      <c r="E15" s="109" t="s">
        <v>337</v>
      </c>
      <c r="F15" s="108" t="s">
        <v>16</v>
      </c>
      <c r="G15" s="110">
        <v>46235.0</v>
      </c>
      <c r="H15" s="111" t="s">
        <v>7</v>
      </c>
      <c r="I15" s="108" t="s">
        <v>16</v>
      </c>
      <c r="J15" s="110">
        <v>46236.0</v>
      </c>
      <c r="K15" s="111" t="s">
        <v>7</v>
      </c>
      <c r="L15" s="108" t="s">
        <v>16</v>
      </c>
      <c r="M15" s="110">
        <v>46236.0</v>
      </c>
      <c r="N15" s="111" t="s">
        <v>7</v>
      </c>
      <c r="O15" s="108" t="s">
        <v>340</v>
      </c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89.25" customHeight="1" outlineLevel="1">
      <c r="A16" s="108" t="s">
        <v>346</v>
      </c>
      <c r="B16" s="108" t="s">
        <v>347</v>
      </c>
      <c r="C16" s="108" t="s">
        <v>348</v>
      </c>
      <c r="D16" s="109" t="s">
        <v>349</v>
      </c>
      <c r="E16" s="109" t="s">
        <v>350</v>
      </c>
      <c r="F16" s="108" t="s">
        <v>16</v>
      </c>
      <c r="G16" s="110">
        <v>46235.0</v>
      </c>
      <c r="H16" s="111" t="s">
        <v>7</v>
      </c>
      <c r="I16" s="108" t="s">
        <v>16</v>
      </c>
      <c r="J16" s="110">
        <v>46236.0</v>
      </c>
      <c r="K16" s="111" t="s">
        <v>7</v>
      </c>
      <c r="L16" s="108" t="s">
        <v>16</v>
      </c>
      <c r="M16" s="110">
        <v>46236.0</v>
      </c>
      <c r="N16" s="111" t="s">
        <v>7</v>
      </c>
      <c r="O16" s="108" t="s">
        <v>351</v>
      </c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08"/>
      <c r="B17" s="108"/>
      <c r="C17" s="108"/>
      <c r="D17" s="108"/>
      <c r="E17" s="108"/>
      <c r="F17" s="108"/>
      <c r="G17" s="117"/>
      <c r="H17" s="117"/>
      <c r="I17" s="108"/>
      <c r="J17" s="117"/>
      <c r="K17" s="117"/>
      <c r="L17" s="108"/>
      <c r="M17" s="117"/>
      <c r="N17" s="117"/>
      <c r="O17" s="117"/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02"/>
      <c r="B18" s="114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6"/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16 I11:I16 L11:L16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83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353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COUNTA(F11:F22)</f>
        <v>6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COUNTIF($F11:$F22,B5)</f>
        <v>6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COUNTIF($I11:$I22,B5)</f>
        <v>6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COUNTIF($L11:$L22,B5)</f>
        <v>6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82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02.0" customHeight="1" outlineLevel="1">
      <c r="A12" s="108" t="s">
        <v>354</v>
      </c>
      <c r="B12" s="108" t="s">
        <v>355</v>
      </c>
      <c r="C12" s="108" t="s">
        <v>356</v>
      </c>
      <c r="D12" s="109" t="s">
        <v>357</v>
      </c>
      <c r="E12" s="109" t="s">
        <v>358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359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12.75" customHeight="1" outlineLevel="1">
      <c r="A13" s="102" t="s">
        <v>84</v>
      </c>
      <c r="B13" s="102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6"/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331.5" customHeight="1" outlineLevel="1">
      <c r="A14" s="108" t="s">
        <v>360</v>
      </c>
      <c r="B14" s="108" t="s">
        <v>361</v>
      </c>
      <c r="C14" s="108" t="s">
        <v>362</v>
      </c>
      <c r="D14" s="109" t="s">
        <v>363</v>
      </c>
      <c r="E14" s="109" t="s">
        <v>364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365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2" t="s">
        <v>85</v>
      </c>
      <c r="B15" s="102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6"/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02.0" customHeight="1" outlineLevel="1">
      <c r="A16" s="108" t="s">
        <v>366</v>
      </c>
      <c r="B16" s="108" t="s">
        <v>367</v>
      </c>
      <c r="C16" s="108" t="s">
        <v>368</v>
      </c>
      <c r="D16" s="109" t="s">
        <v>369</v>
      </c>
      <c r="E16" s="109" t="s">
        <v>370</v>
      </c>
      <c r="F16" s="108" t="s">
        <v>16</v>
      </c>
      <c r="G16" s="110">
        <v>46235.0</v>
      </c>
      <c r="H16" s="111" t="s">
        <v>7</v>
      </c>
      <c r="I16" s="108" t="s">
        <v>16</v>
      </c>
      <c r="J16" s="110">
        <v>46236.0</v>
      </c>
      <c r="K16" s="111" t="s">
        <v>7</v>
      </c>
      <c r="L16" s="108" t="s">
        <v>16</v>
      </c>
      <c r="M16" s="110">
        <v>46236.0</v>
      </c>
      <c r="N16" s="111" t="s">
        <v>7</v>
      </c>
      <c r="O16" s="108" t="s">
        <v>371</v>
      </c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02" t="s">
        <v>87</v>
      </c>
      <c r="B17" s="102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6"/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02.0" customHeight="1">
      <c r="A18" s="108" t="s">
        <v>372</v>
      </c>
      <c r="B18" s="108" t="s">
        <v>373</v>
      </c>
      <c r="C18" s="108" t="s">
        <v>374</v>
      </c>
      <c r="D18" s="109" t="s">
        <v>375</v>
      </c>
      <c r="E18" s="109" t="s">
        <v>376</v>
      </c>
      <c r="F18" s="108" t="s">
        <v>16</v>
      </c>
      <c r="G18" s="110">
        <v>46235.0</v>
      </c>
      <c r="H18" s="111" t="s">
        <v>7</v>
      </c>
      <c r="I18" s="108" t="s">
        <v>16</v>
      </c>
      <c r="J18" s="110">
        <v>46236.0</v>
      </c>
      <c r="K18" s="111" t="s">
        <v>7</v>
      </c>
      <c r="L18" s="108" t="s">
        <v>16</v>
      </c>
      <c r="M18" s="110">
        <v>46236.0</v>
      </c>
      <c r="N18" s="111" t="s">
        <v>7</v>
      </c>
      <c r="O18" s="108" t="s">
        <v>377</v>
      </c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2.75" customHeight="1" outlineLevel="1">
      <c r="A19" s="102" t="s">
        <v>90</v>
      </c>
      <c r="B19" s="102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6"/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02.0" customHeight="1">
      <c r="A20" s="108" t="s">
        <v>378</v>
      </c>
      <c r="B20" s="108" t="s">
        <v>379</v>
      </c>
      <c r="C20" s="108" t="s">
        <v>380</v>
      </c>
      <c r="D20" s="109" t="s">
        <v>381</v>
      </c>
      <c r="E20" s="109" t="s">
        <v>382</v>
      </c>
      <c r="F20" s="108" t="s">
        <v>16</v>
      </c>
      <c r="G20" s="110">
        <v>46235.0</v>
      </c>
      <c r="H20" s="111" t="s">
        <v>7</v>
      </c>
      <c r="I20" s="108" t="s">
        <v>16</v>
      </c>
      <c r="J20" s="110">
        <v>46236.0</v>
      </c>
      <c r="K20" s="111" t="s">
        <v>7</v>
      </c>
      <c r="L20" s="108" t="s">
        <v>16</v>
      </c>
      <c r="M20" s="110">
        <v>46236.0</v>
      </c>
      <c r="N20" s="111" t="s">
        <v>7</v>
      </c>
      <c r="O20" s="108" t="s">
        <v>383</v>
      </c>
      <c r="P20" s="1"/>
      <c r="Q20" s="1"/>
      <c r="R20" s="1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2" t="s">
        <v>94</v>
      </c>
      <c r="B21" s="102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6"/>
      <c r="P21" s="1"/>
      <c r="Q21" s="1"/>
      <c r="R21" s="1"/>
      <c r="S21" s="10"/>
      <c r="T21" s="10"/>
      <c r="U21" s="10"/>
      <c r="V21" s="10"/>
      <c r="W21" s="10"/>
      <c r="X21" s="10"/>
      <c r="Y21" s="10"/>
      <c r="Z21" s="10"/>
    </row>
    <row r="22" ht="369.75" customHeight="1">
      <c r="A22" s="108" t="s">
        <v>384</v>
      </c>
      <c r="B22" s="108" t="s">
        <v>385</v>
      </c>
      <c r="C22" s="108" t="s">
        <v>386</v>
      </c>
      <c r="D22" s="109" t="s">
        <v>387</v>
      </c>
      <c r="E22" s="109" t="s">
        <v>388</v>
      </c>
      <c r="F22" s="108" t="s">
        <v>16</v>
      </c>
      <c r="G22" s="110">
        <v>46235.0</v>
      </c>
      <c r="H22" s="111" t="s">
        <v>7</v>
      </c>
      <c r="I22" s="108" t="s">
        <v>16</v>
      </c>
      <c r="J22" s="110">
        <v>46236.0</v>
      </c>
      <c r="K22" s="111" t="s">
        <v>7</v>
      </c>
      <c r="L22" s="108" t="s">
        <v>16</v>
      </c>
      <c r="M22" s="110">
        <v>46236.0</v>
      </c>
      <c r="N22" s="111" t="s">
        <v>7</v>
      </c>
      <c r="O22" s="108" t="s">
        <v>389</v>
      </c>
      <c r="P22" s="1"/>
      <c r="Q22" s="1"/>
      <c r="R22" s="1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22 I11:I22 L11:L22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97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390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COUNTA(F11:F19)</f>
        <v>7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COUNTIF($F11:$F19,B5)</f>
        <v>7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COUNTIF($I11:$I19,B5)</f>
        <v>7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COUNTIF($L11:$L19,B5)</f>
        <v>7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96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102.0" customHeight="1" outlineLevel="1">
      <c r="A12" s="108" t="s">
        <v>391</v>
      </c>
      <c r="B12" s="108" t="s">
        <v>392</v>
      </c>
      <c r="C12" s="108" t="s">
        <v>393</v>
      </c>
      <c r="D12" s="109" t="s">
        <v>394</v>
      </c>
      <c r="E12" s="109" t="s">
        <v>395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396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102.0" customHeight="1" outlineLevel="1">
      <c r="A13" s="108" t="s">
        <v>397</v>
      </c>
      <c r="B13" s="108" t="s">
        <v>398</v>
      </c>
      <c r="C13" s="108" t="s">
        <v>399</v>
      </c>
      <c r="D13" s="109" t="s">
        <v>400</v>
      </c>
      <c r="E13" s="109" t="s">
        <v>401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402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89.25" customHeight="1" outlineLevel="1">
      <c r="A14" s="108" t="s">
        <v>403</v>
      </c>
      <c r="B14" s="108" t="s">
        <v>404</v>
      </c>
      <c r="C14" s="108" t="s">
        <v>405</v>
      </c>
      <c r="D14" s="109" t="s">
        <v>406</v>
      </c>
      <c r="E14" s="109" t="s">
        <v>407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408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102.0" customHeight="1">
      <c r="A15" s="108" t="s">
        <v>409</v>
      </c>
      <c r="B15" s="108" t="s">
        <v>410</v>
      </c>
      <c r="C15" s="108" t="s">
        <v>411</v>
      </c>
      <c r="D15" s="109" t="s">
        <v>412</v>
      </c>
      <c r="E15" s="109" t="s">
        <v>413</v>
      </c>
      <c r="F15" s="108" t="s">
        <v>16</v>
      </c>
      <c r="G15" s="110">
        <v>46235.0</v>
      </c>
      <c r="H15" s="111" t="s">
        <v>7</v>
      </c>
      <c r="I15" s="108" t="s">
        <v>16</v>
      </c>
      <c r="J15" s="110">
        <v>46236.0</v>
      </c>
      <c r="K15" s="111" t="s">
        <v>7</v>
      </c>
      <c r="L15" s="108" t="s">
        <v>16</v>
      </c>
      <c r="M15" s="110">
        <v>46236.0</v>
      </c>
      <c r="N15" s="111" t="s">
        <v>7</v>
      </c>
      <c r="O15" s="108" t="s">
        <v>414</v>
      </c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12.75" customHeight="1" outlineLevel="1">
      <c r="A16" s="102" t="s">
        <v>103</v>
      </c>
      <c r="B16" s="102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6"/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89.25" customHeight="1" outlineLevel="1">
      <c r="A17" s="108" t="s">
        <v>415</v>
      </c>
      <c r="B17" s="108" t="s">
        <v>416</v>
      </c>
      <c r="C17" s="108" t="s">
        <v>417</v>
      </c>
      <c r="D17" s="109" t="s">
        <v>418</v>
      </c>
      <c r="E17" s="109" t="s">
        <v>419</v>
      </c>
      <c r="F17" s="108" t="s">
        <v>16</v>
      </c>
      <c r="G17" s="110">
        <v>46235.0</v>
      </c>
      <c r="H17" s="111" t="s">
        <v>7</v>
      </c>
      <c r="I17" s="108" t="s">
        <v>16</v>
      </c>
      <c r="J17" s="110">
        <v>46236.0</v>
      </c>
      <c r="K17" s="111" t="s">
        <v>7</v>
      </c>
      <c r="L17" s="108" t="s">
        <v>16</v>
      </c>
      <c r="M17" s="110">
        <v>46236.0</v>
      </c>
      <c r="N17" s="111" t="s">
        <v>7</v>
      </c>
      <c r="O17" s="108" t="s">
        <v>420</v>
      </c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02.0" customHeight="1">
      <c r="A18" s="108" t="s">
        <v>421</v>
      </c>
      <c r="B18" s="108" t="s">
        <v>422</v>
      </c>
      <c r="C18" s="108" t="s">
        <v>423</v>
      </c>
      <c r="D18" s="109" t="s">
        <v>424</v>
      </c>
      <c r="E18" s="109" t="s">
        <v>425</v>
      </c>
      <c r="F18" s="108" t="s">
        <v>16</v>
      </c>
      <c r="G18" s="110">
        <v>46235.0</v>
      </c>
      <c r="H18" s="111" t="s">
        <v>7</v>
      </c>
      <c r="I18" s="108" t="s">
        <v>16</v>
      </c>
      <c r="J18" s="110">
        <v>46236.0</v>
      </c>
      <c r="K18" s="111" t="s">
        <v>7</v>
      </c>
      <c r="L18" s="108" t="s">
        <v>16</v>
      </c>
      <c r="M18" s="110">
        <v>46236.0</v>
      </c>
      <c r="N18" s="111" t="s">
        <v>7</v>
      </c>
      <c r="O18" s="108" t="s">
        <v>426</v>
      </c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102.0" customHeight="1" outlineLevel="1">
      <c r="A19" s="108" t="s">
        <v>427</v>
      </c>
      <c r="B19" s="108" t="s">
        <v>428</v>
      </c>
      <c r="C19" s="108" t="s">
        <v>429</v>
      </c>
      <c r="D19" s="109" t="s">
        <v>430</v>
      </c>
      <c r="E19" s="109" t="s">
        <v>431</v>
      </c>
      <c r="F19" s="108" t="s">
        <v>16</v>
      </c>
      <c r="G19" s="110">
        <v>46235.0</v>
      </c>
      <c r="H19" s="111" t="s">
        <v>7</v>
      </c>
      <c r="I19" s="108" t="s">
        <v>16</v>
      </c>
      <c r="J19" s="110">
        <v>46236.0</v>
      </c>
      <c r="K19" s="111" t="s">
        <v>7</v>
      </c>
      <c r="L19" s="108" t="s">
        <v>16</v>
      </c>
      <c r="M19" s="110">
        <v>46236.0</v>
      </c>
      <c r="N19" s="111" t="s">
        <v>7</v>
      </c>
      <c r="O19" s="108" t="s">
        <v>432</v>
      </c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19 I11:I19 L11:L19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106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433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COUNTA(F11:F19)</f>
        <v>7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COUNTIF($F11:$F19,B5)</f>
        <v>7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COUNTIF($I11:$I19,B5)</f>
        <v>7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COUNTIF($L11:$L19,B5)</f>
        <v>7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105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89.25" customHeight="1" outlineLevel="1">
      <c r="A12" s="108" t="s">
        <v>434</v>
      </c>
      <c r="B12" s="108" t="s">
        <v>435</v>
      </c>
      <c r="C12" s="108" t="s">
        <v>436</v>
      </c>
      <c r="D12" s="109" t="s">
        <v>437</v>
      </c>
      <c r="E12" s="109" t="s">
        <v>438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439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102.0" customHeight="1" outlineLevel="1">
      <c r="A13" s="108" t="s">
        <v>440</v>
      </c>
      <c r="B13" s="108" t="s">
        <v>441</v>
      </c>
      <c r="C13" s="108" t="s">
        <v>442</v>
      </c>
      <c r="D13" s="109" t="s">
        <v>443</v>
      </c>
      <c r="E13" s="109" t="s">
        <v>444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445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102.0" customHeight="1" outlineLevel="1">
      <c r="A14" s="108" t="s">
        <v>446</v>
      </c>
      <c r="B14" s="108" t="s">
        <v>447</v>
      </c>
      <c r="C14" s="108" t="s">
        <v>448</v>
      </c>
      <c r="D14" s="109" t="s">
        <v>449</v>
      </c>
      <c r="E14" s="109" t="s">
        <v>450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451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02" t="s">
        <v>107</v>
      </c>
      <c r="B15" s="102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6"/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89.25" customHeight="1" outlineLevel="1">
      <c r="A16" s="108" t="s">
        <v>452</v>
      </c>
      <c r="B16" s="108" t="s">
        <v>453</v>
      </c>
      <c r="C16" s="108" t="s">
        <v>454</v>
      </c>
      <c r="D16" s="109" t="s">
        <v>455</v>
      </c>
      <c r="E16" s="109" t="s">
        <v>456</v>
      </c>
      <c r="F16" s="108" t="s">
        <v>16</v>
      </c>
      <c r="G16" s="110">
        <v>46235.0</v>
      </c>
      <c r="H16" s="111" t="s">
        <v>7</v>
      </c>
      <c r="I16" s="108" t="s">
        <v>16</v>
      </c>
      <c r="J16" s="110">
        <v>46236.0</v>
      </c>
      <c r="K16" s="111" t="s">
        <v>7</v>
      </c>
      <c r="L16" s="108" t="s">
        <v>16</v>
      </c>
      <c r="M16" s="110">
        <v>46236.0</v>
      </c>
      <c r="N16" s="111" t="s">
        <v>7</v>
      </c>
      <c r="O16" s="108" t="s">
        <v>457</v>
      </c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89.25" customHeight="1" outlineLevel="1">
      <c r="A17" s="108" t="s">
        <v>458</v>
      </c>
      <c r="B17" s="108" t="s">
        <v>459</v>
      </c>
      <c r="C17" s="108" t="s">
        <v>460</v>
      </c>
      <c r="D17" s="109" t="s">
        <v>461</v>
      </c>
      <c r="E17" s="109" t="s">
        <v>462</v>
      </c>
      <c r="F17" s="108" t="s">
        <v>16</v>
      </c>
      <c r="G17" s="110">
        <v>46235.0</v>
      </c>
      <c r="H17" s="111" t="s">
        <v>7</v>
      </c>
      <c r="I17" s="108" t="s">
        <v>16</v>
      </c>
      <c r="J17" s="110">
        <v>46236.0</v>
      </c>
      <c r="K17" s="111" t="s">
        <v>7</v>
      </c>
      <c r="L17" s="108" t="s">
        <v>16</v>
      </c>
      <c r="M17" s="110">
        <v>46236.0</v>
      </c>
      <c r="N17" s="111" t="s">
        <v>7</v>
      </c>
      <c r="O17" s="108" t="s">
        <v>463</v>
      </c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102.0" customHeight="1">
      <c r="A18" s="108" t="s">
        <v>464</v>
      </c>
      <c r="B18" s="108" t="s">
        <v>465</v>
      </c>
      <c r="C18" s="108" t="s">
        <v>466</v>
      </c>
      <c r="D18" s="109" t="s">
        <v>467</v>
      </c>
      <c r="E18" s="109" t="s">
        <v>468</v>
      </c>
      <c r="F18" s="108" t="s">
        <v>16</v>
      </c>
      <c r="G18" s="110">
        <v>46235.0</v>
      </c>
      <c r="H18" s="111" t="s">
        <v>7</v>
      </c>
      <c r="I18" s="108" t="s">
        <v>16</v>
      </c>
      <c r="J18" s="110">
        <v>46236.0</v>
      </c>
      <c r="K18" s="111" t="s">
        <v>7</v>
      </c>
      <c r="L18" s="108" t="s">
        <v>16</v>
      </c>
      <c r="M18" s="110">
        <v>46236.0</v>
      </c>
      <c r="N18" s="111" t="s">
        <v>7</v>
      </c>
      <c r="O18" s="108" t="s">
        <v>469</v>
      </c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76.5" customHeight="1" outlineLevel="1">
      <c r="A19" s="108" t="s">
        <v>470</v>
      </c>
      <c r="B19" s="108" t="s">
        <v>471</v>
      </c>
      <c r="C19" s="108" t="s">
        <v>472</v>
      </c>
      <c r="D19" s="109" t="s">
        <v>473</v>
      </c>
      <c r="E19" s="109" t="s">
        <v>474</v>
      </c>
      <c r="F19" s="108" t="s">
        <v>16</v>
      </c>
      <c r="G19" s="110">
        <v>46235.0</v>
      </c>
      <c r="H19" s="111" t="s">
        <v>7</v>
      </c>
      <c r="I19" s="108" t="s">
        <v>16</v>
      </c>
      <c r="J19" s="110">
        <v>46236.0</v>
      </c>
      <c r="K19" s="111" t="s">
        <v>7</v>
      </c>
      <c r="L19" s="108" t="s">
        <v>16</v>
      </c>
      <c r="M19" s="110">
        <v>46236.0</v>
      </c>
      <c r="N19" s="111" t="s">
        <v>7</v>
      </c>
      <c r="O19" s="108" t="s">
        <v>475</v>
      </c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2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2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2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2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2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2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2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2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2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19 I11:I19 L11:L19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0"/>
      <c r="U1" s="10"/>
      <c r="V1" s="10"/>
      <c r="W1" s="10"/>
      <c r="X1" s="10"/>
      <c r="Y1" s="10"/>
      <c r="Z1" s="10"/>
    </row>
    <row r="2" ht="15.0" customHeight="1">
      <c r="A2" s="27" t="s">
        <v>6</v>
      </c>
      <c r="B2" s="30" t="s">
        <v>109</v>
      </c>
      <c r="C2" s="33"/>
      <c r="D2" s="33"/>
      <c r="E2" s="34"/>
      <c r="F2" s="36"/>
      <c r="G2" s="38"/>
      <c r="H2" s="36"/>
      <c r="I2" s="36"/>
      <c r="J2" s="38"/>
      <c r="K2" s="36"/>
      <c r="L2" s="36"/>
      <c r="M2" s="38"/>
      <c r="N2" s="36"/>
      <c r="O2" s="36"/>
      <c r="P2" s="36"/>
      <c r="Q2" s="36"/>
      <c r="R2" s="16" t="s">
        <v>16</v>
      </c>
      <c r="S2" s="16"/>
      <c r="T2" s="16"/>
      <c r="U2" s="16"/>
      <c r="V2" s="16"/>
      <c r="W2" s="16"/>
      <c r="X2" s="16"/>
      <c r="Y2" s="16"/>
      <c r="Z2" s="16"/>
    </row>
    <row r="3" ht="12.75" customHeight="1">
      <c r="A3" s="41" t="s">
        <v>17</v>
      </c>
      <c r="B3" s="44" t="s">
        <v>476</v>
      </c>
      <c r="C3" s="12"/>
      <c r="D3" s="12"/>
      <c r="E3" s="13"/>
      <c r="F3" s="36"/>
      <c r="G3" s="38"/>
      <c r="H3" s="36"/>
      <c r="I3" s="36"/>
      <c r="J3" s="38"/>
      <c r="K3" s="36"/>
      <c r="L3" s="36"/>
      <c r="M3" s="38"/>
      <c r="N3" s="36"/>
      <c r="O3" s="36"/>
      <c r="P3" s="36"/>
      <c r="Q3" s="36"/>
      <c r="R3" s="16" t="s">
        <v>21</v>
      </c>
      <c r="S3" s="16"/>
      <c r="T3" s="16"/>
      <c r="U3" s="16"/>
      <c r="V3" s="16"/>
      <c r="W3" s="16"/>
      <c r="X3" s="16"/>
      <c r="Y3" s="16"/>
      <c r="Z3" s="16"/>
    </row>
    <row r="4" ht="18.0" customHeight="1">
      <c r="A4" s="41" t="s">
        <v>22</v>
      </c>
      <c r="B4" s="44">
        <f>COUNTA(F11:F28)</f>
        <v>15</v>
      </c>
      <c r="C4" s="12"/>
      <c r="D4" s="12"/>
      <c r="E4" s="13"/>
      <c r="F4" s="36"/>
      <c r="G4" s="38"/>
      <c r="H4" s="36"/>
      <c r="I4" s="36"/>
      <c r="J4" s="38"/>
      <c r="K4" s="36"/>
      <c r="L4" s="36"/>
      <c r="M4" s="38"/>
      <c r="N4" s="36"/>
      <c r="O4" s="36"/>
      <c r="P4" s="36"/>
      <c r="Q4" s="36"/>
      <c r="R4" s="16" t="s">
        <v>32</v>
      </c>
      <c r="S4" s="16"/>
      <c r="T4" s="16"/>
      <c r="U4" s="16"/>
      <c r="V4" s="16"/>
      <c r="W4" s="16"/>
      <c r="X4" s="16"/>
      <c r="Y4" s="16"/>
      <c r="Z4" s="16"/>
    </row>
    <row r="5" ht="19.5" customHeight="1">
      <c r="A5" s="41" t="s">
        <v>33</v>
      </c>
      <c r="B5" s="61" t="s">
        <v>16</v>
      </c>
      <c r="C5" s="61" t="s">
        <v>21</v>
      </c>
      <c r="D5" s="61" t="s">
        <v>32</v>
      </c>
      <c r="E5" s="65" t="s">
        <v>39</v>
      </c>
      <c r="F5" s="67"/>
      <c r="G5" s="67"/>
      <c r="H5" s="70"/>
      <c r="I5" s="67"/>
      <c r="J5" s="67"/>
      <c r="K5" s="70"/>
      <c r="L5" s="67"/>
      <c r="M5" s="67"/>
      <c r="N5" s="70"/>
      <c r="O5" s="70"/>
      <c r="P5" s="70"/>
      <c r="Q5" s="70"/>
      <c r="R5" s="16" t="s">
        <v>39</v>
      </c>
      <c r="S5" s="16"/>
      <c r="T5" s="16"/>
      <c r="U5" s="16"/>
      <c r="V5" s="16"/>
      <c r="W5" s="16"/>
      <c r="X5" s="16"/>
      <c r="Y5" s="16"/>
      <c r="Z5" s="16"/>
    </row>
    <row r="6" ht="15.0" customHeight="1">
      <c r="A6" s="41" t="s">
        <v>41</v>
      </c>
      <c r="B6" s="81">
        <f t="shared" ref="B6:E6" si="1">COUNTIF($F11:$F28,B5)</f>
        <v>15</v>
      </c>
      <c r="C6" s="81">
        <f t="shared" si="1"/>
        <v>0</v>
      </c>
      <c r="D6" s="81">
        <f t="shared" si="1"/>
        <v>0</v>
      </c>
      <c r="E6" s="84">
        <f t="shared" si="1"/>
        <v>0</v>
      </c>
      <c r="F6" s="86"/>
      <c r="G6" s="86"/>
      <c r="H6" s="70"/>
      <c r="I6" s="86"/>
      <c r="J6" s="86"/>
      <c r="K6" s="70"/>
      <c r="L6" s="86"/>
      <c r="M6" s="86"/>
      <c r="N6" s="70"/>
      <c r="O6" s="70"/>
      <c r="P6" s="70"/>
      <c r="Q6" s="70"/>
      <c r="R6" s="1"/>
      <c r="S6" s="16"/>
      <c r="T6" s="16"/>
      <c r="U6" s="16"/>
      <c r="V6" s="16"/>
      <c r="W6" s="16"/>
      <c r="X6" s="16"/>
      <c r="Y6" s="16"/>
      <c r="Z6" s="16"/>
    </row>
    <row r="7" ht="15.0" customHeight="1">
      <c r="A7" s="41" t="s">
        <v>50</v>
      </c>
      <c r="B7" s="81">
        <f t="shared" ref="B7:E7" si="2">COUNTIF($I11:$I28,B5)</f>
        <v>15</v>
      </c>
      <c r="C7" s="81">
        <f t="shared" si="2"/>
        <v>0</v>
      </c>
      <c r="D7" s="81">
        <f t="shared" si="2"/>
        <v>0</v>
      </c>
      <c r="E7" s="84">
        <f t="shared" si="2"/>
        <v>0</v>
      </c>
      <c r="F7" s="86"/>
      <c r="G7" s="86"/>
      <c r="H7" s="70"/>
      <c r="I7" s="86"/>
      <c r="J7" s="86"/>
      <c r="K7" s="70"/>
      <c r="L7" s="86"/>
      <c r="M7" s="86"/>
      <c r="N7" s="70"/>
      <c r="O7" s="70"/>
      <c r="P7" s="70"/>
      <c r="Q7" s="70"/>
      <c r="R7" s="1"/>
      <c r="S7" s="16"/>
      <c r="T7" s="16"/>
      <c r="U7" s="16"/>
      <c r="V7" s="16"/>
      <c r="W7" s="16"/>
      <c r="X7" s="16"/>
      <c r="Y7" s="16"/>
      <c r="Z7" s="16"/>
    </row>
    <row r="8" ht="15.0" customHeight="1">
      <c r="A8" s="92" t="s">
        <v>53</v>
      </c>
      <c r="B8" s="94">
        <f t="shared" ref="B8:E8" si="3">COUNTIF($L11:$L28,B5)</f>
        <v>15</v>
      </c>
      <c r="C8" s="94">
        <f t="shared" si="3"/>
        <v>0</v>
      </c>
      <c r="D8" s="94">
        <f t="shared" si="3"/>
        <v>0</v>
      </c>
      <c r="E8" s="95">
        <f t="shared" si="3"/>
        <v>0</v>
      </c>
      <c r="F8" s="86"/>
      <c r="G8" s="86"/>
      <c r="H8" s="70"/>
      <c r="I8" s="86"/>
      <c r="J8" s="86"/>
      <c r="K8" s="70"/>
      <c r="L8" s="86"/>
      <c r="M8" s="86"/>
      <c r="N8" s="70"/>
      <c r="O8" s="70"/>
      <c r="P8" s="70"/>
      <c r="Q8" s="70"/>
      <c r="R8" s="1"/>
      <c r="S8" s="16"/>
      <c r="T8" s="16"/>
      <c r="U8" s="16"/>
      <c r="V8" s="16"/>
      <c r="W8" s="16"/>
      <c r="X8" s="16"/>
      <c r="Y8" s="16"/>
      <c r="Z8" s="16"/>
    </row>
    <row r="9" ht="15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1"/>
      <c r="S9" s="16"/>
      <c r="T9" s="16"/>
      <c r="U9" s="16"/>
      <c r="V9" s="16"/>
      <c r="W9" s="16"/>
      <c r="X9" s="16"/>
      <c r="Y9" s="16"/>
      <c r="Z9" s="16"/>
    </row>
    <row r="10" ht="25.5" customHeight="1">
      <c r="A10" s="100" t="s">
        <v>63</v>
      </c>
      <c r="B10" s="100" t="s">
        <v>66</v>
      </c>
      <c r="C10" s="100" t="s">
        <v>67</v>
      </c>
      <c r="D10" s="100" t="s">
        <v>68</v>
      </c>
      <c r="E10" s="100" t="s">
        <v>69</v>
      </c>
      <c r="F10" s="100" t="s">
        <v>41</v>
      </c>
      <c r="G10" s="100" t="s">
        <v>70</v>
      </c>
      <c r="H10" s="100" t="s">
        <v>71</v>
      </c>
      <c r="I10" s="100" t="s">
        <v>50</v>
      </c>
      <c r="J10" s="100" t="s">
        <v>70</v>
      </c>
      <c r="K10" s="100" t="s">
        <v>71</v>
      </c>
      <c r="L10" s="100" t="s">
        <v>53</v>
      </c>
      <c r="M10" s="100" t="s">
        <v>70</v>
      </c>
      <c r="N10" s="100" t="s">
        <v>71</v>
      </c>
      <c r="O10" s="100" t="s">
        <v>73</v>
      </c>
      <c r="P10" s="1"/>
      <c r="Q10" s="67"/>
      <c r="R10" s="1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02" t="s">
        <v>108</v>
      </c>
      <c r="B11" s="102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6"/>
      <c r="P11" s="1"/>
      <c r="Q11" s="107"/>
      <c r="R11" s="1"/>
      <c r="S11" s="16"/>
      <c r="T11" s="16"/>
      <c r="U11" s="16"/>
      <c r="V11" s="16"/>
      <c r="W11" s="16"/>
      <c r="X11" s="16"/>
      <c r="Y11" s="16"/>
      <c r="Z11" s="16"/>
    </row>
    <row r="12" ht="89.25" customHeight="1" outlineLevel="1">
      <c r="A12" s="108" t="s">
        <v>477</v>
      </c>
      <c r="B12" s="108" t="s">
        <v>478</v>
      </c>
      <c r="C12" s="108" t="s">
        <v>479</v>
      </c>
      <c r="D12" s="109" t="s">
        <v>480</v>
      </c>
      <c r="E12" s="109" t="s">
        <v>481</v>
      </c>
      <c r="F12" s="108" t="s">
        <v>16</v>
      </c>
      <c r="G12" s="110">
        <v>46235.0</v>
      </c>
      <c r="H12" s="111" t="s">
        <v>7</v>
      </c>
      <c r="I12" s="108" t="s">
        <v>16</v>
      </c>
      <c r="J12" s="110">
        <v>46236.0</v>
      </c>
      <c r="K12" s="111" t="s">
        <v>7</v>
      </c>
      <c r="L12" s="108" t="s">
        <v>16</v>
      </c>
      <c r="M12" s="110">
        <v>46236.0</v>
      </c>
      <c r="N12" s="111" t="s">
        <v>7</v>
      </c>
      <c r="O12" s="108" t="s">
        <v>482</v>
      </c>
      <c r="P12" s="1"/>
      <c r="Q12" s="112"/>
      <c r="R12" s="1"/>
      <c r="S12" s="113"/>
      <c r="T12" s="113"/>
      <c r="U12" s="113"/>
      <c r="V12" s="113"/>
      <c r="W12" s="113"/>
      <c r="X12" s="113"/>
      <c r="Y12" s="113"/>
      <c r="Z12" s="113"/>
    </row>
    <row r="13" ht="89.25" customHeight="1" outlineLevel="1">
      <c r="A13" s="108" t="s">
        <v>483</v>
      </c>
      <c r="B13" s="108" t="s">
        <v>484</v>
      </c>
      <c r="C13" s="108" t="s">
        <v>485</v>
      </c>
      <c r="D13" s="109" t="s">
        <v>486</v>
      </c>
      <c r="E13" s="109" t="s">
        <v>487</v>
      </c>
      <c r="F13" s="108" t="s">
        <v>16</v>
      </c>
      <c r="G13" s="110">
        <v>46235.0</v>
      </c>
      <c r="H13" s="111" t="s">
        <v>7</v>
      </c>
      <c r="I13" s="108" t="s">
        <v>16</v>
      </c>
      <c r="J13" s="110">
        <v>46236.0</v>
      </c>
      <c r="K13" s="111" t="s">
        <v>7</v>
      </c>
      <c r="L13" s="108" t="s">
        <v>16</v>
      </c>
      <c r="M13" s="110">
        <v>46236.0</v>
      </c>
      <c r="N13" s="111" t="s">
        <v>7</v>
      </c>
      <c r="O13" s="108" t="s">
        <v>488</v>
      </c>
      <c r="P13" s="1"/>
      <c r="Q13" s="112"/>
      <c r="R13" s="1"/>
      <c r="S13" s="10"/>
      <c r="T13" s="10"/>
      <c r="U13" s="10"/>
      <c r="V13" s="10"/>
      <c r="W13" s="10"/>
      <c r="X13" s="10"/>
      <c r="Y13" s="10"/>
      <c r="Z13" s="10"/>
    </row>
    <row r="14" ht="89.25" customHeight="1" outlineLevel="1">
      <c r="A14" s="108" t="s">
        <v>489</v>
      </c>
      <c r="B14" s="108" t="s">
        <v>490</v>
      </c>
      <c r="C14" s="108" t="s">
        <v>491</v>
      </c>
      <c r="D14" s="109" t="s">
        <v>492</v>
      </c>
      <c r="E14" s="109" t="s">
        <v>493</v>
      </c>
      <c r="F14" s="108" t="s">
        <v>16</v>
      </c>
      <c r="G14" s="110">
        <v>46235.0</v>
      </c>
      <c r="H14" s="111" t="s">
        <v>7</v>
      </c>
      <c r="I14" s="108" t="s">
        <v>16</v>
      </c>
      <c r="J14" s="110">
        <v>46236.0</v>
      </c>
      <c r="K14" s="111" t="s">
        <v>7</v>
      </c>
      <c r="L14" s="108" t="s">
        <v>16</v>
      </c>
      <c r="M14" s="110">
        <v>46236.0</v>
      </c>
      <c r="N14" s="111" t="s">
        <v>7</v>
      </c>
      <c r="O14" s="108" t="s">
        <v>494</v>
      </c>
      <c r="P14" s="1"/>
      <c r="Q14" s="112"/>
      <c r="R14" s="1"/>
      <c r="S14" s="10"/>
      <c r="T14" s="10"/>
      <c r="U14" s="10"/>
      <c r="V14" s="10"/>
      <c r="W14" s="10"/>
      <c r="X14" s="10"/>
      <c r="Y14" s="10"/>
      <c r="Z14" s="10"/>
    </row>
    <row r="15" ht="89.25" customHeight="1">
      <c r="A15" s="108" t="s">
        <v>495</v>
      </c>
      <c r="B15" s="108" t="s">
        <v>496</v>
      </c>
      <c r="C15" s="108" t="s">
        <v>497</v>
      </c>
      <c r="D15" s="109" t="s">
        <v>498</v>
      </c>
      <c r="E15" s="109" t="s">
        <v>499</v>
      </c>
      <c r="F15" s="108" t="s">
        <v>16</v>
      </c>
      <c r="G15" s="110">
        <v>46235.0</v>
      </c>
      <c r="H15" s="111" t="s">
        <v>7</v>
      </c>
      <c r="I15" s="108" t="s">
        <v>16</v>
      </c>
      <c r="J15" s="110">
        <v>46236.0</v>
      </c>
      <c r="K15" s="111" t="s">
        <v>7</v>
      </c>
      <c r="L15" s="108" t="s">
        <v>16</v>
      </c>
      <c r="M15" s="110">
        <v>46236.0</v>
      </c>
      <c r="N15" s="111" t="s">
        <v>7</v>
      </c>
      <c r="O15" s="108" t="s">
        <v>500</v>
      </c>
      <c r="P15" s="1"/>
      <c r="Q15" s="107"/>
      <c r="R15" s="1"/>
      <c r="S15" s="16"/>
      <c r="T15" s="16"/>
      <c r="U15" s="16"/>
      <c r="V15" s="16"/>
      <c r="W15" s="16"/>
      <c r="X15" s="16"/>
      <c r="Y15" s="16"/>
      <c r="Z15" s="16"/>
    </row>
    <row r="16" ht="89.25" customHeight="1" outlineLevel="1">
      <c r="A16" s="108" t="s">
        <v>501</v>
      </c>
      <c r="B16" s="108" t="s">
        <v>502</v>
      </c>
      <c r="C16" s="108" t="s">
        <v>503</v>
      </c>
      <c r="D16" s="109" t="s">
        <v>504</v>
      </c>
      <c r="E16" s="109" t="s">
        <v>505</v>
      </c>
      <c r="F16" s="108" t="s">
        <v>16</v>
      </c>
      <c r="G16" s="110">
        <v>46235.0</v>
      </c>
      <c r="H16" s="111" t="s">
        <v>7</v>
      </c>
      <c r="I16" s="108" t="s">
        <v>16</v>
      </c>
      <c r="J16" s="110">
        <v>46236.0</v>
      </c>
      <c r="K16" s="111" t="s">
        <v>7</v>
      </c>
      <c r="L16" s="108" t="s">
        <v>16</v>
      </c>
      <c r="M16" s="110">
        <v>46236.0</v>
      </c>
      <c r="N16" s="111" t="s">
        <v>7</v>
      </c>
      <c r="O16" s="108" t="s">
        <v>506</v>
      </c>
      <c r="P16" s="1"/>
      <c r="Q16" s="112"/>
      <c r="R16" s="1"/>
      <c r="S16" s="10"/>
      <c r="T16" s="10"/>
      <c r="U16" s="10"/>
      <c r="V16" s="10"/>
      <c r="W16" s="10"/>
      <c r="X16" s="10"/>
      <c r="Y16" s="10"/>
      <c r="Z16" s="10"/>
    </row>
    <row r="17" ht="12.75" customHeight="1" outlineLevel="1">
      <c r="A17" s="102" t="s">
        <v>110</v>
      </c>
      <c r="B17" s="102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6"/>
      <c r="P17" s="1"/>
      <c r="Q17" s="1"/>
      <c r="R17" s="1"/>
      <c r="S17" s="10"/>
      <c r="T17" s="10"/>
      <c r="U17" s="10"/>
      <c r="V17" s="10"/>
      <c r="W17" s="10"/>
      <c r="X17" s="10"/>
      <c r="Y17" s="10"/>
      <c r="Z17" s="10"/>
    </row>
    <row r="18" ht="89.25" customHeight="1">
      <c r="A18" s="108" t="s">
        <v>507</v>
      </c>
      <c r="B18" s="108" t="s">
        <v>508</v>
      </c>
      <c r="C18" s="108" t="s">
        <v>509</v>
      </c>
      <c r="D18" s="109" t="s">
        <v>510</v>
      </c>
      <c r="E18" s="109" t="s">
        <v>511</v>
      </c>
      <c r="F18" s="108" t="s">
        <v>16</v>
      </c>
      <c r="G18" s="110">
        <v>46235.0</v>
      </c>
      <c r="H18" s="111" t="s">
        <v>7</v>
      </c>
      <c r="I18" s="108" t="s">
        <v>16</v>
      </c>
      <c r="J18" s="110">
        <v>46236.0</v>
      </c>
      <c r="K18" s="111" t="s">
        <v>7</v>
      </c>
      <c r="L18" s="108" t="s">
        <v>16</v>
      </c>
      <c r="M18" s="110">
        <v>46236.0</v>
      </c>
      <c r="N18" s="111" t="s">
        <v>7</v>
      </c>
      <c r="O18" s="108" t="s">
        <v>512</v>
      </c>
      <c r="P18" s="1"/>
      <c r="Q18" s="107"/>
      <c r="R18" s="1"/>
      <c r="S18" s="16"/>
      <c r="T18" s="16"/>
      <c r="U18" s="16"/>
      <c r="V18" s="16"/>
      <c r="W18" s="16"/>
      <c r="X18" s="16"/>
      <c r="Y18" s="16"/>
      <c r="Z18" s="16"/>
    </row>
    <row r="19" ht="89.25" customHeight="1" outlineLevel="1">
      <c r="A19" s="108" t="s">
        <v>513</v>
      </c>
      <c r="B19" s="108" t="s">
        <v>514</v>
      </c>
      <c r="C19" s="108" t="s">
        <v>509</v>
      </c>
      <c r="D19" s="109" t="s">
        <v>515</v>
      </c>
      <c r="E19" s="109" t="s">
        <v>516</v>
      </c>
      <c r="F19" s="108" t="s">
        <v>16</v>
      </c>
      <c r="G19" s="110">
        <v>46235.0</v>
      </c>
      <c r="H19" s="111" t="s">
        <v>7</v>
      </c>
      <c r="I19" s="108" t="s">
        <v>16</v>
      </c>
      <c r="J19" s="110">
        <v>46236.0</v>
      </c>
      <c r="K19" s="111" t="s">
        <v>7</v>
      </c>
      <c r="L19" s="108" t="s">
        <v>16</v>
      </c>
      <c r="M19" s="110">
        <v>46236.0</v>
      </c>
      <c r="N19" s="111" t="s">
        <v>7</v>
      </c>
      <c r="O19" s="108" t="s">
        <v>517</v>
      </c>
      <c r="P19" s="1"/>
      <c r="Q19" s="112"/>
      <c r="R19" s="1"/>
      <c r="S19" s="10"/>
      <c r="T19" s="10"/>
      <c r="U19" s="10"/>
      <c r="V19" s="10"/>
      <c r="W19" s="10"/>
      <c r="X19" s="10"/>
      <c r="Y19" s="10"/>
      <c r="Z19" s="10"/>
    </row>
    <row r="20" ht="89.25" customHeight="1">
      <c r="A20" s="108" t="s">
        <v>518</v>
      </c>
      <c r="B20" s="108" t="s">
        <v>519</v>
      </c>
      <c r="C20" s="108" t="s">
        <v>520</v>
      </c>
      <c r="D20" s="109" t="s">
        <v>521</v>
      </c>
      <c r="E20" s="109" t="s">
        <v>522</v>
      </c>
      <c r="F20" s="108" t="s">
        <v>16</v>
      </c>
      <c r="G20" s="110">
        <v>46235.0</v>
      </c>
      <c r="H20" s="111" t="s">
        <v>7</v>
      </c>
      <c r="I20" s="108" t="s">
        <v>16</v>
      </c>
      <c r="J20" s="110">
        <v>46236.0</v>
      </c>
      <c r="K20" s="111" t="s">
        <v>7</v>
      </c>
      <c r="L20" s="108" t="s">
        <v>16</v>
      </c>
      <c r="M20" s="110">
        <v>46236.0</v>
      </c>
      <c r="N20" s="111" t="s">
        <v>7</v>
      </c>
      <c r="O20" s="108" t="s">
        <v>523</v>
      </c>
      <c r="P20" s="1"/>
      <c r="Q20" s="1"/>
      <c r="R20" s="1"/>
      <c r="S20" s="10"/>
      <c r="T20" s="10"/>
      <c r="U20" s="10"/>
      <c r="V20" s="10"/>
      <c r="W20" s="10"/>
      <c r="X20" s="10"/>
      <c r="Y20" s="10"/>
      <c r="Z20" s="10"/>
    </row>
    <row r="21" ht="89.25" customHeight="1">
      <c r="A21" s="108" t="s">
        <v>524</v>
      </c>
      <c r="B21" s="108" t="s">
        <v>525</v>
      </c>
      <c r="C21" s="108" t="s">
        <v>526</v>
      </c>
      <c r="D21" s="109" t="s">
        <v>527</v>
      </c>
      <c r="E21" s="109" t="s">
        <v>528</v>
      </c>
      <c r="F21" s="108" t="s">
        <v>16</v>
      </c>
      <c r="G21" s="110">
        <v>46235.0</v>
      </c>
      <c r="H21" s="111" t="s">
        <v>7</v>
      </c>
      <c r="I21" s="108" t="s">
        <v>16</v>
      </c>
      <c r="J21" s="110">
        <v>46236.0</v>
      </c>
      <c r="K21" s="111" t="s">
        <v>7</v>
      </c>
      <c r="L21" s="108" t="s">
        <v>16</v>
      </c>
      <c r="M21" s="110">
        <v>46236.0</v>
      </c>
      <c r="N21" s="111" t="s">
        <v>7</v>
      </c>
      <c r="O21" s="108" t="s">
        <v>529</v>
      </c>
      <c r="P21" s="1"/>
      <c r="Q21" s="1"/>
      <c r="R21" s="1"/>
      <c r="S21" s="10"/>
      <c r="T21" s="10"/>
      <c r="U21" s="10"/>
      <c r="V21" s="10"/>
      <c r="W21" s="10"/>
      <c r="X21" s="10"/>
      <c r="Y21" s="10"/>
      <c r="Z21" s="10"/>
    </row>
    <row r="22" ht="357.0" customHeight="1">
      <c r="A22" s="108" t="s">
        <v>530</v>
      </c>
      <c r="B22" s="108" t="s">
        <v>531</v>
      </c>
      <c r="C22" s="108" t="s">
        <v>532</v>
      </c>
      <c r="D22" s="109" t="s">
        <v>533</v>
      </c>
      <c r="E22" s="109" t="s">
        <v>534</v>
      </c>
      <c r="F22" s="108" t="s">
        <v>16</v>
      </c>
      <c r="G22" s="110">
        <v>46235.0</v>
      </c>
      <c r="H22" s="111" t="s">
        <v>7</v>
      </c>
      <c r="I22" s="108" t="s">
        <v>16</v>
      </c>
      <c r="J22" s="110">
        <v>46236.0</v>
      </c>
      <c r="K22" s="111" t="s">
        <v>7</v>
      </c>
      <c r="L22" s="108" t="s">
        <v>16</v>
      </c>
      <c r="M22" s="110">
        <v>46236.0</v>
      </c>
      <c r="N22" s="111" t="s">
        <v>7</v>
      </c>
      <c r="O22" s="108" t="s">
        <v>535</v>
      </c>
      <c r="P22" s="1"/>
      <c r="Q22" s="1"/>
      <c r="R22" s="1"/>
      <c r="S22" s="10"/>
      <c r="T22" s="10"/>
      <c r="U22" s="10"/>
      <c r="V22" s="10"/>
      <c r="W22" s="10"/>
      <c r="X22" s="10"/>
      <c r="Y22" s="10"/>
      <c r="Z22" s="10"/>
    </row>
    <row r="23" ht="357.0" customHeight="1">
      <c r="A23" s="108" t="s">
        <v>536</v>
      </c>
      <c r="B23" s="108" t="s">
        <v>537</v>
      </c>
      <c r="C23" s="108" t="s">
        <v>532</v>
      </c>
      <c r="D23" s="109" t="s">
        <v>538</v>
      </c>
      <c r="E23" s="109" t="s">
        <v>539</v>
      </c>
      <c r="F23" s="108" t="s">
        <v>16</v>
      </c>
      <c r="G23" s="110">
        <v>46235.0</v>
      </c>
      <c r="H23" s="111" t="s">
        <v>7</v>
      </c>
      <c r="I23" s="108" t="s">
        <v>16</v>
      </c>
      <c r="J23" s="110">
        <v>46236.0</v>
      </c>
      <c r="K23" s="111" t="s">
        <v>7</v>
      </c>
      <c r="L23" s="108" t="s">
        <v>16</v>
      </c>
      <c r="M23" s="110">
        <v>46236.0</v>
      </c>
      <c r="N23" s="111" t="s">
        <v>7</v>
      </c>
      <c r="O23" s="108" t="s">
        <v>540</v>
      </c>
      <c r="P23" s="1"/>
      <c r="Q23" s="1"/>
      <c r="R23" s="1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2" t="s">
        <v>111</v>
      </c>
      <c r="B24" s="102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6"/>
      <c r="P24" s="1"/>
      <c r="Q24" s="1"/>
      <c r="R24" s="1"/>
      <c r="S24" s="10"/>
      <c r="T24" s="10"/>
      <c r="U24" s="10"/>
      <c r="V24" s="10"/>
      <c r="W24" s="10"/>
      <c r="X24" s="10"/>
      <c r="Y24" s="10"/>
      <c r="Z24" s="10"/>
    </row>
    <row r="25" ht="89.25" customHeight="1">
      <c r="A25" s="108" t="s">
        <v>541</v>
      </c>
      <c r="B25" s="108" t="s">
        <v>542</v>
      </c>
      <c r="C25" s="108" t="s">
        <v>543</v>
      </c>
      <c r="D25" s="109" t="s">
        <v>544</v>
      </c>
      <c r="E25" s="109" t="s">
        <v>545</v>
      </c>
      <c r="F25" s="108" t="s">
        <v>16</v>
      </c>
      <c r="G25" s="110">
        <v>46235.0</v>
      </c>
      <c r="H25" s="111" t="s">
        <v>7</v>
      </c>
      <c r="I25" s="108" t="s">
        <v>16</v>
      </c>
      <c r="J25" s="110">
        <v>46236.0</v>
      </c>
      <c r="K25" s="111" t="s">
        <v>7</v>
      </c>
      <c r="L25" s="108" t="s">
        <v>16</v>
      </c>
      <c r="M25" s="110">
        <v>46236.0</v>
      </c>
      <c r="N25" s="111" t="s">
        <v>7</v>
      </c>
      <c r="O25" s="108" t="s">
        <v>546</v>
      </c>
      <c r="P25" s="1"/>
      <c r="Q25" s="1"/>
      <c r="R25" s="1"/>
      <c r="S25" s="10"/>
      <c r="T25" s="10"/>
      <c r="U25" s="10"/>
      <c r="V25" s="10"/>
      <c r="W25" s="10"/>
      <c r="X25" s="10"/>
      <c r="Y25" s="10"/>
      <c r="Z25" s="10"/>
    </row>
    <row r="26" ht="89.25" customHeight="1">
      <c r="A26" s="108" t="s">
        <v>547</v>
      </c>
      <c r="B26" s="108" t="s">
        <v>548</v>
      </c>
      <c r="C26" s="108" t="s">
        <v>549</v>
      </c>
      <c r="D26" s="109" t="s">
        <v>550</v>
      </c>
      <c r="E26" s="109" t="s">
        <v>551</v>
      </c>
      <c r="F26" s="108" t="s">
        <v>16</v>
      </c>
      <c r="G26" s="110">
        <v>46235.0</v>
      </c>
      <c r="H26" s="111" t="s">
        <v>7</v>
      </c>
      <c r="I26" s="108" t="s">
        <v>16</v>
      </c>
      <c r="J26" s="110">
        <v>46236.0</v>
      </c>
      <c r="K26" s="111" t="s">
        <v>7</v>
      </c>
      <c r="L26" s="108" t="s">
        <v>16</v>
      </c>
      <c r="M26" s="110">
        <v>46236.0</v>
      </c>
      <c r="N26" s="111" t="s">
        <v>7</v>
      </c>
      <c r="O26" s="108" t="s">
        <v>552</v>
      </c>
      <c r="P26" s="1"/>
      <c r="Q26" s="1"/>
      <c r="R26" s="1"/>
      <c r="S26" s="10"/>
      <c r="T26" s="10"/>
      <c r="U26" s="10"/>
      <c r="V26" s="10"/>
      <c r="W26" s="10"/>
      <c r="X26" s="10"/>
      <c r="Y26" s="10"/>
      <c r="Z26" s="10"/>
    </row>
    <row r="27" ht="114.75" customHeight="1">
      <c r="A27" s="108" t="s">
        <v>553</v>
      </c>
      <c r="B27" s="108" t="s">
        <v>554</v>
      </c>
      <c r="C27" s="108" t="s">
        <v>555</v>
      </c>
      <c r="D27" s="109" t="s">
        <v>556</v>
      </c>
      <c r="E27" s="109" t="s">
        <v>557</v>
      </c>
      <c r="F27" s="108" t="s">
        <v>16</v>
      </c>
      <c r="G27" s="110">
        <v>46235.0</v>
      </c>
      <c r="H27" s="111" t="s">
        <v>7</v>
      </c>
      <c r="I27" s="108" t="s">
        <v>16</v>
      </c>
      <c r="J27" s="110">
        <v>46236.0</v>
      </c>
      <c r="K27" s="111" t="s">
        <v>7</v>
      </c>
      <c r="L27" s="108" t="s">
        <v>16</v>
      </c>
      <c r="M27" s="110">
        <v>46236.0</v>
      </c>
      <c r="N27" s="111" t="s">
        <v>7</v>
      </c>
      <c r="O27" s="108" t="s">
        <v>558</v>
      </c>
      <c r="P27" s="1"/>
      <c r="Q27" s="1"/>
      <c r="R27" s="1"/>
      <c r="S27" s="10"/>
      <c r="T27" s="10"/>
      <c r="U27" s="10"/>
      <c r="V27" s="10"/>
      <c r="W27" s="10"/>
      <c r="X27" s="10"/>
      <c r="Y27" s="10"/>
      <c r="Z27" s="10"/>
    </row>
    <row r="28" ht="89.25" customHeight="1">
      <c r="A28" s="108" t="s">
        <v>559</v>
      </c>
      <c r="B28" s="108" t="s">
        <v>560</v>
      </c>
      <c r="C28" s="108" t="s">
        <v>561</v>
      </c>
      <c r="D28" s="109" t="s">
        <v>562</v>
      </c>
      <c r="E28" s="109" t="s">
        <v>563</v>
      </c>
      <c r="F28" s="108" t="s">
        <v>16</v>
      </c>
      <c r="G28" s="110">
        <v>46235.0</v>
      </c>
      <c r="H28" s="111" t="s">
        <v>7</v>
      </c>
      <c r="I28" s="108" t="s">
        <v>16</v>
      </c>
      <c r="J28" s="110">
        <v>46236.0</v>
      </c>
      <c r="K28" s="111" t="s">
        <v>7</v>
      </c>
      <c r="L28" s="108" t="s">
        <v>16</v>
      </c>
      <c r="M28" s="110">
        <v>46236.0</v>
      </c>
      <c r="N28" s="111" t="s">
        <v>7</v>
      </c>
      <c r="O28" s="108" t="s">
        <v>564</v>
      </c>
      <c r="P28" s="1"/>
      <c r="Q28" s="1"/>
      <c r="R28" s="1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2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2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2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2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2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2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2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2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2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2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2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2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2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2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2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2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2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2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2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2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2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2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2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2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2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2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2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2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2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2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2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2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2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2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2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2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2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2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2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2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2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2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2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2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2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2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2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2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2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2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2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2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2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2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2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2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2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2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2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2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2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2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2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2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2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2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2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2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2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2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2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2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2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2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2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2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2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2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2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2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2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2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2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2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2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2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2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2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2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2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2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2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2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2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2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2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2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2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2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2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2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2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2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2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2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2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2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2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2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2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2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2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2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2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2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2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2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2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2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2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2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2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2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2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2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2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2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2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2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2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2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2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2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2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2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2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2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2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2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2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2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2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2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2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2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2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2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2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2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2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2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2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2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2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2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2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2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2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2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2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2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2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2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2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2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2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2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2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2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2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2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2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2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2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2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2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2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2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2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2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2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2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2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2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2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2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2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2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2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2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2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2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2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2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2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2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2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2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2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2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2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2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2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2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2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2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2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2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2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2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2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2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2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2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2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2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2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2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2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2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2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2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2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2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2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2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2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2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2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2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2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2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2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2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2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2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2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2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2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2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2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2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2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2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2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2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2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2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2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2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2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2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2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2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2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2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2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2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2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2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2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2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2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2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2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2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2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2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2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2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2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2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2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2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2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2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2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2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2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2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2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2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2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2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2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2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2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2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2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2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2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2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2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2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2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2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2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2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2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2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2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2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2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2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2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2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2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2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2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2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2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2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2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2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2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2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2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2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2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2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2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2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2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2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2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2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2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2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2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2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2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2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2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2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2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2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2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2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2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2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2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2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2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2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2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2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2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2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2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2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2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2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2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2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2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2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2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2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2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2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2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2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2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2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2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2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2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2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2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2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2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2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2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2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2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2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2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2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2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2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2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2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2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2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2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2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2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2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2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2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2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2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2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2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2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2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2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2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2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2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2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2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2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2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2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2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2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2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2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2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2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2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2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2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2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2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2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2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2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2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2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2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2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2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2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2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2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2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2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2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2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2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2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2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2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2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2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2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2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2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2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2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2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2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2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2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2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2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2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2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2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2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2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2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2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2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2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2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2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2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2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2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2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2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2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2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2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2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2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2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2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2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2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2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2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2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2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2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2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2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2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2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2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2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2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2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2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2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2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2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2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2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2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2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2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2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2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2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2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2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2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2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2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2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2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2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2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2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2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2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2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2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2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2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2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2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2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2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2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2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2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2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2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2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2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2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2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2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2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2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2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2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2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2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2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2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2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2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2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2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2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2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2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2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2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2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2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2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2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2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2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2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2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2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2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2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2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2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2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2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2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2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2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2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2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2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2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2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2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2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2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2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2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2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2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2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2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2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2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2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2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2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2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2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2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2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2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2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2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2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2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2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2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2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2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2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2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2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2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2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2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2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2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2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2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2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2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2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2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2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2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2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2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2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2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2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2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2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2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2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2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2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2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2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2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2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2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2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2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2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2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2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2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2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2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2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2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2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2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2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2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2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2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2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2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2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2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2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2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2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2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2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2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2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2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2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2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2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2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2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2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2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2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2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2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2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2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2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2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2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2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2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2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2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2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2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2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2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2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2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2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2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2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2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2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2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2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2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2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2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2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2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2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2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2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2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2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2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2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2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2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2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2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2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2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2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2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2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2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2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2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2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2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2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2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2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2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2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2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2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2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2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2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2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2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2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2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2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2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2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2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2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2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2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2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2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2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2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2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2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2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2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2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2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2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2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2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2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2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2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2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2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2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2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2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2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2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2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2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2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2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2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2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2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2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2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2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2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2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2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2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2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2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2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2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2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2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2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2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2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2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2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2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2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2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2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2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2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2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2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2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2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2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2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2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2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2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2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2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2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2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2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2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2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2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2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2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2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2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2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2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2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2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2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2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2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2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2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2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2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2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2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2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2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2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2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2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2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2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2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2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2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2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2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2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2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2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2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2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2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2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2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2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2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2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2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2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2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2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2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2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2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2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2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2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2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2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2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2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2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2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2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2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2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2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2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2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2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2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2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2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2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2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2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2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2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2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2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2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2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2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2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2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2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2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2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2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2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2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2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2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2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2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2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2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2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2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2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2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2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2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2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2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2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2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2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2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2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2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2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2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2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2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2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2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2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2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2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2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2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2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2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2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2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2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2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2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2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2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2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2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2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2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2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2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2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2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2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2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2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2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2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2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2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2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2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2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2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2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2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2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2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2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2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2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2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2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2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2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2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2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2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2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2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2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2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2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2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2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2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2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B2:E2"/>
    <mergeCell ref="B3:E3"/>
    <mergeCell ref="B4:E4"/>
  </mergeCells>
  <dataValidations>
    <dataValidation type="list" allowBlank="1" sqref="F11:F28 I11:I28 L11:L28">
      <formula1>$R$2:$R$5</formula1>
    </dataValidation>
  </dataValidations>
  <printOptions/>
  <pageMargins bottom="0.984027777777778" footer="0.0" header="0.0" left="0.747916666666667" right="0.25" top="0.75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